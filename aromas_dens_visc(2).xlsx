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harts/chart5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51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52.xml" ContentType="application/vnd.openxmlformats-officedocument.drawingml.chart+xml"/>
  <Override PartName="/xl/charts/chart2.xml" ContentType="application/vnd.openxmlformats-officedocument.drawingml.chart+xml"/>
  <Override PartName="/xl/charts/chart46.xml" ContentType="application/vnd.openxmlformats-officedocument.drawingml.chart+xml"/>
  <Override PartName="/xl/charts/chart32.xml" ContentType="application/vnd.openxmlformats-officedocument.drawingml.chart+xml"/>
  <Override PartName="/xl/charts/chart19.xml" ContentType="application/vnd.openxmlformats-officedocument.drawingml.chart+xml"/>
  <Override PartName="/xl/charts/chart49.xml" ContentType="application/vnd.openxmlformats-officedocument.drawingml.chart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xl/charts/chart53.xml" ContentType="application/vnd.openxmlformats-officedocument.drawingml.chart+xml"/>
  <Override PartName="/xl/charts/chart26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7.xml" ContentType="application/vnd.openxmlformats-officedocument.drawingml.chart+xml"/>
  <Override PartName="/xl/charts/chart37.xml" ContentType="application/vnd.openxmlformats-officedocument.drawingml.chart+xml"/>
  <Override PartName="/xl/charts/chart50.xml" ContentType="application/vnd.openxmlformats-officedocument.drawingml.chart+xml"/>
  <Override PartName="/xl/charts/chart6.xml" ContentType="application/vnd.openxmlformats-officedocument.drawingml.chart+xml"/>
  <Override PartName="/xl/charts/chart30.xml" ContentType="application/vnd.openxmlformats-officedocument.drawingml.chart+xml"/>
  <Override PartName="/xl/charts/chart18.xml" ContentType="application/vnd.openxmlformats-officedocument.drawingml.chart+xml"/>
  <Override PartName="/xl/charts/chart11.xml" ContentType="application/vnd.openxmlformats-officedocument.drawingml.chart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39.xml" ContentType="application/vnd.openxmlformats-officedocument.drawingml.chart+xml"/>
  <Override PartName="/xl/charts/chart44.xml" ContentType="application/vnd.openxmlformats-officedocument.drawingml.chart+xml"/>
  <Override PartName="/xl/charts/chart12.xml" ContentType="application/vnd.openxmlformats-officedocument.drawingml.chart+xml"/>
  <Override PartName="/xl/charts/chart54.xml" ContentType="application/vnd.openxmlformats-officedocument.drawingml.chart+xml"/>
  <Override PartName="/xl/charts/chart8.xml" ContentType="application/vnd.openxmlformats-officedocument.drawingml.chart+xml"/>
  <Override PartName="/xl/charts/chart40.xml" ContentType="application/vnd.openxmlformats-officedocument.drawingml.chart+xml"/>
  <Override PartName="/xl/charts/chart43.xml" ContentType="application/vnd.openxmlformats-officedocument.drawingml.chart+xml"/>
  <Override PartName="/xl/charts/chart31.xml" ContentType="application/vnd.openxmlformats-officedocument.drawingml.chart+xml"/>
  <Override PartName="/xl/charts/chart7.xml" ContentType="application/vnd.openxmlformats-officedocument.drawingml.chart+xml"/>
  <Override PartName="/xl/charts/chart24.xml" ContentType="application/vnd.openxmlformats-officedocument.drawingml.chart+xml"/>
  <Override PartName="/xl/charts/chart48.xml" ContentType="application/vnd.openxmlformats-officedocument.drawingml.chart+xml"/>
  <Override PartName="/xl/charts/chart25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resumen_viscosidad_densidad" sheetId="1" state="visible" r:id="rId3"/>
    <sheet name="Componentes" sheetId="2" state="visible" r:id="rId4"/>
    <sheet name="datos_solventes" sheetId="3" state="visible" r:id="rId5"/>
    <sheet name="datos_des" sheetId="4" state="visible" r:id="rId6"/>
    <sheet name="densidad_viscosidad_puros" sheetId="5" state="visible" r:id="rId7"/>
    <sheet name="dens_visc_beta+2m3b2oh" sheetId="6" state="visible" r:id="rId8"/>
    <sheet name="dens_visc_beta+2m2boh" sheetId="7" state="visible" r:id="rId9"/>
    <sheet name="dens_visc_beta+1hexoh" sheetId="8" state="visible" r:id="rId10"/>
    <sheet name="dens_visc_beta+1octoh" sheetId="9" state="visible" r:id="rId11"/>
    <sheet name="dens_visc_beta+mibk" sheetId="10" state="visible" r:id="rId12"/>
    <sheet name="dens_visc_beta+2octanone" sheetId="11" state="visible" r:id="rId13"/>
    <sheet name="vanesa_stuff" sheetId="12" state="visible" r:id="rId14"/>
    <sheet name="dens_visc_2pe+2m3b2oh" sheetId="13" state="visible" r:id="rId15"/>
    <sheet name="dens_visc_2pe+2m2boh" sheetId="14" state="visible" r:id="rId16"/>
    <sheet name="dens_visc_2pe+1hexoh" sheetId="15" state="visible" r:id="rId17"/>
    <sheet name="dens_visc_2pe+1octoh" sheetId="16" state="visible" r:id="rId18"/>
    <sheet name="dens_visc_2pe+mibk" sheetId="17" state="visible" r:id="rId19"/>
    <sheet name="dens_visc_2pe+2octanone" sheetId="18" state="visible" r:id="rId20"/>
    <sheet name="dens_visc_gamma+2m3b2oh" sheetId="19" state="visible" r:id="rId21"/>
    <sheet name="dens_visc_gamma+2m2boh" sheetId="20" state="visible" r:id="rId22"/>
    <sheet name="dens_visc_gamma+1hexoh" sheetId="21" state="visible" r:id="rId23"/>
    <sheet name="dens_visc_gamma+1octoh" sheetId="22" state="visible" r:id="rId24"/>
    <sheet name="dens_visc_gamma+mibk" sheetId="23" state="visible" r:id="rId25"/>
    <sheet name="dens_visc_gamma+2octanone" sheetId="24" state="visible" r:id="rId26"/>
  </sheets>
  <definedNames>
    <definedName function="false" hidden="false" name="LookupTable" vbProcedure="false">Componentes!$AA$3:$AC$11</definedName>
    <definedName function="false" hidden="false" name="MW_2m2boh" vbProcedure="false">Componentes!$AB$7</definedName>
    <definedName function="false" hidden="false" name="MW_2m3b2oh" vbProcedure="false">Componentes!$AB$6</definedName>
    <definedName function="false" hidden="false" name="MW_2octanone" vbProcedure="false">Componentes!$AB$11</definedName>
    <definedName function="false" hidden="false" name="MW_2pe" vbProcedure="false">Componentes!$AB$4</definedName>
    <definedName function="false" hidden="false" name="MW_beta" vbProcedure="false">Componentes!$AB$3</definedName>
    <definedName function="false" hidden="false" name="MW_gamma" vbProcedure="false">Componentes!$AB$5</definedName>
    <definedName function="false" hidden="false" name="MW_hexoh" vbProcedure="false">Componentes!$AB$8</definedName>
    <definedName function="false" hidden="false" name="MW_mibk" vbProcedure="false">Componentes!$AB$10</definedName>
    <definedName function="false" hidden="false" name="MW_octoh" vbProcedure="false">Componentes!$AB$9</definedName>
    <definedName function="false" hidden="false" name="purity_2m2boh" vbProcedure="false">Componentes!$AC$7</definedName>
    <definedName function="false" hidden="false" name="purity_2m3b2oh" vbProcedure="false">Componentes!$AC$6</definedName>
    <definedName function="false" hidden="false" name="purity_2octanone" vbProcedure="false">Componentes!$AC$11</definedName>
    <definedName function="false" hidden="false" name="purity_2pe" vbProcedure="false">Componentes!$AC$4</definedName>
    <definedName function="false" hidden="false" name="purity_beta" vbProcedure="false">Componentes!$AC$3</definedName>
    <definedName function="false" hidden="false" name="purity_gamma" vbProcedure="false">Componentes!$AC$5</definedName>
    <definedName function="false" hidden="false" name="purity_hexoh" vbProcedure="false">Componentes!$AC$8</definedName>
    <definedName function="false" hidden="false" name="purity_mibk" vbProcedure="false">Componentes!$AC$10</definedName>
    <definedName function="false" hidden="false" name="purity_octoh" vbProcedure="false">Componentes!$AC$9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<sst xmlns="http://schemas.openxmlformats.org/spreadsheetml/2006/main" count="7353" uniqueCount="404">
  <si>
    <t xml:space="preserve">system</t>
  </si>
  <si>
    <t xml:space="preserve">aroma_id</t>
  </si>
  <si>
    <t xml:space="preserve">aroma_name</t>
  </si>
  <si>
    <t xml:space="preserve">solvent_id</t>
  </si>
  <si>
    <t xml:space="preserve">solvent_name</t>
  </si>
  <si>
    <t xml:space="preserve">temperature_c</t>
  </si>
  <si>
    <t xml:space="preserve">molefrac_aroma</t>
  </si>
  <si>
    <t xml:space="preserve">density_g_cm3</t>
  </si>
  <si>
    <t xml:space="preserve">v_excess_cm3</t>
  </si>
  <si>
    <t xml:space="preserve">viscosity_mPas</t>
  </si>
  <si>
    <t xml:space="preserve">data_complete</t>
  </si>
  <si>
    <t xml:space="preserve">beta+2m3b2oh</t>
  </si>
  <si>
    <t xml:space="preserve">beta</t>
  </si>
  <si>
    <t xml:space="preserve">betaionone (trans)</t>
  </si>
  <si>
    <t xml:space="preserve">2m3b2oh</t>
  </si>
  <si>
    <t xml:space="preserve">2-methyl-3-buten-2-ol</t>
  </si>
  <si>
    <t xml:space="preserve">beta+2m2boh</t>
  </si>
  <si>
    <t xml:space="preserve">2m2boh</t>
  </si>
  <si>
    <t xml:space="preserve">2-methyl-2-butanol</t>
  </si>
  <si>
    <t xml:space="preserve">beta+1hexoh</t>
  </si>
  <si>
    <t xml:space="preserve">hexoh</t>
  </si>
  <si>
    <t xml:space="preserve">1-hexanol</t>
  </si>
  <si>
    <t xml:space="preserve">beta+1octoh</t>
  </si>
  <si>
    <t xml:space="preserve">octoh</t>
  </si>
  <si>
    <t xml:space="preserve">1-octanol</t>
  </si>
  <si>
    <t xml:space="preserve">beta+mibk</t>
  </si>
  <si>
    <t xml:space="preserve">mibk</t>
  </si>
  <si>
    <t xml:space="preserve">methyl isobutyl ketone</t>
  </si>
  <si>
    <t xml:space="preserve">beta+2octanone</t>
  </si>
  <si>
    <t xml:space="preserve">2octanone</t>
  </si>
  <si>
    <t xml:space="preserve">2-octanone</t>
  </si>
  <si>
    <t xml:space="preserve">2pe+2m3b2oh</t>
  </si>
  <si>
    <t xml:space="preserve">2pe</t>
  </si>
  <si>
    <t xml:space="preserve">2-phenylethanol</t>
  </si>
  <si>
    <t xml:space="preserve">2pe+2m2boh</t>
  </si>
  <si>
    <t xml:space="preserve">2pe+1hexoh</t>
  </si>
  <si>
    <t xml:space="preserve">2pe+1octoh</t>
  </si>
  <si>
    <t xml:space="preserve">2pe+mibk</t>
  </si>
  <si>
    <t xml:space="preserve">2pe+2octanone</t>
  </si>
  <si>
    <t xml:space="preserve">gamma+2m3b2oh</t>
  </si>
  <si>
    <t xml:space="preserve">gamma</t>
  </si>
  <si>
    <t xml:space="preserve">gamma-decalactone</t>
  </si>
  <si>
    <t xml:space="preserve">gamma+2m2boh</t>
  </si>
  <si>
    <t xml:space="preserve">gamma+1hexoh</t>
  </si>
  <si>
    <t xml:space="preserve">gamma+1octoh</t>
  </si>
  <si>
    <t xml:space="preserve">gamma+mibk</t>
  </si>
  <si>
    <t xml:space="preserve">gamma+2octanone</t>
  </si>
  <si>
    <t xml:space="preserve">IDENTIFICADOR</t>
  </si>
  <si>
    <t xml:space="preserve">INVENTARIO</t>
  </si>
  <si>
    <t xml:space="preserve">PROPIEDADES</t>
  </si>
  <si>
    <t xml:space="preserve">SEGURIDAD</t>
  </si>
  <si>
    <t xml:space="preserve">METADATA</t>
  </si>
  <si>
    <t xml:space="preserve">ID</t>
  </si>
  <si>
    <t xml:space="preserve">Chemical Name</t>
  </si>
  <si>
    <t xml:space="preserve">Common Name(s)</t>
  </si>
  <si>
    <t xml:space="preserve">CAS Number</t>
  </si>
  <si>
    <t xml:space="preserve">Formula</t>
  </si>
  <si>
    <t xml:space="preserve">Canonical SMILES</t>
  </si>
  <si>
    <t xml:space="preserve">Location</t>
  </si>
  <si>
    <t xml:space="preserve">Supplier</t>
  </si>
  <si>
    <t xml:space="preserve">Grade/Purity</t>
  </si>
  <si>
    <t xml:space="preserve">Lot Number</t>
  </si>
  <si>
    <t xml:space="preserve">Quantity</t>
  </si>
  <si>
    <t xml:space="preserve">Unit</t>
  </si>
  <si>
    <t xml:space="preserve">MW</t>
  </si>
  <si>
    <t xml:space="preserve">Tb</t>
  </si>
  <si>
    <t xml:space="preserve">Tm</t>
  </si>
  <si>
    <t xml:space="preserve">ρ (25°C)</t>
  </si>
  <si>
    <t xml:space="preserve">η (25°C)</t>
  </si>
  <si>
    <t xml:space="preserve">Pᵛᵃᵖ (25°C)</t>
  </si>
  <si>
    <t xml:space="preserve">Flash Point</t>
  </si>
  <si>
    <t xml:space="preserve">Hazard Class</t>
  </si>
  <si>
    <t xml:space="preserve">Storage</t>
  </si>
  <si>
    <t xml:space="preserve">Date Received</t>
  </si>
  <si>
    <t xml:space="preserve">Status</t>
  </si>
  <si>
    <t xml:space="preserve">Notes</t>
  </si>
  <si>
    <t xml:space="preserve">comp_id</t>
  </si>
  <si>
    <t xml:space="preserve">purity</t>
  </si>
  <si>
    <t xml:space="preserve">Internal component code</t>
  </si>
  <si>
    <t xml:space="preserve">IUPAC or standard name</t>
  </si>
  <si>
    <t xml:space="preserve">Alternative names</t>
  </si>
  <si>
    <t xml:space="preserve">CAS registry number</t>
  </si>
  <si>
    <t xml:space="preserve">Molecular formula</t>
  </si>
  <si>
    <t xml:space="preserve">For modeling/databases</t>
  </si>
  <si>
    <t xml:space="preserve">Lab position (e.g., 3.1)</t>
  </si>
  <si>
    <t xml:space="preserve">Vendor name</t>
  </si>
  <si>
    <t xml:space="preserve">(Según batch)</t>
  </si>
  <si>
    <t xml:space="preserve">Batch identifier</t>
  </si>
  <si>
    <t xml:space="preserve">Amount available</t>
  </si>
  <si>
    <t xml:space="preserve">mL, g, kg, etc.</t>
  </si>
  <si>
    <t xml:space="preserve">g/mol</t>
  </si>
  <si>
    <t xml:space="preserve">°C (1 atm)</t>
  </si>
  <si>
    <t xml:space="preserve">°C</t>
  </si>
  <si>
    <t xml:space="preserve">g/cm³</t>
  </si>
  <si>
    <t xml:space="preserve">mPa·s</t>
  </si>
  <si>
    <t xml:space="preserve">kPa</t>
  </si>
  <si>
    <t xml:space="preserve">GHS classification</t>
  </si>
  <si>
    <t xml:space="preserve">Requirements</t>
  </si>
  <si>
    <t xml:space="preserve">YYYY-MM-DD</t>
  </si>
  <si>
    <t xml:space="preserve">Active/Depleted</t>
  </si>
  <si>
    <t xml:space="preserve">Additional info</t>
  </si>
  <si>
    <t xml:space="preserve">b-ionone (trans)</t>
  </si>
  <si>
    <t xml:space="preserve">-</t>
  </si>
  <si>
    <t xml:space="preserve">14901-07-6</t>
  </si>
  <si>
    <t xml:space="preserve">C13H20O</t>
  </si>
  <si>
    <t xml:space="preserve">CC1=C(C(CCC1)(C)C)/C=C/C(=O)C</t>
  </si>
  <si>
    <t xml:space="preserve">REFRIGERADOR</t>
  </si>
  <si>
    <t xml:space="preserve">Sigma-Aldrich</t>
  </si>
  <si>
    <t xml:space="preserve">97.8% (GC)</t>
  </si>
  <si>
    <t xml:space="preserve">SHBL2869</t>
  </si>
  <si>
    <t xml:space="preserve">L</t>
  </si>
  <si>
    <t xml:space="preserve">Active</t>
  </si>
  <si>
    <t xml:space="preserve">60-12-8</t>
  </si>
  <si>
    <t xml:space="preserve">C8H10O</t>
  </si>
  <si>
    <t xml:space="preserve">OCCc1ccccc1</t>
  </si>
  <si>
    <t xml:space="preserve">3.x</t>
  </si>
  <si>
    <t xml:space="preserve">&gt; 99.9% (GC)</t>
  </si>
  <si>
    <t xml:space="preserve">SDBB2371</t>
  </si>
  <si>
    <t xml:space="preserve">g-decalactone</t>
  </si>
  <si>
    <t xml:space="preserve">706-14-9</t>
  </si>
  <si>
    <t xml:space="preserve">C10H18O2</t>
  </si>
  <si>
    <t xml:space="preserve">CCCCCCC1CCC(=O)O1</t>
  </si>
  <si>
    <t xml:space="preserve">98.7% (GC)</t>
  </si>
  <si>
    <t xml:space="preserve">SHBR4960</t>
  </si>
  <si>
    <t xml:space="preserve">2M3B2OH</t>
  </si>
  <si>
    <t xml:space="preserve">115-18-4</t>
  </si>
  <si>
    <t xml:space="preserve">C5H10O</t>
  </si>
  <si>
    <t xml:space="preserve">CC(C)(C=C)O</t>
  </si>
  <si>
    <t xml:space="preserve">Aldrich</t>
  </si>
  <si>
    <t xml:space="preserve">99.6% (GC)</t>
  </si>
  <si>
    <t xml:space="preserve">STBH5331</t>
  </si>
  <si>
    <t xml:space="preserve">tert-amyl alcohol</t>
  </si>
  <si>
    <t xml:space="preserve">75-85-4</t>
  </si>
  <si>
    <t xml:space="preserve">C5H12O</t>
  </si>
  <si>
    <t xml:space="preserve">CCC(C)(C)O</t>
  </si>
  <si>
    <t xml:space="preserve">&gt;99.9% (GC)</t>
  </si>
  <si>
    <t xml:space="preserve">SDBB4598</t>
  </si>
  <si>
    <t xml:space="preserve">111-27-3</t>
  </si>
  <si>
    <t xml:space="preserve">C6H18O</t>
  </si>
  <si>
    <t xml:space="preserve">CCCCCCO</t>
  </si>
  <si>
    <t xml:space="preserve">1.3.</t>
  </si>
  <si>
    <t xml:space="preserve">99.8% (GC)</t>
  </si>
  <si>
    <t xml:space="preserve">SHBC9189V</t>
  </si>
  <si>
    <t xml:space="preserve">mL</t>
  </si>
  <si>
    <t xml:space="preserve">111-87-5</t>
  </si>
  <si>
    <t xml:space="preserve">C8H18O</t>
  </si>
  <si>
    <t xml:space="preserve">CCCCCCCCO</t>
  </si>
  <si>
    <t xml:space="preserve">99.7% (GC)</t>
  </si>
  <si>
    <t xml:space="preserve">SDBB1117</t>
  </si>
  <si>
    <t xml:space="preserve">200?</t>
  </si>
  <si>
    <t xml:space="preserve">MIBK</t>
  </si>
  <si>
    <t xml:space="preserve">108-10-1</t>
  </si>
  <si>
    <t xml:space="preserve">C6H12O</t>
  </si>
  <si>
    <t xml:space="preserve">CC(C)CC(=O)C</t>
  </si>
  <si>
    <t xml:space="preserve">Merck Millipor</t>
  </si>
  <si>
    <t xml:space="preserve">K51239346927</t>
  </si>
  <si>
    <t xml:space="preserve">300?</t>
  </si>
  <si>
    <t xml:space="preserve">Hexyl methyl ketone</t>
  </si>
  <si>
    <t xml:space="preserve">111-13-7</t>
  </si>
  <si>
    <t xml:space="preserve">C8H16O</t>
  </si>
  <si>
    <t xml:space="preserve">CCCCCCC(=O)C</t>
  </si>
  <si>
    <t xml:space="preserve">98.8% (GC)</t>
  </si>
  <si>
    <t xml:space="preserve">SHBQ4121</t>
  </si>
  <si>
    <t xml:space="preserve">thymol</t>
  </si>
  <si>
    <t xml:space="preserve">Thymol</t>
  </si>
  <si>
    <t xml:space="preserve">89-83-8</t>
  </si>
  <si>
    <t xml:space="preserve">C10H14O</t>
  </si>
  <si>
    <t xml:space="preserve">Cc1ccc(C(C)C)c(O)c1</t>
  </si>
  <si>
    <t xml:space="preserve">SHBQ5769</t>
  </si>
  <si>
    <t xml:space="preserve">g</t>
  </si>
  <si>
    <t xml:space="preserve">carvone</t>
  </si>
  <si>
    <t xml:space="preserve">L-Carvone</t>
  </si>
  <si>
    <t xml:space="preserve">(-)-Carvone</t>
  </si>
  <si>
    <t xml:space="preserve">6485-40-1</t>
  </si>
  <si>
    <t xml:space="preserve">C=C(C)[C@@H]1CC=C(C)C(=O)C1</t>
  </si>
  <si>
    <t xml:space="preserve">99.2% (GC)</t>
  </si>
  <si>
    <t xml:space="preserve">SHBQ8402</t>
  </si>
  <si>
    <t xml:space="preserve">kg</t>
  </si>
  <si>
    <t xml:space="preserve">camphor</t>
  </si>
  <si>
    <t xml:space="preserve">DL-Camphor</t>
  </si>
  <si>
    <t xml:space="preserve">76-22-2</t>
  </si>
  <si>
    <t xml:space="preserve">C10H16O</t>
  </si>
  <si>
    <t xml:space="preserve">CC1(C)C2CCC1(C)C(=O)C2</t>
  </si>
  <si>
    <t xml:space="preserve">96.9% (GC)</t>
  </si>
  <si>
    <t xml:space="preserve">SDBB0718</t>
  </si>
  <si>
    <t xml:space="preserve">geraniol</t>
  </si>
  <si>
    <t xml:space="preserve">Geraniol</t>
  </si>
  <si>
    <t xml:space="preserve">106-24-1</t>
  </si>
  <si>
    <t xml:space="preserve">C10H18O</t>
  </si>
  <si>
    <t xml:space="preserve">CC(C)=CCC/C(C)=C/CO</t>
  </si>
  <si>
    <t xml:space="preserve">98.9% (GC)</t>
  </si>
  <si>
    <t xml:space="preserve">SHBP7700</t>
  </si>
  <si>
    <t xml:space="preserve">carvacrol</t>
  </si>
  <si>
    <t xml:space="preserve">Carvacrol</t>
  </si>
  <si>
    <t xml:space="preserve">499-75-2</t>
  </si>
  <si>
    <t xml:space="preserve">Cc1ccc(C(C)C)cc1O</t>
  </si>
  <si>
    <t xml:space="preserve">SHBQ9085</t>
  </si>
  <si>
    <t xml:space="preserve">400?</t>
  </si>
  <si>
    <t xml:space="preserve">eugenol</t>
  </si>
  <si>
    <t xml:space="preserve">Eugenol</t>
  </si>
  <si>
    <t xml:space="preserve">97-53-0</t>
  </si>
  <si>
    <t xml:space="preserve">C10H12O2</t>
  </si>
  <si>
    <t xml:space="preserve">C=CCc1ccc(O)c(OC)c1</t>
  </si>
  <si>
    <t xml:space="preserve">SHBM4053</t>
  </si>
  <si>
    <t xml:space="preserve">500?</t>
  </si>
  <si>
    <t xml:space="preserve">h2o</t>
  </si>
  <si>
    <t xml:space="preserve">Water</t>
  </si>
  <si>
    <t xml:space="preserve">HPLC</t>
  </si>
  <si>
    <t xml:space="preserve">Aroma (soluto)</t>
  </si>
  <si>
    <t xml:space="preserve">Solventes</t>
  </si>
  <si>
    <t xml:space="preserve">DESs</t>
  </si>
  <si>
    <t xml:space="preserve">Agua (diluyente)</t>
  </si>
  <si>
    <t xml:space="preserve">Densidad</t>
  </si>
  <si>
    <t xml:space="preserve">b-ionona</t>
  </si>
  <si>
    <t xml:space="preserve">Viscosidad</t>
  </si>
  <si>
    <t xml:space="preserve">LLE con agua</t>
  </si>
  <si>
    <t xml:space="preserve">VLE</t>
  </si>
  <si>
    <t xml:space="preserve">Published</t>
  </si>
  <si>
    <t xml:space="preserve">Measured</t>
  </si>
  <si>
    <t xml:space="preserve">Falta Fleck</t>
  </si>
  <si>
    <t xml:space="preserve">Meter al viscosimetro</t>
  </si>
  <si>
    <t xml:space="preserve">Falta Vanesa</t>
  </si>
  <si>
    <t xml:space="preserve">Falta Hector</t>
  </si>
  <si>
    <t xml:space="preserve">ThyCar</t>
  </si>
  <si>
    <t xml:space="preserve">ThyGer</t>
  </si>
  <si>
    <t xml:space="preserve">ThyCarvon</t>
  </si>
  <si>
    <t xml:space="preserve">ThyEug</t>
  </si>
  <si>
    <t xml:space="preserve">CamCar</t>
  </si>
  <si>
    <t xml:space="preserve">CamGer</t>
  </si>
  <si>
    <t xml:space="preserve">CamCarvac</t>
  </si>
  <si>
    <t xml:space="preserve">CamEug</t>
  </si>
  <si>
    <t xml:space="preserve">HBA</t>
  </si>
  <si>
    <t xml:space="preserve">HBD</t>
  </si>
  <si>
    <t xml:space="preserve">Carvone</t>
  </si>
  <si>
    <t xml:space="preserve">Camphor</t>
  </si>
  <si>
    <t xml:space="preserve">Falta fleck</t>
  </si>
  <si>
    <t xml:space="preserve">// DATOS DE DENSIDAD Y VISCOSIDAD IMPORTADOS</t>
  </si>
  <si>
    <t xml:space="preserve">Lovis / DMA</t>
  </si>
  <si>
    <t xml:space="preserve">Unique Sample Id</t>
  </si>
  <si>
    <t xml:space="preserve">Date</t>
  </si>
  <si>
    <t xml:space="preserve">Time</t>
  </si>
  <si>
    <t xml:space="preserve">Sample Name</t>
  </si>
  <si>
    <t xml:space="preserve">Master Condition</t>
  </si>
  <si>
    <t xml:space="preserve">Density</t>
  </si>
  <si>
    <t xml:space="preserve">Density Temperature</t>
  </si>
  <si>
    <t xml:space="preserve">Lovis Dyn. Viscosity</t>
  </si>
  <si>
    <t xml:space="preserve">Lovis Kin. Viscosity</t>
  </si>
  <si>
    <t xml:space="preserve">Lovis Temperature</t>
  </si>
  <si>
    <t xml:space="preserve">Lovis Variation Coefficient</t>
  </si>
  <si>
    <t xml:space="preserve">Lovis Fw/Bw Deviation</t>
  </si>
  <si>
    <t xml:space="preserve">Lovis Current Capillary</t>
  </si>
  <si>
    <t xml:space="preserve">19-11-2025</t>
  </si>
  <si>
    <t xml:space="preserve">2-methyl-3-buten-2-ol_pure</t>
  </si>
  <si>
    <t xml:space="preserve">valid</t>
  </si>
  <si>
    <t xml:space="preserve">Chico (35990024)</t>
  </si>
  <si>
    <t xml:space="preserve">18-11-2025</t>
  </si>
  <si>
    <t xml:space="preserve">2-methyl-2-butanol_pure</t>
  </si>
  <si>
    <t xml:space="preserve">1-hexanol_pure</t>
  </si>
  <si>
    <t xml:space="preserve">1 octanol</t>
  </si>
  <si>
    <t xml:space="preserve">1 octanol 50 C</t>
  </si>
  <si>
    <t xml:space="preserve">12340</t>
  </si>
  <si>
    <t xml:space="preserve">MIBK_puro</t>
  </si>
  <si>
    <t xml:space="preserve">12341</t>
  </si>
  <si>
    <t xml:space="preserve">12342</t>
  </si>
  <si>
    <t xml:space="preserve">12343</t>
  </si>
  <si>
    <t xml:space="preserve">12344</t>
  </si>
  <si>
    <t xml:space="preserve">2-octanone_pure</t>
  </si>
  <si>
    <t xml:space="preserve">23-10-2025</t>
  </si>
  <si>
    <t xml:space="preserve">betaionone_pure_SHBL2869</t>
  </si>
  <si>
    <t xml:space="preserve">2-phenylethanol_pure_SDBB2371</t>
  </si>
  <si>
    <t xml:space="preserve">gamma decalactone</t>
  </si>
  <si>
    <t xml:space="preserve">27-10-2025</t>
  </si>
  <si>
    <t xml:space="preserve">gammadecalactone_pure_SHBR4960</t>
  </si>
  <si>
    <t xml:space="preserve">MM / g/mol</t>
  </si>
  <si>
    <t xml:space="preserve">FECHA</t>
  </si>
  <si>
    <t xml:space="preserve">19/11/2025</t>
  </si>
  <si>
    <t xml:space="preserve">Actual</t>
  </si>
  <si>
    <t xml:space="preserve">Total Mass (g)</t>
  </si>
  <si>
    <t xml:space="preserve">Mass betaionone (trans) / g</t>
  </si>
  <si>
    <t xml:space="preserve">Mass 2-methyl-3-buten-2-ol /g</t>
  </si>
  <si>
    <t xml:space="preserve">Mole fraction betaionone (trans)</t>
  </si>
  <si>
    <t xml:space="preserve">Mass betaionone (tra... (g)</t>
  </si>
  <si>
    <t xml:space="preserve">Mass 2-methyl-3-bute... (g)</t>
  </si>
  <si>
    <t xml:space="preserve">Mole Fraction betaionone (tra...</t>
  </si>
  <si>
    <t xml:space="preserve">Volumen de Exceso</t>
  </si>
  <si>
    <t xml:space="preserve">x1</t>
  </si>
  <si>
    <t xml:space="preserve">mm²/s</t>
  </si>
  <si>
    <t xml:space="preserve">%</t>
  </si>
  <si>
    <t xml:space="preserve">betaionone+2-methyl-3-buten-2-ol_1</t>
  </si>
  <si>
    <t xml:space="preserve">---</t>
  </si>
  <si>
    <t xml:space="preserve">betaionone+2-methyl-3-buten-2-ol_2</t>
  </si>
  <si>
    <t xml:space="preserve">Error: No coil reached</t>
  </si>
  <si>
    <t xml:space="preserve">Error: Ball blocked</t>
  </si>
  <si>
    <t xml:space="preserve">canceled</t>
  </si>
  <si>
    <t xml:space="preserve">betaionone+2-methyl-3-buten-2-ol_3</t>
  </si>
  <si>
    <t xml:space="preserve">betaionone+2-methyl-3-buten-2-ol_4</t>
  </si>
  <si>
    <t xml:space="preserve">betaionone+2-methyl-3-buten-2-ol_5</t>
  </si>
  <si>
    <t xml:space="preserve">betaionone+2-methyl-3-buten-2-ol_6</t>
  </si>
  <si>
    <t xml:space="preserve">betaionone+2-methyl-3-buten-2-ol_7</t>
  </si>
  <si>
    <t xml:space="preserve">betaionone+2-methyl-3-buten-2-ol_8</t>
  </si>
  <si>
    <t xml:space="preserve">betaionone+2-methyl-3-buten-2-ol_9</t>
  </si>
  <si>
    <t xml:space="preserve">Mass 2-methyl-2-butanol /g</t>
  </si>
  <si>
    <t xml:space="preserve">Mass 2-methyl-2-buta... (g)</t>
  </si>
  <si>
    <t xml:space="preserve">Volumen de exceso</t>
  </si>
  <si>
    <t xml:space="preserve">BETAIONONE + 2-METHYL-2-BUTANOL</t>
  </si>
  <si>
    <t xml:space="preserve">BETA+2M2BOH #</t>
  </si>
  <si>
    <t xml:space="preserve">VOLUMENES OBJETIVO</t>
  </si>
  <si>
    <t xml:space="preserve">MASAS</t>
  </si>
  <si>
    <t xml:space="preserve">#</t>
  </si>
  <si>
    <t xml:space="preserve">ml_betaionone</t>
  </si>
  <si>
    <t xml:space="preserve">ml_2m2boh</t>
  </si>
  <si>
    <t xml:space="preserve">tubo</t>
  </si>
  <si>
    <t xml:space="preserve">tubo + beta</t>
  </si>
  <si>
    <t xml:space="preserve">tubo + beta + 2m2boh</t>
  </si>
  <si>
    <t xml:space="preserve">Mass 1-hexanol /g</t>
  </si>
  <si>
    <t xml:space="preserve">Mass 1-hexanol... (g)</t>
  </si>
  <si>
    <t xml:space="preserve">BETAIONONE + 1-HEXANOL</t>
  </si>
  <si>
    <t xml:space="preserve">BETA+1HEX #</t>
  </si>
  <si>
    <t xml:space="preserve">ml_1he</t>
  </si>
  <si>
    <t xml:space="preserve">tubo + beta + 1he</t>
  </si>
  <si>
    <t xml:space="preserve">Mass 1-octanol /g</t>
  </si>
  <si>
    <t xml:space="preserve">Mass 1-octanol... (g)</t>
  </si>
  <si>
    <t xml:space="preserve">Mass methyl isobutyl ketone /g</t>
  </si>
  <si>
    <t xml:space="preserve">Mass methyl isobutyl... (g)</t>
  </si>
  <si>
    <t xml:space="preserve">Mass 2-octanone /g</t>
  </si>
  <si>
    <t xml:space="preserve">Mole fraction betaionone</t>
  </si>
  <si>
    <t xml:space="preserve">Mass Beta-ionona (g)</t>
  </si>
  <si>
    <t xml:space="preserve">Mass 2MBOH (g)</t>
  </si>
  <si>
    <t xml:space="preserve">Mole Fraction Beta-ionona</t>
  </si>
  <si>
    <t xml:space="preserve">Id. de la muestra única</t>
  </si>
  <si>
    <t xml:space="preserve">Fecha</t>
  </si>
  <si>
    <t xml:space="preserve">Hora</t>
  </si>
  <si>
    <t xml:space="preserve">Nombre de la muestra</t>
  </si>
  <si>
    <t xml:space="preserve">Temperatura de densidad</t>
  </si>
  <si>
    <t xml:space="preserve">Viscosidad dinámica Lovis</t>
  </si>
  <si>
    <t xml:space="preserve">Viscosidad cinemática Lovis</t>
  </si>
  <si>
    <t xml:space="preserve">Temperatura de Lovis</t>
  </si>
  <si>
    <t xml:space="preserve">Coeficiente de variación Lovis</t>
  </si>
  <si>
    <t xml:space="preserve">31-03-2026</t>
  </si>
  <si>
    <t xml:space="preserve">Vanesa_O.1_1</t>
  </si>
  <si>
    <t xml:space="preserve">Vanesa_O.2_2</t>
  </si>
  <si>
    <t xml:space="preserve">Vanesa_O.3_3</t>
  </si>
  <si>
    <t xml:space="preserve">Vanesa_O.4_6</t>
  </si>
  <si>
    <t xml:space="preserve">Vanesa_O.5_7</t>
  </si>
  <si>
    <t xml:space="preserve">Vanesa_O.5 60°C_8</t>
  </si>
  <si>
    <t xml:space="preserve">Vanesa_O.6_V2_4</t>
  </si>
  <si>
    <t xml:space="preserve">Vanesa_O.7_5</t>
  </si>
  <si>
    <t xml:space="preserve">Vanesa_O.8_6</t>
  </si>
  <si>
    <t xml:space="preserve">Vanesa_O.9 v3_10</t>
  </si>
  <si>
    <t xml:space="preserve">Vanesa_O.9 60°C_11</t>
  </si>
  <si>
    <t xml:space="preserve">2m2boh_0.1_1</t>
  </si>
  <si>
    <t xml:space="preserve">2m2boh_0.2_2</t>
  </si>
  <si>
    <t xml:space="preserve">2m2boh_0.3_v2_5</t>
  </si>
  <si>
    <t xml:space="preserve">2m2boh_0.4_V4_10</t>
  </si>
  <si>
    <t xml:space="preserve">2m2boh_0.5_v5_18</t>
  </si>
  <si>
    <t xml:space="preserve">2m2boh_0.6_19</t>
  </si>
  <si>
    <t xml:space="preserve">2m2boh_0.7_20</t>
  </si>
  <si>
    <t xml:space="preserve">2m2boh_0.7 a 60°C_21</t>
  </si>
  <si>
    <t xml:space="preserve">2m2boh_0.8_22</t>
  </si>
  <si>
    <t xml:space="preserve">2m2boh_0.9-v1_2</t>
  </si>
  <si>
    <t xml:space="preserve">PUBLICADO</t>
  </si>
  <si>
    <t xml:space="preserve">Mass 2-phenylethanol / g</t>
  </si>
  <si>
    <t xml:space="preserve">Mole fraction 2-phenylethanol</t>
  </si>
  <si>
    <t xml:space="preserve">Mass 2-phenylethanol... (g)</t>
  </si>
  <si>
    <t xml:space="preserve">Mole Fraction 2-phenylethanol...</t>
  </si>
  <si>
    <t xml:space="preserve">TOTAL</t>
  </si>
  <si>
    <t xml:space="preserve">2PE_OBJ</t>
  </si>
  <si>
    <t xml:space="preserve">2M2BOH_OBJ</t>
  </si>
  <si>
    <t xml:space="preserve">Frac.Molar</t>
  </si>
  <si>
    <t xml:space="preserve">2PE_REAL</t>
  </si>
  <si>
    <t xml:space="preserve">2M2BOH_REAL</t>
  </si>
  <si>
    <t xml:space="preserve">Mole Fraction 2pe (corrected)</t>
  </si>
  <si>
    <t xml:space="preserve">2-phenylethanol+1-hexanol_1</t>
  </si>
  <si>
    <t xml:space="preserve">FW/BW dev. too high</t>
  </si>
  <si>
    <t xml:space="preserve">2-phenylethanol+1-hexanol_2</t>
  </si>
  <si>
    <t xml:space="preserve">2-phenylethanol+1-hexanol_3</t>
  </si>
  <si>
    <t xml:space="preserve">2-phenylethanol+1-hexanol_4</t>
  </si>
  <si>
    <t xml:space="preserve">Agua Diego</t>
  </si>
  <si>
    <t xml:space="preserve">filling warning</t>
  </si>
  <si>
    <t xml:space="preserve">Agua Diego 50°</t>
  </si>
  <si>
    <t xml:space="preserve">Agua Diego 45 y 50°</t>
  </si>
  <si>
    <t xml:space="preserve">Unstable</t>
  </si>
  <si>
    <t xml:space="preserve">2-phenylethanol+1-hexanol_5</t>
  </si>
  <si>
    <t xml:space="preserve">2-phenylethanol+1-hexanol_6</t>
  </si>
  <si>
    <t xml:space="preserve">2-phenylethanol+1-hexanol_7</t>
  </si>
  <si>
    <t xml:space="preserve">2-phenylethanol+1-hexanol_8</t>
  </si>
  <si>
    <t xml:space="preserve">2-phenylethanol+1-hexanol_9</t>
  </si>
  <si>
    <t xml:space="preserve">gamma-decalactone+2m2boh_2</t>
  </si>
  <si>
    <t xml:space="preserve">gamma-decalactone+2m2boh_3</t>
  </si>
  <si>
    <t xml:space="preserve">gamma-decalactone+2-methyl-2-butanol_4</t>
  </si>
  <si>
    <t xml:space="preserve">gamma-decalactone+2-methyl-2-butanol_5</t>
  </si>
  <si>
    <t xml:space="preserve">BET:LA (3:1) 50 wt% constanza mellado</t>
  </si>
  <si>
    <t xml:space="preserve">gamma-decalactone+2-methyl-2-butanol_6</t>
  </si>
  <si>
    <t xml:space="preserve">OCTOH_OBJ</t>
  </si>
  <si>
    <t xml:space="preserve">OCTOH_REAL</t>
  </si>
  <si>
    <t xml:space="preserve">Mass 2-octanone... (g)</t>
  </si>
  <si>
    <t xml:space="preserve">Mass gamma-decalactone / g</t>
  </si>
  <si>
    <t xml:space="preserve">Mole fraction gamma-decalactone</t>
  </si>
  <si>
    <t xml:space="preserve">Mass gamma-decalacto... (g)</t>
  </si>
  <si>
    <t xml:space="preserve">Mole Fraction gamma-decalacto...</t>
  </si>
  <si>
    <t xml:space="preserve">gamma-decalactone+2m2boh_1</t>
  </si>
  <si>
    <t xml:space="preserve">gamma-decalactone+2-methyl-2-butanol_7</t>
  </si>
  <si>
    <t xml:space="preserve">gamma-decalactone+2-methyl-2-butanol_8</t>
  </si>
  <si>
    <t xml:space="preserve">gamma-decalactone+2-methyl-2-butanol_9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</si>
</sst>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0"/>
    <numFmt numFmtId="166" formatCode="0.00000"/>
    <numFmt numFmtId="167" formatCode="0.000"/>
    <numFmt numFmtId="168" formatCode="0.00%"/>
    <numFmt numFmtId="169" formatCode="0%"/>
    <numFmt numFmtId="170" formatCode="hh\:mm"/>
    <numFmt numFmtId="171" formatCode="h\:mm\:ss"/>
    <numFmt numFmtId="172" formatCode="m/d/yyyy"/>
    <numFmt numFmtId="173" formatCode="hh\:mm\:ss"/>
    <numFmt numFmtId="174" formatCode="dd\-mm\-yyyy"/>
    <numFmt numFmtId="175" formatCode="0.00"/>
    <numFmt numFmtId="176" formatCode="h:mm:ss"/>
  </numFmts>
  <fonts count="33">
    <font>
      <sz val="11"/>
      <color rgb="FF000000"/>
      <name val="Aptos Narrow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2"/>
      <family val="0"/>
      <charset val="1"/>
    </font>
    <font>
      <b val="true"/>
      <sz val="11"/>
      <color rgb="FF000000"/>
      <name val="Aptos Narrow2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Aptos Narrow2"/>
      <family val="0"/>
      <charset val="1"/>
    </font>
    <font>
      <b val="true"/>
      <sz val="24"/>
      <color rgb="FF000000"/>
      <name val="Aptos Narrow2"/>
      <family val="0"/>
      <charset val="1"/>
    </font>
    <font>
      <u val="single"/>
      <sz val="11"/>
      <color rgb="FF0000EE"/>
      <name val="Aptos Narrow2"/>
      <family val="0"/>
      <charset val="1"/>
    </font>
    <font>
      <b val="true"/>
      <i val="true"/>
      <u val="single"/>
      <sz val="11"/>
      <color rgb="FF000000"/>
      <name val="Aptos Narrow2"/>
      <family val="0"/>
      <charset val="1"/>
    </font>
    <font>
      <sz val="11"/>
      <color rgb="FF000000"/>
      <name val="Calibri"/>
      <family val="0"/>
      <charset val="1"/>
    </font>
    <font>
      <sz val="11"/>
      <color rgb="FFCC0000"/>
      <name val="Aptos Narrow2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7"/>
      <color rgb="FF000000"/>
      <name val="Cambria"/>
      <family val="0"/>
      <charset val="1"/>
    </font>
    <font>
      <sz val="11"/>
      <color rgb="FF000000"/>
      <name val="Aptos Narrow1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ptos Narrow"/>
      <family val="0"/>
      <charset val="1"/>
    </font>
    <font>
      <sz val="16"/>
      <color rgb="FF000000"/>
      <name val="Calibri"/>
      <family val="0"/>
      <charset val="1"/>
    </font>
    <font>
      <sz val="18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1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202124"/>
      <name val="Arial1"/>
      <family val="0"/>
      <charset val="1"/>
    </font>
    <font>
      <u val="single"/>
      <sz val="11"/>
      <color theme="10"/>
      <name val="Aptos Narrow2"/>
      <family val="0"/>
      <charset val="1"/>
    </font>
    <font>
      <b val="true"/>
      <sz val="11"/>
      <color rgb="FF00000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202124"/>
      </patternFill>
    </fill>
    <fill>
      <patternFill patternType="solid">
        <fgColor rgb="FF808080"/>
        <bgColor rgb="FF8B8B8B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FF0000"/>
      </patternFill>
    </fill>
    <fill>
      <patternFill patternType="solid">
        <fgColor rgb="FFFFD966"/>
        <bgColor rgb="FFF4B183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D1D1D1"/>
      </patternFill>
    </fill>
    <fill>
      <patternFill patternType="solid">
        <fgColor rgb="FFF4B084"/>
        <bgColor rgb="FFF4B183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215F9A"/>
      </patternFill>
    </fill>
    <fill>
      <patternFill patternType="solid">
        <fgColor rgb="FFD9E1F2"/>
        <bgColor rgb="FFDAE3F3"/>
      </patternFill>
    </fill>
    <fill>
      <patternFill patternType="solid">
        <fgColor rgb="FFF2CFEE"/>
        <bgColor rgb="FFDDDDDD"/>
      </patternFill>
    </fill>
    <fill>
      <patternFill patternType="solid">
        <fgColor rgb="FFC1E5F5"/>
        <bgColor rgb="FFD9E1F2"/>
      </patternFill>
    </fill>
    <fill>
      <patternFill patternType="solid">
        <fgColor rgb="FFD9F2D0"/>
        <bgColor rgb="FFDAE3F3"/>
      </patternFill>
    </fill>
    <fill>
      <patternFill patternType="solid">
        <fgColor rgb="FFD1D1D1"/>
        <bgColor rgb="FFD9D9D9"/>
      </patternFill>
    </fill>
    <fill>
      <patternFill patternType="solid">
        <fgColor theme="5" tint="0.3997"/>
        <bgColor rgb="FFF4B084"/>
      </patternFill>
    </fill>
    <fill>
      <patternFill patternType="solid">
        <fgColor rgb="FFFFFF00"/>
        <bgColor rgb="FFFFD966"/>
      </patternFill>
    </fill>
    <fill>
      <patternFill patternType="solid">
        <fgColor rgb="FF215F9A"/>
        <bgColor rgb="FF2F5496"/>
      </patternFill>
    </fill>
    <fill>
      <patternFill patternType="solid">
        <fgColor rgb="FFF2AA84"/>
        <bgColor rgb="FFF4B084"/>
      </patternFill>
    </fill>
    <fill>
      <patternFill patternType="solid">
        <fgColor rgb="FFFFC000"/>
        <bgColor rgb="FFFFD966"/>
      </patternFill>
    </fill>
    <fill>
      <patternFill patternType="solid">
        <fgColor rgb="FFFFFFFF"/>
        <bgColor rgb="FFFBE5D6"/>
      </patternFill>
    </fill>
    <fill>
      <patternFill patternType="solid">
        <fgColor rgb="FFFF0000"/>
        <bgColor rgb="FFCC0000"/>
      </patternFill>
    </fill>
    <fill>
      <patternFill patternType="solid">
        <fgColor theme="4" tint="0.7999"/>
        <bgColor rgb="FFD9E1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7" fillId="1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7" fillId="1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6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215F9A"/>
      <rgbColor rgb="FFB3B3B3"/>
      <rgbColor rgb="FF808080"/>
      <rgbColor rgb="FFA5A5A5"/>
      <rgbColor rgb="FF993366"/>
      <rgbColor rgb="FFFBE5D6"/>
      <rgbColor rgb="FFC1E5F5"/>
      <rgbColor rgb="FF660066"/>
      <rgbColor rgb="FFF4B084"/>
      <rgbColor rgb="FF0563C1"/>
      <rgbColor rgb="FFB4C7E7"/>
      <rgbColor rgb="FF000080"/>
      <rgbColor rgb="FFFF00FF"/>
      <rgbColor rgb="FFC5E0B4"/>
      <rgbColor rgb="FF00FFFF"/>
      <rgbColor rgb="FF800080"/>
      <rgbColor rgb="FF800000"/>
      <rgbColor rgb="FF008080"/>
      <rgbColor rgb="FF0000FF"/>
      <rgbColor rgb="FF00CCFF"/>
      <rgbColor rgb="FFDAE3F3"/>
      <rgbColor rgb="FFD9F2D0"/>
      <rgbColor rgb="FFDDDDDD"/>
      <rgbColor rgb="FFD1D1D1"/>
      <rgbColor rgb="FFF2AA84"/>
      <rgbColor rgb="FFF2CFEE"/>
      <rgbColor rgb="FFFFD966"/>
      <rgbColor rgb="FF4472C4"/>
      <rgbColor rgb="FFD9D9D9"/>
      <rgbColor rgb="FF92D050"/>
      <rgbColor rgb="FFFFC000"/>
      <rgbColor rgb="FFF4B183"/>
      <rgbColor rgb="FFED7D31"/>
      <rgbColor rgb="FFD9E1F2"/>
      <rgbColor rgb="FF8B8B8B"/>
      <rgbColor rgb="FF003366"/>
      <rgbColor rgb="FF5B9BD5"/>
      <rgbColor rgb="FF003300"/>
      <rgbColor rgb="FF333300"/>
      <rgbColor rgb="FF993300"/>
      <rgbColor rgb="FF993366"/>
      <rgbColor rgb="FF2F5496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betaionone (trans)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'dens_visc_beta+2m3b2oh'!$B$24:$B$33</c:f>
              <c:numCache>
                <c:formatCode>General</c:formatCode>
                <c:ptCount val="10"/>
                <c:pt idx="0">
                  <c:v>0.84735</c:v>
                </c:pt>
                <c:pt idx="1">
                  <c:v>0.86523</c:v>
                </c:pt>
                <c:pt idx="2">
                  <c:v>0.88031</c:v>
                </c:pt>
                <c:pt idx="3">
                  <c:v>0.89316</c:v>
                </c:pt>
                <c:pt idx="4">
                  <c:v>0.90411</c:v>
                </c:pt>
                <c:pt idx="5">
                  <c:v>0.91437</c:v>
                </c:pt>
                <c:pt idx="6">
                  <c:v>0.92296</c:v>
                </c:pt>
                <c:pt idx="7">
                  <c:v>0.93115</c:v>
                </c:pt>
                <c:pt idx="8">
                  <c:v>0.93847</c:v>
                </c:pt>
                <c:pt idx="9">
                  <c:v>0.94498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'dens_visc_beta+2m3b2oh'!$C$24:$C$33</c:f>
              <c:numCache>
                <c:formatCode>General</c:formatCode>
                <c:ptCount val="10"/>
                <c:pt idx="0">
                  <c:v>0.83789</c:v>
                </c:pt>
                <c:pt idx="1">
                  <c:v>0.85629</c:v>
                </c:pt>
                <c:pt idx="2">
                  <c:v>0.87163</c:v>
                </c:pt>
                <c:pt idx="3">
                  <c:v>0.8848</c:v>
                </c:pt>
                <c:pt idx="4">
                  <c:v>0.89579</c:v>
                </c:pt>
                <c:pt idx="5">
                  <c:v>0.90623</c:v>
                </c:pt>
                <c:pt idx="6">
                  <c:v>0.91494</c:v>
                </c:pt>
                <c:pt idx="7">
                  <c:v>0.92328</c:v>
                </c:pt>
                <c:pt idx="8">
                  <c:v>0.93065</c:v>
                </c:pt>
                <c:pt idx="9">
                  <c:v>0.93726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'dens_visc_beta+2m3b2oh'!$D$24:$D$33</c:f>
              <c:numCache>
                <c:formatCode>General</c:formatCode>
                <c:ptCount val="10"/>
                <c:pt idx="0">
                  <c:v>0.8284</c:v>
                </c:pt>
                <c:pt idx="1">
                  <c:v>0.84711</c:v>
                </c:pt>
                <c:pt idx="2">
                  <c:v>0.86274</c:v>
                </c:pt>
                <c:pt idx="3">
                  <c:v>0.87617</c:v>
                </c:pt>
                <c:pt idx="4">
                  <c:v>0.88735</c:v>
                </c:pt>
                <c:pt idx="5">
                  <c:v>0.89798</c:v>
                </c:pt>
                <c:pt idx="6">
                  <c:v>0.90684</c:v>
                </c:pt>
                <c:pt idx="7">
                  <c:v>0.91532</c:v>
                </c:pt>
                <c:pt idx="8">
                  <c:v>0.92277</c:v>
                </c:pt>
                <c:pt idx="9">
                  <c:v>0.9295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'dens_visc_beta+2m3b2oh'!$E$24:$E$33</c:f>
              <c:numCache>
                <c:formatCode>General</c:formatCode>
                <c:ptCount val="10"/>
                <c:pt idx="0">
                  <c:v>0.81866</c:v>
                </c:pt>
                <c:pt idx="1">
                  <c:v>0.83774</c:v>
                </c:pt>
                <c:pt idx="2">
                  <c:v>0.8537</c:v>
                </c:pt>
                <c:pt idx="3">
                  <c:v>0.86742</c:v>
                </c:pt>
                <c:pt idx="4">
                  <c:v>0.87883</c:v>
                </c:pt>
                <c:pt idx="5">
                  <c:v>0.88967</c:v>
                </c:pt>
                <c:pt idx="6">
                  <c:v>0.89866</c:v>
                </c:pt>
                <c:pt idx="7">
                  <c:v>0.90733</c:v>
                </c:pt>
                <c:pt idx="8">
                  <c:v>0.91489</c:v>
                </c:pt>
                <c:pt idx="9">
                  <c:v>0.92172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'dens_visc_beta+2m3b2oh'!$F$24:$F$33</c:f>
              <c:numCache>
                <c:formatCode>General</c:formatCode>
                <c:ptCount val="10"/>
                <c:pt idx="0">
                  <c:v>0.80867</c:v>
                </c:pt>
                <c:pt idx="1">
                  <c:v>0.82815</c:v>
                </c:pt>
                <c:pt idx="2">
                  <c:v>0.84448</c:v>
                </c:pt>
                <c:pt idx="3">
                  <c:v>0.85853</c:v>
                </c:pt>
                <c:pt idx="4">
                  <c:v>0.8702</c:v>
                </c:pt>
                <c:pt idx="5">
                  <c:v>0.88128</c:v>
                </c:pt>
                <c:pt idx="6">
                  <c:v>0.89054</c:v>
                </c:pt>
                <c:pt idx="7">
                  <c:v>0.8993</c:v>
                </c:pt>
                <c:pt idx="8">
                  <c:v>0.90704</c:v>
                </c:pt>
                <c:pt idx="9">
                  <c:v>0.91396</c:v>
                </c:pt>
              </c:numCache>
            </c:numRef>
          </c:yVal>
          <c:smooth val="1"/>
        </c:ser>
        <c:axId val="65330854"/>
        <c:axId val="10693240"/>
      </c:scatterChart>
      <c:valAx>
        <c:axId val="65330854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693240"/>
        <c:crossBetween val="midCat"/>
      </c:valAx>
      <c:valAx>
        <c:axId val="10693240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330854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betaionone (trans)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'dens_visc_beta+2m3b2oh'!$G$23:$G$33</c:f>
              <c:numCache>
                <c:formatCode>0.0000</c:formatCode>
                <c:ptCount val="11"/>
                <c:pt idx="0">
                  <c:v>0</c:v>
                </c:pt>
                <c:pt idx="1">
                  <c:v>-0.271695920032798</c:v>
                </c:pt>
                <c:pt idx="2">
                  <c:v>-0.310093677581023</c:v>
                </c:pt>
                <c:pt idx="3">
                  <c:v>-0.29185238996547</c:v>
                </c:pt>
                <c:pt idx="4">
                  <c:v>-0.214093603273312</c:v>
                </c:pt>
                <c:pt idx="5">
                  <c:v>-0.178582693303127</c:v>
                </c:pt>
                <c:pt idx="6">
                  <c:v>-0.131727406842543</c:v>
                </c:pt>
                <c:pt idx="7">
                  <c:v>-0.0639973048383524</c:v>
                </c:pt>
                <c:pt idx="8">
                  <c:v>-0.0307102492322997</c:v>
                </c:pt>
                <c:pt idx="9">
                  <c:v>-0.0458342825775731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'dens_visc_beta+2m3b2oh'!$H$23:$H$33</c:f>
              <c:numCache>
                <c:formatCode>0.0000</c:formatCode>
                <c:ptCount val="11"/>
                <c:pt idx="0">
                  <c:v>0</c:v>
                </c:pt>
                <c:pt idx="1">
                  <c:v>-0.237649073052296</c:v>
                </c:pt>
                <c:pt idx="2">
                  <c:v>-0.31827545987629</c:v>
                </c:pt>
                <c:pt idx="3">
                  <c:v>-0.308438717383467</c:v>
                </c:pt>
                <c:pt idx="4">
                  <c:v>-0.251198152745076</c:v>
                </c:pt>
                <c:pt idx="5">
                  <c:v>-0.195124719634947</c:v>
                </c:pt>
                <c:pt idx="6">
                  <c:v>-0.151389116825783</c:v>
                </c:pt>
                <c:pt idx="7">
                  <c:v>-0.079040883626476</c:v>
                </c:pt>
                <c:pt idx="8">
                  <c:v>-0.0485586764441734</c:v>
                </c:pt>
                <c:pt idx="9">
                  <c:v>-0.0497841401461301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'dens_visc_beta+2m3b2oh'!$I$23:$I$33</c:f>
              <c:numCache>
                <c:formatCode>0.0000</c:formatCode>
                <c:ptCount val="11"/>
                <c:pt idx="0">
                  <c:v>0</c:v>
                </c:pt>
                <c:pt idx="1">
                  <c:v>-0.242124962065844</c:v>
                </c:pt>
                <c:pt idx="2">
                  <c:v>-0.331726614344674</c:v>
                </c:pt>
                <c:pt idx="3">
                  <c:v>-0.329559199415002</c:v>
                </c:pt>
                <c:pt idx="4">
                  <c:v>-0.277842425258569</c:v>
                </c:pt>
                <c:pt idx="5">
                  <c:v>-0.22063289151447</c:v>
                </c:pt>
                <c:pt idx="6">
                  <c:v>-0.176761256552794</c:v>
                </c:pt>
                <c:pt idx="7">
                  <c:v>-0.100478761194978</c:v>
                </c:pt>
                <c:pt idx="8">
                  <c:v>-0.0659004260798213</c:v>
                </c:pt>
                <c:pt idx="9">
                  <c:v>-0.0542196136540838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'dens_visc_beta+2m3b2oh'!$J$23:$J$33</c:f>
              <c:numCache>
                <c:formatCode>0.0000</c:formatCode>
                <c:ptCount val="11"/>
                <c:pt idx="0">
                  <c:v>0</c:v>
                </c:pt>
                <c:pt idx="1">
                  <c:v>-0.25460650333325</c:v>
                </c:pt>
                <c:pt idx="2">
                  <c:v>-0.356731141322058</c:v>
                </c:pt>
                <c:pt idx="3">
                  <c:v>-0.363240140418014</c:v>
                </c:pt>
                <c:pt idx="4">
                  <c:v>-0.316726592596581</c:v>
                </c:pt>
                <c:pt idx="5">
                  <c:v>-0.260253689968096</c:v>
                </c:pt>
                <c:pt idx="6">
                  <c:v>-0.214690127805056</c:v>
                </c:pt>
                <c:pt idx="7">
                  <c:v>-0.125380286462644</c:v>
                </c:pt>
                <c:pt idx="8">
                  <c:v>-0.0914685310370658</c:v>
                </c:pt>
                <c:pt idx="9">
                  <c:v>-0.0680735219575865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'dens_visc_beta+2m3b2oh'!$A$23:$A$33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'dens_visc_beta+2m3b2oh'!$K$23:$K$33</c:f>
              <c:numCache>
                <c:formatCode>0.0000</c:formatCode>
                <c:ptCount val="11"/>
                <c:pt idx="0">
                  <c:v>0</c:v>
                </c:pt>
                <c:pt idx="1">
                  <c:v>-0.276243345136024</c:v>
                </c:pt>
                <c:pt idx="2">
                  <c:v>-0.38906900556222</c:v>
                </c:pt>
                <c:pt idx="3">
                  <c:v>-0.404053484113803</c:v>
                </c:pt>
                <c:pt idx="4">
                  <c:v>-0.362792280611387</c:v>
                </c:pt>
                <c:pt idx="5">
                  <c:v>-0.305973598424629</c:v>
                </c:pt>
                <c:pt idx="6">
                  <c:v>-0.257540391443229</c:v>
                </c:pt>
                <c:pt idx="7">
                  <c:v>-0.176524797668776</c:v>
                </c:pt>
                <c:pt idx="8">
                  <c:v>-0.11677293712458</c:v>
                </c:pt>
                <c:pt idx="9">
                  <c:v>-0.0904655463076267</c:v>
                </c:pt>
                <c:pt idx="10">
                  <c:v>0</c:v>
                </c:pt>
              </c:numCache>
            </c:numRef>
          </c:yVal>
          <c:smooth val="1"/>
        </c:ser>
        <c:axId val="18712640"/>
        <c:axId val="59334363"/>
      </c:scatterChart>
      <c:valAx>
        <c:axId val="1871264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334363"/>
        <c:crossBetween val="midCat"/>
      </c:valAx>
      <c:valAx>
        <c:axId val="59334363"/>
        <c:scaling>
          <c:orientation val="minMax"/>
          <c:max val="0.1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71264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betaionone (trans)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'dens_visc_beta+2m3b2oh'!B37:B47</c:f>
              <c:numCache>
                <c:formatCode>General</c:formatCode>
                <c:ptCount val="11"/>
                <c:pt idx="0">
                  <c:v>2.353</c:v>
                </c:pt>
                <c:pt idx="1">
                  <c:v>2.826</c:v>
                </c:pt>
                <c:pt idx="2">
                  <c:v>3.278</c:v>
                </c:pt>
                <c:pt idx="3">
                  <c:v>3.764</c:v>
                </c:pt>
                <c:pt idx="4">
                  <c:v>4.321</c:v>
                </c:pt>
                <c:pt idx="5">
                  <c:v>4.948</c:v>
                </c:pt>
                <c:pt idx="6">
                  <c:v>5.757</c:v>
                </c:pt>
                <c:pt idx="7">
                  <c:v>6.687</c:v>
                </c:pt>
                <c:pt idx="8">
                  <c:v>7.915</c:v>
                </c:pt>
                <c:pt idx="9">
                  <c:v>9.388</c:v>
                </c:pt>
                <c:pt idx="10">
                  <c:v>11.31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'dens_visc_beta+2m3b2oh'!C37:C47</c:f>
              <c:numCache>
                <c:formatCode>General</c:formatCode>
                <c:ptCount val="11"/>
                <c:pt idx="0">
                  <c:v>1.682</c:v>
                </c:pt>
                <c:pt idx="1">
                  <c:v>2.021</c:v>
                </c:pt>
                <c:pt idx="2">
                  <c:v>2.35</c:v>
                </c:pt>
                <c:pt idx="3">
                  <c:v>2.698</c:v>
                </c:pt>
                <c:pt idx="4">
                  <c:v>3.087</c:v>
                </c:pt>
                <c:pt idx="5">
                  <c:v>3.51</c:v>
                </c:pt>
                <c:pt idx="6">
                  <c:v>4.038</c:v>
                </c:pt>
                <c:pt idx="7">
                  <c:v>4.636</c:v>
                </c:pt>
                <c:pt idx="8">
                  <c:v>5.372</c:v>
                </c:pt>
                <c:pt idx="9">
                  <c:v>6.239</c:v>
                </c:pt>
                <c:pt idx="10">
                  <c:v>7.323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'dens_visc_beta+2m3b2oh'!D37:D47</c:f>
              <c:numCache>
                <c:formatCode>General</c:formatCode>
                <c:ptCount val="11"/>
                <c:pt idx="0">
                  <c:v>1.247</c:v>
                </c:pt>
                <c:pt idx="1">
                  <c:v>1.502</c:v>
                </c:pt>
                <c:pt idx="2">
                  <c:v>1.753</c:v>
                </c:pt>
                <c:pt idx="3">
                  <c:v>2.016</c:v>
                </c:pt>
                <c:pt idx="4">
                  <c:v>2.304</c:v>
                </c:pt>
                <c:pt idx="5">
                  <c:v>2.61</c:v>
                </c:pt>
                <c:pt idx="6">
                  <c:v>2.986</c:v>
                </c:pt>
                <c:pt idx="7">
                  <c:v>3.396</c:v>
                </c:pt>
                <c:pt idx="8">
                  <c:v>3.883</c:v>
                </c:pt>
                <c:pt idx="9">
                  <c:v>4.443</c:v>
                </c:pt>
                <c:pt idx="10">
                  <c:v>5.121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'dens_visc_beta+2m3b2oh'!E37:E47</c:f>
              <c:numCache>
                <c:formatCode>General</c:formatCode>
                <c:ptCount val="11"/>
                <c:pt idx="0">
                  <c:v>0.964</c:v>
                </c:pt>
                <c:pt idx="1">
                  <c:v>1.154</c:v>
                </c:pt>
                <c:pt idx="2">
                  <c:v>1.352</c:v>
                </c:pt>
                <c:pt idx="3">
                  <c:v>1.56</c:v>
                </c:pt>
                <c:pt idx="4">
                  <c:v>1.783</c:v>
                </c:pt>
                <c:pt idx="5">
                  <c:v>2.016</c:v>
                </c:pt>
                <c:pt idx="6">
                  <c:v>2.296</c:v>
                </c:pt>
                <c:pt idx="7">
                  <c:v>2.59</c:v>
                </c:pt>
                <c:pt idx="8">
                  <c:v>2.945</c:v>
                </c:pt>
                <c:pt idx="9">
                  <c:v>3.334</c:v>
                </c:pt>
                <c:pt idx="10">
                  <c:v>3.792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'dens_visc_beta+2m3b2oh'!$A$37:$A$47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0.0996094454144295</c:v>
                </c:pt>
                <c:pt idx="2">
                  <c:v>0.197283787779712</c:v>
                </c:pt>
                <c:pt idx="3">
                  <c:v>0.296041685966012</c:v>
                </c:pt>
                <c:pt idx="4">
                  <c:v>0.396419244613166</c:v>
                </c:pt>
                <c:pt idx="5">
                  <c:v>0.492444610206307</c:v>
                </c:pt>
                <c:pt idx="6">
                  <c:v>0.595292092953273</c:v>
                </c:pt>
                <c:pt idx="7">
                  <c:v>0.694045700879001</c:v>
                </c:pt>
                <c:pt idx="8">
                  <c:v>0.797345611911684</c:v>
                </c:pt>
                <c:pt idx="9">
                  <c:v>0.897192362325708</c:v>
                </c:pt>
                <c:pt idx="10">
                  <c:v>1</c:v>
                </c:pt>
              </c:numCache>
            </c:numRef>
          </c:xVal>
          <c:yVal>
            <c:numRef>
              <c:f>'dens_visc_beta+2m3b2oh'!F37:F47</c:f>
              <c:numCache>
                <c:formatCode>General</c:formatCode>
                <c:ptCount val="11"/>
                <c:pt idx="0">
                  <c:v>0.757</c:v>
                </c:pt>
                <c:pt idx="1">
                  <c:v>0.912</c:v>
                </c:pt>
                <c:pt idx="2">
                  <c:v>1.073</c:v>
                </c:pt>
                <c:pt idx="3">
                  <c:v>1.241</c:v>
                </c:pt>
                <c:pt idx="4">
                  <c:v>1.42</c:v>
                </c:pt>
                <c:pt idx="5">
                  <c:v>1.605</c:v>
                </c:pt>
                <c:pt idx="6">
                  <c:v>1.824</c:v>
                </c:pt>
                <c:pt idx="7">
                  <c:v>2.051</c:v>
                </c:pt>
                <c:pt idx="8">
                  <c:v>2.317</c:v>
                </c:pt>
                <c:pt idx="9">
                  <c:v>2.6</c:v>
                </c:pt>
                <c:pt idx="10">
                  <c:v>2.938</c:v>
                </c:pt>
              </c:numCache>
            </c:numRef>
          </c:yVal>
          <c:smooth val="1"/>
        </c:ser>
        <c:axId val="48226189"/>
        <c:axId val="49211136"/>
      </c:scatterChart>
      <c:valAx>
        <c:axId val="48226189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211136"/>
        <c:crossBetween val="midCat"/>
      </c:valAx>
      <c:valAx>
        <c:axId val="49211136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226189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betaionone (trans)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'dens_visc_beta+2m2boh'!$B$23:$B$33</c:f>
              <c:numCache>
                <c:formatCode>General</c:formatCode>
                <c:ptCount val="11"/>
                <c:pt idx="0">
                  <c:v>0.80899</c:v>
                </c:pt>
                <c:pt idx="10">
                  <c:v>0.94498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'dens_visc_beta+2m2boh'!$C$23:$C$33</c:f>
              <c:numCache>
                <c:formatCode>General</c:formatCode>
                <c:ptCount val="11"/>
                <c:pt idx="0">
                  <c:v>0.79979</c:v>
                </c:pt>
                <c:pt idx="10">
                  <c:v>0.93726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'dens_visc_beta+2m2boh'!$D$23:$D$33</c:f>
              <c:numCache>
                <c:formatCode>General</c:formatCode>
                <c:ptCount val="11"/>
                <c:pt idx="0">
                  <c:v>0.79035</c:v>
                </c:pt>
                <c:pt idx="10">
                  <c:v>0.9295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'dens_visc_beta+2m2boh'!$E$23:$E$33</c:f>
              <c:numCache>
                <c:formatCode>General</c:formatCode>
                <c:ptCount val="11"/>
                <c:pt idx="0">
                  <c:v>0.7806</c:v>
                </c:pt>
                <c:pt idx="10">
                  <c:v>0.92172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'dens_visc_beta+2m2boh'!$F$23:$F$33</c:f>
              <c:numCache>
                <c:formatCode>General</c:formatCode>
                <c:ptCount val="11"/>
                <c:pt idx="0">
                  <c:v>0.77049</c:v>
                </c:pt>
                <c:pt idx="10">
                  <c:v>0.91396</c:v>
                </c:pt>
              </c:numCache>
            </c:numRef>
          </c:yVal>
          <c:smooth val="1"/>
        </c:ser>
        <c:axId val="77881235"/>
        <c:axId val="46528181"/>
      </c:scatterChart>
      <c:valAx>
        <c:axId val="77881235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28181"/>
        <c:crossBetween val="midCat"/>
      </c:valAx>
      <c:valAx>
        <c:axId val="46528181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881235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betaionone (trans)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'dens_visc_beta+2m2boh'!$G$23:$G$33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'dens_visc_beta+2m2boh'!$H$23:$H$33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'dens_visc_beta+2m2boh'!$I$23:$I$33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'dens_visc_beta+2m2boh'!$J$23:$J$33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'dens_visc_beta+2m2boh'!$K$23:$K$33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35886380"/>
        <c:axId val="68802681"/>
      </c:scatterChart>
      <c:valAx>
        <c:axId val="3588638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802681"/>
        <c:crossBetween val="midCat"/>
      </c:valAx>
      <c:valAx>
        <c:axId val="68802681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88638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betaionone (trans)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'dens_visc_beta+2m2boh'!$B$37:$B$47</c:f>
              <c:numCache>
                <c:formatCode>General</c:formatCode>
                <c:ptCount val="11"/>
                <c:pt idx="0">
                  <c:v>4.244</c:v>
                </c:pt>
                <c:pt idx="10">
                  <c:v>11.31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'dens_visc_beta+2m2boh'!$C$37:$C$47</c:f>
              <c:numCache>
                <c:formatCode>General</c:formatCode>
                <c:ptCount val="11"/>
                <c:pt idx="0">
                  <c:v>2.776</c:v>
                </c:pt>
                <c:pt idx="10">
                  <c:v>7.323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'dens_visc_beta+2m2boh'!$D$37:$D$47</c:f>
              <c:numCache>
                <c:formatCode>General</c:formatCode>
                <c:ptCount val="11"/>
                <c:pt idx="0">
                  <c:v>1.918</c:v>
                </c:pt>
                <c:pt idx="10">
                  <c:v>5.121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'dens_visc_beta+2m2boh'!$E$37:$E$47</c:f>
              <c:numCache>
                <c:formatCode>General</c:formatCode>
                <c:ptCount val="11"/>
                <c:pt idx="0">
                  <c:v>1.397</c:v>
                </c:pt>
                <c:pt idx="10">
                  <c:v>3.792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'dens_visc_beta+2m2boh'!$A$37:$A$47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'dens_visc_beta+2m2boh'!$F$37:$F$47</c:f>
              <c:numCache>
                <c:formatCode>General</c:formatCode>
                <c:ptCount val="11"/>
                <c:pt idx="0">
                  <c:v>1.036</c:v>
                </c:pt>
                <c:pt idx="10">
                  <c:v>2.938</c:v>
                </c:pt>
              </c:numCache>
            </c:numRef>
          </c:yVal>
          <c:smooth val="1"/>
        </c:ser>
        <c:axId val="47938564"/>
        <c:axId val="55457818"/>
      </c:scatterChart>
      <c:valAx>
        <c:axId val="47938564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57818"/>
        <c:crossBetween val="midCat"/>
      </c:valAx>
      <c:valAx>
        <c:axId val="5545781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38564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betaionone (trans)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'dens_visc_beta+1hexoh'!$B$23:$B$33</c:f>
              <c:numCache>
                <c:formatCode>General</c:formatCode>
                <c:ptCount val="11"/>
                <c:pt idx="0">
                  <c:v>0.81883</c:v>
                </c:pt>
                <c:pt idx="10">
                  <c:v>0.94498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'dens_visc_beta+1hexoh'!$C$23:$C$33</c:f>
              <c:numCache>
                <c:formatCode>General</c:formatCode>
                <c:ptCount val="11"/>
                <c:pt idx="0">
                  <c:v>0.81174</c:v>
                </c:pt>
                <c:pt idx="10">
                  <c:v>0.93726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'dens_visc_beta+1hexoh'!$D$23:$D$33</c:f>
              <c:numCache>
                <c:formatCode>General</c:formatCode>
                <c:ptCount val="11"/>
                <c:pt idx="0">
                  <c:v>0.80455</c:v>
                </c:pt>
                <c:pt idx="10">
                  <c:v>0.9295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'dens_visc_beta+1hexoh'!$E$23:$E$33</c:f>
              <c:numCache>
                <c:formatCode>General</c:formatCode>
                <c:ptCount val="11"/>
                <c:pt idx="0">
                  <c:v>0.79722</c:v>
                </c:pt>
                <c:pt idx="10">
                  <c:v>0.92172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'dens_visc_beta+1hexoh'!$F$23:$F$33</c:f>
              <c:numCache>
                <c:formatCode>General</c:formatCode>
                <c:ptCount val="11"/>
                <c:pt idx="0">
                  <c:v>0.78971</c:v>
                </c:pt>
                <c:pt idx="10">
                  <c:v>0.91396</c:v>
                </c:pt>
              </c:numCache>
            </c:numRef>
          </c:yVal>
          <c:smooth val="1"/>
        </c:ser>
        <c:axId val="28823726"/>
        <c:axId val="81634750"/>
      </c:scatterChart>
      <c:valAx>
        <c:axId val="2882372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34750"/>
        <c:crossBetween val="midCat"/>
      </c:valAx>
      <c:valAx>
        <c:axId val="81634750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82372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betaionone (trans)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'dens_visc_beta+1hexoh'!$G$23:$G$33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'dens_visc_beta+1hexoh'!$H$23:$H$33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'dens_visc_beta+1hexoh'!$I$23:$I$33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'dens_visc_beta+1hexoh'!$J$23:$J$33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'dens_visc_beta+1hexoh'!$K$23:$K$33</c:f>
              <c:numCache>
                <c:formatCode>General</c:formatCode>
                <c:ptCount val="11"/>
              </c:numCache>
            </c:numRef>
          </c:yVal>
          <c:smooth val="1"/>
        </c:ser>
        <c:axId val="18661052"/>
        <c:axId val="75480530"/>
      </c:scatterChart>
      <c:valAx>
        <c:axId val="18661052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480530"/>
        <c:crossBetween val="midCat"/>
      </c:valAx>
      <c:valAx>
        <c:axId val="75480530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661052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betaionone (trans)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'dens_visc_beta+1hexoh'!$B$37:$B$47</c:f>
              <c:numCache>
                <c:formatCode>General</c:formatCode>
                <c:ptCount val="11"/>
                <c:pt idx="0">
                  <c:v>5.278</c:v>
                </c:pt>
                <c:pt idx="10">
                  <c:v>11.31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'dens_visc_beta+1hexoh'!$C$37:$C$47</c:f>
              <c:numCache>
                <c:formatCode>General</c:formatCode>
                <c:ptCount val="11"/>
                <c:pt idx="0">
                  <c:v>3.881</c:v>
                </c:pt>
                <c:pt idx="10">
                  <c:v>7.323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'dens_visc_beta+1hexoh'!$D$37:$D$47</c:f>
              <c:numCache>
                <c:formatCode>General</c:formatCode>
                <c:ptCount val="11"/>
                <c:pt idx="0">
                  <c:v>2.919</c:v>
                </c:pt>
                <c:pt idx="10">
                  <c:v>5.121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'dens_visc_beta+1hexoh'!$E$37:$E$47</c:f>
              <c:numCache>
                <c:formatCode>General</c:formatCode>
                <c:ptCount val="11"/>
                <c:pt idx="0">
                  <c:v>2.24</c:v>
                </c:pt>
                <c:pt idx="10">
                  <c:v>3.792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'dens_visc_beta+1hexoh'!$A$37:$A$47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'dens_visc_beta+1hexoh'!$F$37:$F$47</c:f>
              <c:numCache>
                <c:formatCode>General</c:formatCode>
                <c:ptCount val="11"/>
                <c:pt idx="0">
                  <c:v>1.75</c:v>
                </c:pt>
                <c:pt idx="10">
                  <c:v>2.938</c:v>
                </c:pt>
              </c:numCache>
            </c:numRef>
          </c:yVal>
          <c:smooth val="1"/>
        </c:ser>
        <c:axId val="53184763"/>
        <c:axId val="21889703"/>
      </c:scatterChart>
      <c:valAx>
        <c:axId val="53184763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889703"/>
        <c:crossBetween val="midCat"/>
      </c:valAx>
      <c:valAx>
        <c:axId val="21889703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184763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betaionone (trans)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'dens_visc_beta+1octoh'!$B$23:$B$33</c:f>
              <c:numCache>
                <c:formatCode>General</c:formatCode>
                <c:ptCount val="11"/>
                <c:pt idx="0">
                  <c:v>0.82518</c:v>
                </c:pt>
                <c:pt idx="10">
                  <c:v>0.94498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'dens_visc_beta+1octoh'!$C$23:$C$33</c:f>
              <c:numCache>
                <c:formatCode>General</c:formatCode>
                <c:ptCount val="11"/>
                <c:pt idx="0">
                  <c:v>0.81835</c:v>
                </c:pt>
                <c:pt idx="10">
                  <c:v>0.93726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'dens_visc_beta+1octoh'!$D$23:$D$33</c:f>
              <c:numCache>
                <c:formatCode>General</c:formatCode>
                <c:ptCount val="11"/>
                <c:pt idx="0">
                  <c:v>0.81141</c:v>
                </c:pt>
                <c:pt idx="10">
                  <c:v>0.9295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'dens_visc_beta+1octoh'!$E$23:$E$33</c:f>
              <c:numCache>
                <c:formatCode>General</c:formatCode>
                <c:ptCount val="11"/>
                <c:pt idx="0">
                  <c:v>0.80433</c:v>
                </c:pt>
                <c:pt idx="10">
                  <c:v>0.92172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'dens_visc_beta+1octoh'!$F$23:$F$33</c:f>
              <c:numCache>
                <c:formatCode>General</c:formatCode>
                <c:ptCount val="11"/>
                <c:pt idx="0">
                  <c:v>0.79719</c:v>
                </c:pt>
                <c:pt idx="10">
                  <c:v>0.91396</c:v>
                </c:pt>
              </c:numCache>
            </c:numRef>
          </c:yVal>
          <c:smooth val="1"/>
        </c:ser>
        <c:axId val="26416568"/>
        <c:axId val="67602361"/>
      </c:scatterChart>
      <c:valAx>
        <c:axId val="2641656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02361"/>
        <c:crossBetween val="midCat"/>
      </c:valAx>
      <c:valAx>
        <c:axId val="67602361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41656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betaionone (trans)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'dens_visc_beta+1octoh'!$G$23:$G$33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'dens_visc_beta+1octoh'!$H$23:$H$33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'dens_visc_beta+1octoh'!$I$23:$I$33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'dens_visc_beta+1octoh'!$J$23:$J$33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'dens_visc_beta+1octoh'!$K$23:$K$33</c:f>
              <c:numCache>
                <c:formatCode>General</c:formatCode>
                <c:ptCount val="11"/>
              </c:numCache>
            </c:numRef>
          </c:yVal>
          <c:smooth val="1"/>
        </c:ser>
        <c:axId val="7125867"/>
        <c:axId val="64867904"/>
      </c:scatterChart>
      <c:valAx>
        <c:axId val="7125867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867904"/>
        <c:crossBetween val="midCat"/>
      </c:valAx>
      <c:valAx>
        <c:axId val="64867904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5867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betaionone (trans)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'dens_visc_beta+1octoh'!$B$37:$B$47</c:f>
              <c:numCache>
                <c:formatCode>General</c:formatCode>
                <c:ptCount val="11"/>
                <c:pt idx="0">
                  <c:v>8.801</c:v>
                </c:pt>
                <c:pt idx="10">
                  <c:v>11.31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'dens_visc_beta+1octoh'!$C$37:$C$47</c:f>
              <c:numCache>
                <c:formatCode>General</c:formatCode>
                <c:ptCount val="11"/>
                <c:pt idx="0">
                  <c:v>6.146</c:v>
                </c:pt>
                <c:pt idx="10">
                  <c:v>7.323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'dens_visc_beta+1octoh'!$D$37:$D$47</c:f>
              <c:numCache>
                <c:formatCode>General</c:formatCode>
                <c:ptCount val="11"/>
                <c:pt idx="0">
                  <c:v>4.454</c:v>
                </c:pt>
                <c:pt idx="10">
                  <c:v>5.121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'dens_visc_beta+1octoh'!$E$37:$E$47</c:f>
              <c:numCache>
                <c:formatCode>General</c:formatCode>
                <c:ptCount val="11"/>
                <c:pt idx="0">
                  <c:v>3.292</c:v>
                </c:pt>
                <c:pt idx="10">
                  <c:v>3.792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'dens_visc_beta+1octoh'!$A$37:$A$47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'dens_visc_beta+1octoh'!$F$37:$F$47</c:f>
              <c:numCache>
                <c:formatCode>General</c:formatCode>
                <c:ptCount val="11"/>
                <c:pt idx="0">
                  <c:v>2.511</c:v>
                </c:pt>
                <c:pt idx="10">
                  <c:v>2.938</c:v>
                </c:pt>
              </c:numCache>
            </c:numRef>
          </c:yVal>
          <c:smooth val="1"/>
        </c:ser>
        <c:axId val="85805406"/>
        <c:axId val="51345000"/>
      </c:scatterChart>
      <c:valAx>
        <c:axId val="8580540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345000"/>
        <c:crossBetween val="midCat"/>
      </c:valAx>
      <c:valAx>
        <c:axId val="51345000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0540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betaionone (trans)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'dens_visc_beta+mibk'!$B$23:$B$33</c:f>
              <c:numCache>
                <c:formatCode>0.00000</c:formatCode>
                <c:ptCount val="11"/>
                <c:pt idx="0">
                  <c:v>0.80143</c:v>
                </c:pt>
                <c:pt idx="1">
                  <c:v>0.81671</c:v>
                </c:pt>
                <c:pt idx="2">
                  <c:v>0.83112</c:v>
                </c:pt>
                <c:pt idx="3">
                  <c:v>0.8456</c:v>
                </c:pt>
                <c:pt idx="4">
                  <c:v>0.86044</c:v>
                </c:pt>
                <c:pt idx="5">
                  <c:v>0.87562</c:v>
                </c:pt>
                <c:pt idx="6">
                  <c:v>0.88947</c:v>
                </c:pt>
                <c:pt idx="7">
                  <c:v>0.90349</c:v>
                </c:pt>
                <c:pt idx="8">
                  <c:v>0.91698</c:v>
                </c:pt>
                <c:pt idx="9">
                  <c:v>0.9306</c:v>
                </c:pt>
                <c:pt idx="10">
                  <c:v>0.94498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'dens_visc_beta+mibk'!$C$23:$C$33</c:f>
              <c:numCache>
                <c:formatCode>0.00000</c:formatCode>
                <c:ptCount val="11"/>
                <c:pt idx="0">
                  <c:v>0.79234</c:v>
                </c:pt>
                <c:pt idx="1">
                  <c:v>0.80775</c:v>
                </c:pt>
                <c:pt idx="2">
                  <c:v>0.8223</c:v>
                </c:pt>
                <c:pt idx="3">
                  <c:v>0.83692</c:v>
                </c:pt>
                <c:pt idx="4">
                  <c:v>0.8519</c:v>
                </c:pt>
                <c:pt idx="5">
                  <c:v>0.86721</c:v>
                </c:pt>
                <c:pt idx="6">
                  <c:v>0.88119</c:v>
                </c:pt>
                <c:pt idx="7">
                  <c:v>0.89533</c:v>
                </c:pt>
                <c:pt idx="8">
                  <c:v>0.90893</c:v>
                </c:pt>
                <c:pt idx="9">
                  <c:v>0.92266</c:v>
                </c:pt>
                <c:pt idx="10">
                  <c:v>0.93726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'dens_visc_beta+mibk'!$D$23:$D$33</c:f>
              <c:numCache>
                <c:formatCode>0.00000</c:formatCode>
                <c:ptCount val="11"/>
                <c:pt idx="0">
                  <c:v>0.78314</c:v>
                </c:pt>
                <c:pt idx="1">
                  <c:v>0.79866</c:v>
                </c:pt>
                <c:pt idx="2">
                  <c:v>0.81337</c:v>
                </c:pt>
                <c:pt idx="3">
                  <c:v>0.82814</c:v>
                </c:pt>
                <c:pt idx="4">
                  <c:v>0.84327</c:v>
                </c:pt>
                <c:pt idx="5">
                  <c:v>0.85873</c:v>
                </c:pt>
                <c:pt idx="6">
                  <c:v>0.87285</c:v>
                </c:pt>
                <c:pt idx="7">
                  <c:v>0.88712</c:v>
                </c:pt>
                <c:pt idx="8">
                  <c:v>0.90086</c:v>
                </c:pt>
                <c:pt idx="9">
                  <c:v>0.91471</c:v>
                </c:pt>
                <c:pt idx="10">
                  <c:v>0.9295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'dens_visc_beta+mibk'!$E$23:$E$33</c:f>
              <c:numCache>
                <c:formatCode>0.00000</c:formatCode>
                <c:ptCount val="11"/>
                <c:pt idx="0">
                  <c:v>0.77383</c:v>
                </c:pt>
                <c:pt idx="1">
                  <c:v>0.7895</c:v>
                </c:pt>
                <c:pt idx="2">
                  <c:v>0.80438</c:v>
                </c:pt>
                <c:pt idx="3">
                  <c:v>0.81931</c:v>
                </c:pt>
                <c:pt idx="4">
                  <c:v>0.8346</c:v>
                </c:pt>
                <c:pt idx="5">
                  <c:v>0.85022</c:v>
                </c:pt>
                <c:pt idx="6">
                  <c:v>0.86448</c:v>
                </c:pt>
                <c:pt idx="7">
                  <c:v>0.8789</c:v>
                </c:pt>
                <c:pt idx="8">
                  <c:v>0.89277</c:v>
                </c:pt>
                <c:pt idx="9">
                  <c:v>0.90674</c:v>
                </c:pt>
                <c:pt idx="10">
                  <c:v>0.92172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'dens_visc_beta+mibk'!$F$23:$F$33</c:f>
              <c:numCache>
                <c:formatCode>0.00000</c:formatCode>
                <c:ptCount val="11"/>
                <c:pt idx="0">
                  <c:v>0.76444</c:v>
                </c:pt>
                <c:pt idx="1">
                  <c:v>0.78026</c:v>
                </c:pt>
                <c:pt idx="2">
                  <c:v>0.79532</c:v>
                </c:pt>
                <c:pt idx="3">
                  <c:v>0.81042</c:v>
                </c:pt>
                <c:pt idx="4">
                  <c:v>0.82588</c:v>
                </c:pt>
                <c:pt idx="5">
                  <c:v>0.84167</c:v>
                </c:pt>
                <c:pt idx="6">
                  <c:v>0.85608</c:v>
                </c:pt>
                <c:pt idx="7">
                  <c:v>0.87065</c:v>
                </c:pt>
                <c:pt idx="8">
                  <c:v>0.88464</c:v>
                </c:pt>
                <c:pt idx="9">
                  <c:v>0.89876</c:v>
                </c:pt>
                <c:pt idx="10">
                  <c:v>0.91396</c:v>
                </c:pt>
              </c:numCache>
            </c:numRef>
          </c:yVal>
          <c:smooth val="1"/>
        </c:ser>
        <c:axId val="13582365"/>
        <c:axId val="44320451"/>
      </c:scatterChart>
      <c:valAx>
        <c:axId val="13582365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320451"/>
        <c:crossBetween val="midCat"/>
      </c:valAx>
      <c:valAx>
        <c:axId val="44320451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582365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betaionone (trans)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'dens_visc_beta+mibk'!$G$23:$G$33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'dens_visc_beta+mibk'!$H$23:$H$33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'dens_visc_beta+mibk'!$I$23:$I$33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'dens_visc_beta+mibk'!$J$23:$J$33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'dens_visc_beta+mibk'!$K$23:$K$33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20956680"/>
        <c:axId val="21930598"/>
      </c:scatterChart>
      <c:valAx>
        <c:axId val="2095668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930598"/>
        <c:crossBetween val="midCat"/>
      </c:valAx>
      <c:valAx>
        <c:axId val="2193059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5668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betaionone (trans)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'dens_visc_beta+mibk'!$B$37:$B$47</c:f>
              <c:numCache>
                <c:formatCode>0.000</c:formatCode>
                <c:ptCount val="11"/>
                <c:pt idx="0">
                  <c:v>0.58507</c:v>
                </c:pt>
                <c:pt idx="1">
                  <c:v>0.702</c:v>
                </c:pt>
                <c:pt idx="2">
                  <c:v>0.837</c:v>
                </c:pt>
                <c:pt idx="3">
                  <c:v>1.065</c:v>
                </c:pt>
                <c:pt idx="4">
                  <c:v>1.305</c:v>
                </c:pt>
                <c:pt idx="5">
                  <c:v>1.681</c:v>
                </c:pt>
                <c:pt idx="6">
                  <c:v>2.205</c:v>
                </c:pt>
                <c:pt idx="7">
                  <c:v>2.98</c:v>
                </c:pt>
                <c:pt idx="8">
                  <c:v>4.251</c:v>
                </c:pt>
                <c:pt idx="9">
                  <c:v>6.532</c:v>
                </c:pt>
                <c:pt idx="10">
                  <c:v>11.31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'dens_visc_beta+mibk'!$C$37:$C$47</c:f>
              <c:numCache>
                <c:formatCode>0.000</c:formatCode>
                <c:ptCount val="11"/>
                <c:pt idx="0">
                  <c:v>0.5218</c:v>
                </c:pt>
                <c:pt idx="1">
                  <c:v>0.618</c:v>
                </c:pt>
                <c:pt idx="2">
                  <c:v>0.728</c:v>
                </c:pt>
                <c:pt idx="3">
                  <c:v>0.919</c:v>
                </c:pt>
                <c:pt idx="4">
                  <c:v>1.1</c:v>
                </c:pt>
                <c:pt idx="5">
                  <c:v>1.386</c:v>
                </c:pt>
                <c:pt idx="6">
                  <c:v>1.774</c:v>
                </c:pt>
                <c:pt idx="7">
                  <c:v>2.32</c:v>
                </c:pt>
                <c:pt idx="8">
                  <c:v>3.175</c:v>
                </c:pt>
                <c:pt idx="9">
                  <c:v>4.607</c:v>
                </c:pt>
                <c:pt idx="10">
                  <c:v>7.323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'dens_visc_beta+mibk'!$D$37:$D$47</c:f>
              <c:numCache>
                <c:formatCode>0.000</c:formatCode>
                <c:ptCount val="11"/>
                <c:pt idx="0">
                  <c:v>0.46729</c:v>
                </c:pt>
                <c:pt idx="1">
                  <c:v>0.549</c:v>
                </c:pt>
                <c:pt idx="2">
                  <c:v>0.639</c:v>
                </c:pt>
                <c:pt idx="3">
                  <c:v>0.795</c:v>
                </c:pt>
                <c:pt idx="4">
                  <c:v>0.942</c:v>
                </c:pt>
                <c:pt idx="5">
                  <c:v>1.168</c:v>
                </c:pt>
                <c:pt idx="6">
                  <c:v>1.464</c:v>
                </c:pt>
                <c:pt idx="7">
                  <c:v>1.865</c:v>
                </c:pt>
                <c:pt idx="8">
                  <c:v>2.471</c:v>
                </c:pt>
                <c:pt idx="9">
                  <c:v>3.431</c:v>
                </c:pt>
                <c:pt idx="10">
                  <c:v>5.121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'dens_visc_beta+mibk'!$E$37:$E$47</c:f>
              <c:numCache>
                <c:formatCode>0.000</c:formatCode>
                <c:ptCount val="11"/>
                <c:pt idx="0">
                  <c:v>0.42305</c:v>
                </c:pt>
                <c:pt idx="1">
                  <c:v>0.49</c:v>
                </c:pt>
                <c:pt idx="2">
                  <c:v>0.567</c:v>
                </c:pt>
                <c:pt idx="3">
                  <c:v>0.696</c:v>
                </c:pt>
                <c:pt idx="4">
                  <c:v>0.819</c:v>
                </c:pt>
                <c:pt idx="5">
                  <c:v>1.001</c:v>
                </c:pt>
                <c:pt idx="6">
                  <c:v>1.232</c:v>
                </c:pt>
                <c:pt idx="7">
                  <c:v>1.539</c:v>
                </c:pt>
                <c:pt idx="8">
                  <c:v>1.987</c:v>
                </c:pt>
                <c:pt idx="9">
                  <c:v>2.665</c:v>
                </c:pt>
                <c:pt idx="10">
                  <c:v>3.792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'dens_visc_beta+mibk'!$A$37:$A$47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'dens_visc_beta+mibk'!$F$37:$F$47</c:f>
              <c:numCache>
                <c:formatCode>0.000</c:formatCode>
                <c:ptCount val="11"/>
                <c:pt idx="0">
                  <c:v>0.38771</c:v>
                </c:pt>
                <c:pt idx="1">
                  <c:v>0.442</c:v>
                </c:pt>
                <c:pt idx="2">
                  <c:v>0.508</c:v>
                </c:pt>
                <c:pt idx="3">
                  <c:v>0.617</c:v>
                </c:pt>
                <c:pt idx="4">
                  <c:v>0.72</c:v>
                </c:pt>
                <c:pt idx="5">
                  <c:v>0.869</c:v>
                </c:pt>
                <c:pt idx="6">
                  <c:v>1.055</c:v>
                </c:pt>
                <c:pt idx="7">
                  <c:v>1.297</c:v>
                </c:pt>
                <c:pt idx="8">
                  <c:v>1.638</c:v>
                </c:pt>
                <c:pt idx="9">
                  <c:v>2.139</c:v>
                </c:pt>
                <c:pt idx="10">
                  <c:v>2.938</c:v>
                </c:pt>
              </c:numCache>
            </c:numRef>
          </c:yVal>
          <c:smooth val="1"/>
        </c:ser>
        <c:axId val="67594968"/>
        <c:axId val="50220993"/>
      </c:scatterChart>
      <c:valAx>
        <c:axId val="6759496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220993"/>
        <c:crossBetween val="midCat"/>
      </c:valAx>
      <c:valAx>
        <c:axId val="50220993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59496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betaionone (trans)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'dens_visc_beta+2octanone'!$B$23:$B$33</c:f>
              <c:numCache>
                <c:formatCode>General</c:formatCode>
                <c:ptCount val="11"/>
                <c:pt idx="0">
                  <c:v>0.81906</c:v>
                </c:pt>
                <c:pt idx="10">
                  <c:v>0.94498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'dens_visc_beta+2octanone'!$C$23:$C$33</c:f>
              <c:numCache>
                <c:formatCode>General</c:formatCode>
                <c:ptCount val="11"/>
                <c:pt idx="0">
                  <c:v>0.81089</c:v>
                </c:pt>
                <c:pt idx="10">
                  <c:v>0.93726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'dens_visc_beta+2octanone'!$D$23:$D$33</c:f>
              <c:numCache>
                <c:formatCode>General</c:formatCode>
                <c:ptCount val="11"/>
                <c:pt idx="0">
                  <c:v>0.80264</c:v>
                </c:pt>
                <c:pt idx="10">
                  <c:v>0.9295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'dens_visc_beta+2octanone'!$E$23:$E$33</c:f>
              <c:numCache>
                <c:formatCode>General</c:formatCode>
                <c:ptCount val="11"/>
                <c:pt idx="0">
                  <c:v>0.79435</c:v>
                </c:pt>
                <c:pt idx="10">
                  <c:v>0.92172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'dens_visc_beta+2octanone'!$F$23:$F$33</c:f>
              <c:numCache>
                <c:formatCode>General</c:formatCode>
                <c:ptCount val="11"/>
                <c:pt idx="0">
                  <c:v>0.78598</c:v>
                </c:pt>
                <c:pt idx="10">
                  <c:v>0.91396</c:v>
                </c:pt>
              </c:numCache>
            </c:numRef>
          </c:yVal>
          <c:smooth val="1"/>
        </c:ser>
        <c:axId val="9970171"/>
        <c:axId val="88946778"/>
      </c:scatterChart>
      <c:valAx>
        <c:axId val="9970171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946778"/>
        <c:crossBetween val="midCat"/>
      </c:valAx>
      <c:valAx>
        <c:axId val="8894677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0171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betaionone (trans)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'dens_visc_beta+2octanone'!$G$23:$G$33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'dens_visc_beta+2octanone'!$H$23:$H$33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'dens_visc_beta+2octanone'!$I$23:$I$33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'dens_visc_beta+2octanone'!$J$23:$J$33</c:f>
              <c:numCache>
                <c:formatCode>General</c:formatCode>
                <c:ptCount val="11"/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'dens_visc_beta+2octanone'!$A$23:$A$33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'dens_visc_beta+2octanone'!$K$23:$K$33</c:f>
              <c:numCache>
                <c:formatCode>General</c:formatCode>
                <c:ptCount val="11"/>
              </c:numCache>
            </c:numRef>
          </c:yVal>
          <c:smooth val="1"/>
        </c:ser>
        <c:axId val="15659074"/>
        <c:axId val="67637837"/>
      </c:scatterChart>
      <c:valAx>
        <c:axId val="15659074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37837"/>
        <c:crossBetween val="midCat"/>
      </c:valAx>
      <c:valAx>
        <c:axId val="67637837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659074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betaionone (trans)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'dens_visc_beta+2octanone'!$B$37:$B$47</c:f>
              <c:numCache>
                <c:formatCode>General</c:formatCode>
                <c:ptCount val="11"/>
                <c:pt idx="0">
                  <c:v>1.01</c:v>
                </c:pt>
                <c:pt idx="10">
                  <c:v>11.31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'dens_visc_beta+2octanone'!$C$37:$C$47</c:f>
              <c:numCache>
                <c:formatCode>General</c:formatCode>
                <c:ptCount val="11"/>
                <c:pt idx="0">
                  <c:v>0.869</c:v>
                </c:pt>
                <c:pt idx="10">
                  <c:v>7.323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'dens_visc_beta+2octanone'!$D$37:$D$47</c:f>
              <c:numCache>
                <c:formatCode>General</c:formatCode>
                <c:ptCount val="11"/>
                <c:pt idx="0">
                  <c:v>0.758</c:v>
                </c:pt>
                <c:pt idx="10">
                  <c:v>5.121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'dens_visc_beta+2octanone'!$E$37:$E$47</c:f>
              <c:numCache>
                <c:formatCode>General</c:formatCode>
                <c:ptCount val="11"/>
                <c:pt idx="0">
                  <c:v>0.668</c:v>
                </c:pt>
                <c:pt idx="10">
                  <c:v>3.792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'dens_visc_beta+2octanone'!$A$37:$A$47</c:f>
              <c:numCache>
                <c:formatCode>General</c:formatCode>
                <c:ptCount val="11"/>
              </c:numCache>
            </c:numRef>
          </c:xVal>
          <c:yVal>
            <c:numRef>
              <c:f>'dens_visc_beta+2octanone'!$F$37:$F$47</c:f>
              <c:numCache>
                <c:formatCode>General</c:formatCode>
                <c:ptCount val="11"/>
                <c:pt idx="0">
                  <c:v>0.595</c:v>
                </c:pt>
                <c:pt idx="10">
                  <c:v>2.938</c:v>
                </c:pt>
              </c:numCache>
            </c:numRef>
          </c:yVal>
          <c:smooth val="1"/>
        </c:ser>
        <c:axId val="26249072"/>
        <c:axId val="28893117"/>
      </c:scatterChart>
      <c:valAx>
        <c:axId val="26249072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893117"/>
        <c:crossBetween val="midCat"/>
      </c:valAx>
      <c:valAx>
        <c:axId val="28893117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49072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2-phenylethanol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'dens_visc_2pe+2m3b2oh'!$B$23:$B$33</c:f>
              <c:numCache>
                <c:formatCode>General</c:formatCode>
                <c:ptCount val="11"/>
                <c:pt idx="0">
                  <c:v>0.82388</c:v>
                </c:pt>
                <c:pt idx="1">
                  <c:v>0.84994</c:v>
                </c:pt>
                <c:pt idx="2">
                  <c:v>0.87251</c:v>
                </c:pt>
                <c:pt idx="3">
                  <c:v>0.89367</c:v>
                </c:pt>
                <c:pt idx="4">
                  <c:v>0.91618</c:v>
                </c:pt>
                <c:pt idx="5">
                  <c:v>0.93261</c:v>
                </c:pt>
                <c:pt idx="6">
                  <c:v>0.95358</c:v>
                </c:pt>
                <c:pt idx="7">
                  <c:v>0.97081</c:v>
                </c:pt>
                <c:pt idx="8">
                  <c:v>0.98783</c:v>
                </c:pt>
                <c:pt idx="9">
                  <c:v>1.00393</c:v>
                </c:pt>
                <c:pt idx="10">
                  <c:v>1.01985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'dens_visc_2pe+2m3b2oh'!$C$23:$C$33</c:f>
              <c:numCache>
                <c:formatCode>General</c:formatCode>
                <c:ptCount val="11"/>
                <c:pt idx="0">
                  <c:v>0.81447</c:v>
                </c:pt>
                <c:pt idx="1">
                  <c:v>0.84064</c:v>
                </c:pt>
                <c:pt idx="2">
                  <c:v>0.86356</c:v>
                </c:pt>
                <c:pt idx="3">
                  <c:v>0.88491</c:v>
                </c:pt>
                <c:pt idx="4">
                  <c:v>0.90767</c:v>
                </c:pt>
                <c:pt idx="5">
                  <c:v>0.92431</c:v>
                </c:pt>
                <c:pt idx="6">
                  <c:v>0.94558</c:v>
                </c:pt>
                <c:pt idx="7">
                  <c:v>0.96301</c:v>
                </c:pt>
                <c:pt idx="8">
                  <c:v>0.98019</c:v>
                </c:pt>
                <c:pt idx="9">
                  <c:v>0.99643</c:v>
                </c:pt>
                <c:pt idx="10">
                  <c:v>1.01244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'dens_visc_2pe+2m3b2oh'!$D$23:$D$33</c:f>
              <c:numCache>
                <c:formatCode>General</c:formatCode>
                <c:ptCount val="11"/>
                <c:pt idx="0">
                  <c:v>0.8047</c:v>
                </c:pt>
                <c:pt idx="1">
                  <c:v>0.83113</c:v>
                </c:pt>
                <c:pt idx="2">
                  <c:v>0.85433</c:v>
                </c:pt>
                <c:pt idx="3">
                  <c:v>0.87595</c:v>
                </c:pt>
                <c:pt idx="4">
                  <c:v>0.89901</c:v>
                </c:pt>
                <c:pt idx="5">
                  <c:v>0.91587</c:v>
                </c:pt>
                <c:pt idx="6">
                  <c:v>0.93742</c:v>
                </c:pt>
                <c:pt idx="7">
                  <c:v>0.95504</c:v>
                </c:pt>
                <c:pt idx="8">
                  <c:v>0.9724</c:v>
                </c:pt>
                <c:pt idx="9">
                  <c:v>0.9888</c:v>
                </c:pt>
                <c:pt idx="10">
                  <c:v>1.00494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'dens_visc_2pe+2m3b2oh'!$E$23:$E$33</c:f>
              <c:numCache>
                <c:formatCode>General</c:formatCode>
                <c:ptCount val="11"/>
                <c:pt idx="0">
                  <c:v>0.79458</c:v>
                </c:pt>
                <c:pt idx="1">
                  <c:v>0.82133</c:v>
                </c:pt>
                <c:pt idx="2">
                  <c:v>0.84486</c:v>
                </c:pt>
                <c:pt idx="3">
                  <c:v>0.86678</c:v>
                </c:pt>
                <c:pt idx="4">
                  <c:v>0.89015</c:v>
                </c:pt>
                <c:pt idx="5">
                  <c:v>0.90725</c:v>
                </c:pt>
                <c:pt idx="6">
                  <c:v>0.9291</c:v>
                </c:pt>
                <c:pt idx="7">
                  <c:v>0.94694</c:v>
                </c:pt>
                <c:pt idx="8">
                  <c:v>0.9645</c:v>
                </c:pt>
                <c:pt idx="9">
                  <c:v>0.98107</c:v>
                </c:pt>
                <c:pt idx="10">
                  <c:v>0.99736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'dens_visc_2pe+2m3b2oh'!$F$23:$F$33</c:f>
              <c:numCache>
                <c:formatCode>General</c:formatCode>
                <c:ptCount val="11"/>
                <c:pt idx="0">
                  <c:v>0.7841</c:v>
                </c:pt>
                <c:pt idx="1">
                  <c:v>0.81124</c:v>
                </c:pt>
                <c:pt idx="2">
                  <c:v>0.83511</c:v>
                </c:pt>
                <c:pt idx="3">
                  <c:v>0.85736</c:v>
                </c:pt>
                <c:pt idx="4">
                  <c:v>0.88111</c:v>
                </c:pt>
                <c:pt idx="5">
                  <c:v>0.89845</c:v>
                </c:pt>
                <c:pt idx="6">
                  <c:v>0.9206</c:v>
                </c:pt>
                <c:pt idx="7">
                  <c:v>0.93868</c:v>
                </c:pt>
                <c:pt idx="8">
                  <c:v>0.95646</c:v>
                </c:pt>
                <c:pt idx="9">
                  <c:v>0.97322</c:v>
                </c:pt>
                <c:pt idx="10">
                  <c:v>0.9897</c:v>
                </c:pt>
              </c:numCache>
            </c:numRef>
          </c:yVal>
          <c:smooth val="1"/>
        </c:ser>
        <c:axId val="31693848"/>
        <c:axId val="82477169"/>
      </c:scatterChart>
      <c:valAx>
        <c:axId val="3169384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477169"/>
        <c:crossBetween val="midCat"/>
      </c:valAx>
      <c:valAx>
        <c:axId val="82477169"/>
        <c:scaling>
          <c:orientation val="minMax"/>
          <c:min val="0.75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69384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2-phenylethanol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-0.376389599100193</c:v>
                </c:pt>
                <c:pt idx="2">
                  <c:v>-0.587454262529619</c:v>
                </c:pt>
                <c:pt idx="3">
                  <c:v>-0.640288897768031</c:v>
                </c:pt>
                <c:pt idx="4">
                  <c:v>-0.700623015033372</c:v>
                </c:pt>
                <c:pt idx="5">
                  <c:v>-0.673842296544876</c:v>
                </c:pt>
                <c:pt idx="6">
                  <c:v>-0.586328234899114</c:v>
                </c:pt>
                <c:pt idx="7">
                  <c:v>-0.468662034416056</c:v>
                </c:pt>
                <c:pt idx="8">
                  <c:v>-0.324439713135519</c:v>
                </c:pt>
                <c:pt idx="9">
                  <c:v>-0.161872003811027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-0.379762764921864</c:v>
                </c:pt>
                <c:pt idx="2">
                  <c:v>-0.619536899133095</c:v>
                </c:pt>
                <c:pt idx="3">
                  <c:v>-0.674941257051415</c:v>
                </c:pt>
                <c:pt idx="4">
                  <c:v>-0.741379062989978</c:v>
                </c:pt>
                <c:pt idx="5">
                  <c:v>-0.718613565036151</c:v>
                </c:pt>
                <c:pt idx="6">
                  <c:v>-0.636418918872764</c:v>
                </c:pt>
                <c:pt idx="7">
                  <c:v>-0.51444331436619</c:v>
                </c:pt>
                <c:pt idx="8">
                  <c:v>-0.359166126406038</c:v>
                </c:pt>
                <c:pt idx="9">
                  <c:v>-0.182695447854542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-0.400291820800888</c:v>
                </c:pt>
                <c:pt idx="2">
                  <c:v>-0.658162652662526</c:v>
                </c:pt>
                <c:pt idx="3">
                  <c:v>-0.723269157599844</c:v>
                </c:pt>
                <c:pt idx="4">
                  <c:v>-0.798647239700401</c:v>
                </c:pt>
                <c:pt idx="5">
                  <c:v>-0.778291853958024</c:v>
                </c:pt>
                <c:pt idx="6">
                  <c:v>-0.695003543203455</c:v>
                </c:pt>
                <c:pt idx="7">
                  <c:v>-0.563676534913526</c:v>
                </c:pt>
                <c:pt idx="8">
                  <c:v>-0.395562379714562</c:v>
                </c:pt>
                <c:pt idx="9">
                  <c:v>-0.203306206853412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-0.427331178566732</c:v>
                </c:pt>
                <c:pt idx="2">
                  <c:v>-0.707924795365202</c:v>
                </c:pt>
                <c:pt idx="3">
                  <c:v>-0.783854728753838</c:v>
                </c:pt>
                <c:pt idx="4">
                  <c:v>-0.866112035935771</c:v>
                </c:pt>
                <c:pt idx="5">
                  <c:v>-0.847759871115486</c:v>
                </c:pt>
                <c:pt idx="6">
                  <c:v>-0.761610449793295</c:v>
                </c:pt>
                <c:pt idx="7">
                  <c:v>-0.620540896628086</c:v>
                </c:pt>
                <c:pt idx="8">
                  <c:v>-0.437621396194032</c:v>
                </c:pt>
                <c:pt idx="9">
                  <c:v>-0.226268308764475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-0.462790183117917</c:v>
                </c:pt>
                <c:pt idx="2">
                  <c:v>-0.765659214610778</c:v>
                </c:pt>
                <c:pt idx="3">
                  <c:v>-0.85358590912017</c:v>
                </c:pt>
                <c:pt idx="4">
                  <c:v>-0.948252140238338</c:v>
                </c:pt>
                <c:pt idx="5">
                  <c:v>-0.928733626607482</c:v>
                </c:pt>
                <c:pt idx="6">
                  <c:v>-0.835089027013382</c:v>
                </c:pt>
                <c:pt idx="7">
                  <c:v>-0.682400272956031</c:v>
                </c:pt>
                <c:pt idx="8">
                  <c:v>-0.482381554031875</c:v>
                </c:pt>
                <c:pt idx="9">
                  <c:v>-0.249466778890607</c:v>
                </c:pt>
                <c:pt idx="10">
                  <c:v>0</c:v>
                </c:pt>
              </c:numCache>
            </c:numRef>
          </c:yVal>
          <c:smooth val="1"/>
        </c:ser>
        <c:axId val="61218566"/>
        <c:axId val="43041592"/>
      </c:scatterChart>
      <c:valAx>
        <c:axId val="6121856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041592"/>
        <c:crossBetween val="midCat"/>
      </c:valAx>
      <c:valAx>
        <c:axId val="43041592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21856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2-phenylethanol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'dens_visc_2pe+2m3b2oh'!$B$37:$B$47</c:f>
              <c:numCache>
                <c:formatCode>General</c:formatCode>
                <c:ptCount val="11"/>
                <c:pt idx="0">
                  <c:v>2.353</c:v>
                </c:pt>
                <c:pt idx="1">
                  <c:v>3.095</c:v>
                </c:pt>
                <c:pt idx="2">
                  <c:v>4.023</c:v>
                </c:pt>
                <c:pt idx="3">
                  <c:v>4.48</c:v>
                </c:pt>
                <c:pt idx="4">
                  <c:v>6.064</c:v>
                </c:pt>
                <c:pt idx="5">
                  <c:v>7.061</c:v>
                </c:pt>
                <c:pt idx="6">
                  <c:v>8.918</c:v>
                </c:pt>
                <c:pt idx="7">
                  <c:v>9.8</c:v>
                </c:pt>
                <c:pt idx="8">
                  <c:v>11.18</c:v>
                </c:pt>
                <c:pt idx="9">
                  <c:v>12.66</c:v>
                </c:pt>
                <c:pt idx="10">
                  <c:v>14.04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'dens_visc_2pe+2m3b2oh'!$C$37:$C$47</c:f>
              <c:numCache>
                <c:formatCode>General</c:formatCode>
                <c:ptCount val="11"/>
                <c:pt idx="0">
                  <c:v>1.682</c:v>
                </c:pt>
                <c:pt idx="1">
                  <c:v>2.161</c:v>
                </c:pt>
                <c:pt idx="2">
                  <c:v>2.76</c:v>
                </c:pt>
                <c:pt idx="3">
                  <c:v>3.081</c:v>
                </c:pt>
                <c:pt idx="4">
                  <c:v>4.049</c:v>
                </c:pt>
                <c:pt idx="5">
                  <c:v>4.672</c:v>
                </c:pt>
                <c:pt idx="6">
                  <c:v>5.879</c:v>
                </c:pt>
                <c:pt idx="7">
                  <c:v>6.387</c:v>
                </c:pt>
                <c:pt idx="8">
                  <c:v>7.247</c:v>
                </c:pt>
                <c:pt idx="9">
                  <c:v>8.134</c:v>
                </c:pt>
                <c:pt idx="10">
                  <c:v>8.973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'dens_visc_2pe+2m3b2oh'!$D$37:$D$47</c:f>
              <c:numCache>
                <c:formatCode>General</c:formatCode>
                <c:ptCount val="11"/>
                <c:pt idx="0">
                  <c:v>1.247</c:v>
                </c:pt>
                <c:pt idx="1">
                  <c:v>1.576</c:v>
                </c:pt>
                <c:pt idx="2">
                  <c:v>1.986</c:v>
                </c:pt>
                <c:pt idx="3">
                  <c:v>2.221</c:v>
                </c:pt>
                <c:pt idx="4">
                  <c:v>2.846</c:v>
                </c:pt>
                <c:pt idx="5">
                  <c:v>3.264</c:v>
                </c:pt>
                <c:pt idx="6">
                  <c:v>4.074</c:v>
                </c:pt>
                <c:pt idx="7">
                  <c:v>4.488</c:v>
                </c:pt>
                <c:pt idx="8">
                  <c:v>4.971</c:v>
                </c:pt>
                <c:pt idx="9">
                  <c:v>5.554</c:v>
                </c:pt>
                <c:pt idx="10">
                  <c:v>6.102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'dens_visc_2pe+2m3b2oh'!$E$37:$E$47</c:f>
              <c:numCache>
                <c:formatCode>General</c:formatCode>
                <c:ptCount val="11"/>
                <c:pt idx="0">
                  <c:v>0.964</c:v>
                </c:pt>
                <c:pt idx="1">
                  <c:v>1.193</c:v>
                </c:pt>
                <c:pt idx="2">
                  <c:v>1.484</c:v>
                </c:pt>
                <c:pt idx="3">
                  <c:v>1.663</c:v>
                </c:pt>
                <c:pt idx="4">
                  <c:v>2.132</c:v>
                </c:pt>
                <c:pt idx="5">
                  <c:v>2.383</c:v>
                </c:pt>
                <c:pt idx="6">
                  <c:v>2.952</c:v>
                </c:pt>
                <c:pt idx="7">
                  <c:v>3.178</c:v>
                </c:pt>
                <c:pt idx="8">
                  <c:v>3.675</c:v>
                </c:pt>
                <c:pt idx="9">
                  <c:v>3.981</c:v>
                </c:pt>
                <c:pt idx="10">
                  <c:v>4.368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0.104194568642053</c:v>
                </c:pt>
                <c:pt idx="2">
                  <c:v>0.201090673405402</c:v>
                </c:pt>
                <c:pt idx="3">
                  <c:v>0.300033004605369</c:v>
                </c:pt>
                <c:pt idx="4">
                  <c:v>0.408179689951665</c:v>
                </c:pt>
                <c:pt idx="5">
                  <c:v>0.492211673008868</c:v>
                </c:pt>
                <c:pt idx="6">
                  <c:v>0.604732715235313</c:v>
                </c:pt>
                <c:pt idx="7">
                  <c:v>0.701941849611573</c:v>
                </c:pt>
                <c:pt idx="8">
                  <c:v>0.801863852851034</c:v>
                </c:pt>
                <c:pt idx="9">
                  <c:v>0.900170194342918</c:v>
                </c:pt>
                <c:pt idx="10">
                  <c:v>1</c:v>
                </c:pt>
              </c:numCache>
            </c:numRef>
          </c:xVal>
          <c:yVal>
            <c:numRef>
              <c:f>'dens_visc_2pe+2m3b2oh'!$F$37:$F$47</c:f>
              <c:numCache>
                <c:formatCode>General</c:formatCode>
                <c:ptCount val="11"/>
                <c:pt idx="0">
                  <c:v>0.757</c:v>
                </c:pt>
                <c:pt idx="1">
                  <c:v>0.934</c:v>
                </c:pt>
                <c:pt idx="2">
                  <c:v>1.128</c:v>
                </c:pt>
                <c:pt idx="3">
                  <c:v>1.284</c:v>
                </c:pt>
                <c:pt idx="4">
                  <c:v>1.62</c:v>
                </c:pt>
                <c:pt idx="5">
                  <c:v>1.805</c:v>
                </c:pt>
                <c:pt idx="6">
                  <c:v>2.214</c:v>
                </c:pt>
                <c:pt idx="7">
                  <c:v>2.384</c:v>
                </c:pt>
                <c:pt idx="8">
                  <c:v>2.738</c:v>
                </c:pt>
                <c:pt idx="9">
                  <c:v>2.97</c:v>
                </c:pt>
                <c:pt idx="10">
                  <c:v>3.252</c:v>
                </c:pt>
              </c:numCache>
            </c:numRef>
          </c:yVal>
          <c:smooth val="1"/>
        </c:ser>
        <c:axId val="21624749"/>
        <c:axId val="1561537"/>
      </c:scatterChart>
      <c:valAx>
        <c:axId val="21624749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61537"/>
        <c:crossBetween val="midCat"/>
      </c:valAx>
      <c:valAx>
        <c:axId val="1561537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624749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2-phenylethanol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'dens_visc_2pe+2m2boh'!$B$23:$B$33</c:f>
              <c:numCache>
                <c:formatCode>General</c:formatCode>
                <c:ptCount val="11"/>
                <c:pt idx="0">
                  <c:v>0.80899</c:v>
                </c:pt>
                <c:pt idx="1">
                  <c:v>0.8346</c:v>
                </c:pt>
                <c:pt idx="2">
                  <c:v>0.8583</c:v>
                </c:pt>
                <c:pt idx="3">
                  <c:v>0.8808</c:v>
                </c:pt>
                <c:pt idx="4">
                  <c:v>0.9026</c:v>
                </c:pt>
                <c:pt idx="5">
                  <c:v>0.9234</c:v>
                </c:pt>
                <c:pt idx="6">
                  <c:v>0.9436</c:v>
                </c:pt>
                <c:pt idx="7">
                  <c:v>0.963</c:v>
                </c:pt>
                <c:pt idx="8">
                  <c:v>0.9827</c:v>
                </c:pt>
                <c:pt idx="9">
                  <c:v>1.0014</c:v>
                </c:pt>
                <c:pt idx="10">
                  <c:v>1.01985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'dens_visc_2pe+2m2boh'!$C$23:$C$33</c:f>
              <c:numCache>
                <c:formatCode>General</c:formatCode>
                <c:ptCount val="11"/>
                <c:pt idx="0">
                  <c:v>0.79979</c:v>
                </c:pt>
                <c:pt idx="1">
                  <c:v>0.8254</c:v>
                </c:pt>
                <c:pt idx="2">
                  <c:v>0.8494</c:v>
                </c:pt>
                <c:pt idx="3">
                  <c:v>0.8722</c:v>
                </c:pt>
                <c:pt idx="4">
                  <c:v>0.8942</c:v>
                </c:pt>
                <c:pt idx="5">
                  <c:v>0.9152</c:v>
                </c:pt>
                <c:pt idx="6">
                  <c:v>0.9357</c:v>
                </c:pt>
                <c:pt idx="7">
                  <c:v>0.9552</c:v>
                </c:pt>
                <c:pt idx="8">
                  <c:v>0.9751</c:v>
                </c:pt>
                <c:pt idx="9">
                  <c:v>0.9938</c:v>
                </c:pt>
                <c:pt idx="10">
                  <c:v>1.01244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'dens_visc_2pe+2m2boh'!$D$23:$D$33</c:f>
              <c:numCache>
                <c:formatCode>General</c:formatCode>
                <c:ptCount val="11"/>
                <c:pt idx="0">
                  <c:v>0.79035</c:v>
                </c:pt>
                <c:pt idx="1">
                  <c:v>0.816</c:v>
                </c:pt>
                <c:pt idx="2">
                  <c:v>0.8402</c:v>
                </c:pt>
                <c:pt idx="3">
                  <c:v>0.8632</c:v>
                </c:pt>
                <c:pt idx="4">
                  <c:v>0.8855</c:v>
                </c:pt>
                <c:pt idx="5">
                  <c:v>0.9068</c:v>
                </c:pt>
                <c:pt idx="6">
                  <c:v>0.9275</c:v>
                </c:pt>
                <c:pt idx="7">
                  <c:v>0.9472</c:v>
                </c:pt>
                <c:pt idx="8">
                  <c:v>0.9673</c:v>
                </c:pt>
                <c:pt idx="9">
                  <c:v>0.9861</c:v>
                </c:pt>
                <c:pt idx="10">
                  <c:v>1.00494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'dens_visc_2pe+2m2boh'!$E$23:$E$33</c:f>
              <c:numCache>
                <c:formatCode>General</c:formatCode>
                <c:ptCount val="11"/>
                <c:pt idx="0">
                  <c:v>0.7806</c:v>
                </c:pt>
                <c:pt idx="1">
                  <c:v>0.8063</c:v>
                </c:pt>
                <c:pt idx="2">
                  <c:v>0.8307</c:v>
                </c:pt>
                <c:pt idx="3">
                  <c:v>0.8541</c:v>
                </c:pt>
                <c:pt idx="4">
                  <c:v>0.8767</c:v>
                </c:pt>
                <c:pt idx="5">
                  <c:v>0.8983</c:v>
                </c:pt>
                <c:pt idx="6">
                  <c:v>0.9192</c:v>
                </c:pt>
                <c:pt idx="7">
                  <c:v>0.9391</c:v>
                </c:pt>
                <c:pt idx="8">
                  <c:v>0.9593</c:v>
                </c:pt>
                <c:pt idx="9">
                  <c:v>0.9784</c:v>
                </c:pt>
                <c:pt idx="10">
                  <c:v>0.99736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'dens_visc_2pe+2m2boh'!$F$23:$F$33</c:f>
              <c:numCache>
                <c:formatCode>General</c:formatCode>
                <c:ptCount val="11"/>
                <c:pt idx="0">
                  <c:v>0.77049</c:v>
                </c:pt>
                <c:pt idx="1">
                  <c:v>0.7964</c:v>
                </c:pt>
                <c:pt idx="2">
                  <c:v>0.8211</c:v>
                </c:pt>
                <c:pt idx="3">
                  <c:v>0.8448</c:v>
                </c:pt>
                <c:pt idx="4">
                  <c:v>0.8677</c:v>
                </c:pt>
                <c:pt idx="5">
                  <c:v>0.8895</c:v>
                </c:pt>
                <c:pt idx="6">
                  <c:v>0.9108</c:v>
                </c:pt>
                <c:pt idx="7">
                  <c:v>0.9309</c:v>
                </c:pt>
                <c:pt idx="8">
                  <c:v>0.9513</c:v>
                </c:pt>
                <c:pt idx="9">
                  <c:v>0.9705</c:v>
                </c:pt>
                <c:pt idx="10">
                  <c:v>0.9897</c:v>
                </c:pt>
              </c:numCache>
            </c:numRef>
          </c:yVal>
          <c:smooth val="1"/>
        </c:ser>
        <c:axId val="83492007"/>
        <c:axId val="82183719"/>
      </c:scatterChart>
      <c:valAx>
        <c:axId val="83492007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183719"/>
        <c:crossBetween val="midCat"/>
      </c:valAx>
      <c:valAx>
        <c:axId val="82183719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492007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2-phenylethanol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'dens_visc_2pe+2m2boh'!$G$24:$G$33</c:f>
              <c:numCache>
                <c:formatCode>General</c:formatCode>
                <c:ptCount val="10"/>
                <c:pt idx="0">
                  <c:v>-0.333753952795533</c:v>
                </c:pt>
                <c:pt idx="1">
                  <c:v>-0.49182160226303</c:v>
                </c:pt>
                <c:pt idx="2">
                  <c:v>-0.545831873008737</c:v>
                </c:pt>
                <c:pt idx="3">
                  <c:v>-0.54271331740128</c:v>
                </c:pt>
                <c:pt idx="4">
                  <c:v>-0.498409788402469</c:v>
                </c:pt>
                <c:pt idx="5">
                  <c:v>-0.416998815418594</c:v>
                </c:pt>
                <c:pt idx="6">
                  <c:v>-0.323781371777486</c:v>
                </c:pt>
                <c:pt idx="7">
                  <c:v>-0.215043786300456</c:v>
                </c:pt>
                <c:pt idx="8">
                  <c:v>-0.114708804506733</c:v>
                </c:pt>
                <c:pt idx="9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'dens_visc_2pe+2m2boh'!$H$24:$H$33</c:f>
              <c:numCache>
                <c:formatCode>General</c:formatCode>
                <c:ptCount val="10"/>
                <c:pt idx="0">
                  <c:v>-0.326354144128231</c:v>
                </c:pt>
                <c:pt idx="1">
                  <c:v>-0.510527953631524</c:v>
                </c:pt>
                <c:pt idx="2">
                  <c:v>-0.58521285031614</c:v>
                </c:pt>
                <c:pt idx="3">
                  <c:v>-0.58604338262623</c:v>
                </c:pt>
                <c:pt idx="4">
                  <c:v>-0.543231828238334</c:v>
                </c:pt>
                <c:pt idx="5">
                  <c:v>-0.473248798381178</c:v>
                </c:pt>
                <c:pt idx="6">
                  <c:v>-0.365375589377848</c:v>
                </c:pt>
                <c:pt idx="7">
                  <c:v>-0.251735882052174</c:v>
                </c:pt>
                <c:pt idx="8">
                  <c:v>-0.122333027715669</c:v>
                </c:pt>
                <c:pt idx="9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'dens_visc_2pe+2m2boh'!$I$24:$I$33</c:f>
              <c:numCache>
                <c:formatCode>General</c:formatCode>
                <c:ptCount val="10"/>
                <c:pt idx="0">
                  <c:v>-0.32297366446241</c:v>
                </c:pt>
                <c:pt idx="1">
                  <c:v>-0.51951954640235</c:v>
                </c:pt>
                <c:pt idx="2">
                  <c:v>-0.601156138593154</c:v>
                </c:pt>
                <c:pt idx="3">
                  <c:v>-0.617683345581852</c:v>
                </c:pt>
                <c:pt idx="4">
                  <c:v>-0.587463245568102</c:v>
                </c:pt>
                <c:pt idx="5">
                  <c:v>-0.514628039914513</c:v>
                </c:pt>
                <c:pt idx="6">
                  <c:v>-0.402060042930202</c:v>
                </c:pt>
                <c:pt idx="7">
                  <c:v>-0.281026199110812</c:v>
                </c:pt>
                <c:pt idx="8">
                  <c:v>-0.131516550320512</c:v>
                </c:pt>
                <c:pt idx="9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'dens_visc_2pe+2m2boh'!$J$24:$J$33</c:f>
              <c:numCache>
                <c:formatCode>General</c:formatCode>
                <c:ptCount val="10"/>
                <c:pt idx="0">
                  <c:v>-0.318863674469782</c:v>
                </c:pt>
                <c:pt idx="1">
                  <c:v>-0.526122255704678</c:v>
                </c:pt>
                <c:pt idx="2">
                  <c:v>-0.639512921447448</c:v>
                </c:pt>
                <c:pt idx="3">
                  <c:v>-0.669205732445462</c:v>
                </c:pt>
                <c:pt idx="4">
                  <c:v>-0.648781902169603</c:v>
                </c:pt>
                <c:pt idx="5">
                  <c:v>-0.569561858027612</c:v>
                </c:pt>
                <c:pt idx="6">
                  <c:v>-0.448656077923673</c:v>
                </c:pt>
                <c:pt idx="7">
                  <c:v>-0.303724772435871</c:v>
                </c:pt>
                <c:pt idx="8">
                  <c:v>-0.154725779623064</c:v>
                </c:pt>
                <c:pt idx="9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'dens_visc_2pe+2m2boh'!$K$24:$K$33</c:f>
              <c:numCache>
                <c:formatCode>General</c:formatCode>
                <c:ptCount val="10"/>
                <c:pt idx="0">
                  <c:v>-0.335188903433263</c:v>
                </c:pt>
                <c:pt idx="1">
                  <c:v>-0.564483173198795</c:v>
                </c:pt>
                <c:pt idx="2">
                  <c:v>-0.693475733042561</c:v>
                </c:pt>
                <c:pt idx="3">
                  <c:v>-0.733125947031866</c:v>
                </c:pt>
                <c:pt idx="4">
                  <c:v>-0.705690056227084</c:v>
                </c:pt>
                <c:pt idx="5">
                  <c:v>-0.642116482639722</c:v>
                </c:pt>
                <c:pt idx="6">
                  <c:v>-0.508222422056917</c:v>
                </c:pt>
                <c:pt idx="7">
                  <c:v>-0.346689114940375</c:v>
                </c:pt>
                <c:pt idx="8">
                  <c:v>-0.168290871476898</c:v>
                </c:pt>
                <c:pt idx="9">
                  <c:v>0</c:v>
                </c:pt>
              </c:numCache>
            </c:numRef>
          </c:yVal>
          <c:smooth val="1"/>
        </c:ser>
        <c:axId val="7606667"/>
        <c:axId val="5160994"/>
      </c:scatterChart>
      <c:valAx>
        <c:axId val="7606667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0994"/>
        <c:crossBetween val="midCat"/>
      </c:valAx>
      <c:valAx>
        <c:axId val="5160994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06667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2-phenylethanol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'dens_visc_2pe+2m2boh'!$B$37:$B$47</c:f>
              <c:numCache>
                <c:formatCode>General</c:formatCode>
                <c:ptCount val="11"/>
                <c:pt idx="0">
                  <c:v>4.244</c:v>
                </c:pt>
                <c:pt idx="1">
                  <c:v>5.352</c:v>
                </c:pt>
                <c:pt idx="2">
                  <c:v>6.445</c:v>
                </c:pt>
                <c:pt idx="3">
                  <c:v>7.684</c:v>
                </c:pt>
                <c:pt idx="4">
                  <c:v>8.391</c:v>
                </c:pt>
                <c:pt idx="5">
                  <c:v>9.549</c:v>
                </c:pt>
                <c:pt idx="6">
                  <c:v>10.2</c:v>
                </c:pt>
                <c:pt idx="7">
                  <c:v>11.08</c:v>
                </c:pt>
                <c:pt idx="8">
                  <c:v>12.19</c:v>
                </c:pt>
                <c:pt idx="9">
                  <c:v>12.89</c:v>
                </c:pt>
                <c:pt idx="10">
                  <c:v>14.04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'dens_visc_2pe+2m2boh'!$C$37:$C$47</c:f>
              <c:numCache>
                <c:formatCode>General</c:formatCode>
                <c:ptCount val="11"/>
                <c:pt idx="0">
                  <c:v>2.776</c:v>
                </c:pt>
                <c:pt idx="1">
                  <c:v>3.365</c:v>
                </c:pt>
                <c:pt idx="2">
                  <c:v>3.971</c:v>
                </c:pt>
                <c:pt idx="3">
                  <c:v>4.615</c:v>
                </c:pt>
                <c:pt idx="4">
                  <c:v>5.253</c:v>
                </c:pt>
                <c:pt idx="5">
                  <c:v>6.014</c:v>
                </c:pt>
                <c:pt idx="6">
                  <c:v>6.474</c:v>
                </c:pt>
                <c:pt idx="7">
                  <c:v>7.042</c:v>
                </c:pt>
                <c:pt idx="8">
                  <c:v>7.656</c:v>
                </c:pt>
                <c:pt idx="9">
                  <c:v>8.212</c:v>
                </c:pt>
                <c:pt idx="10">
                  <c:v>8.973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'dens_visc_2pe+2m2boh'!$D$37:$D$47</c:f>
              <c:numCache>
                <c:formatCode>General</c:formatCode>
                <c:ptCount val="11"/>
                <c:pt idx="0">
                  <c:v>1.918</c:v>
                </c:pt>
                <c:pt idx="1">
                  <c:v>2.264</c:v>
                </c:pt>
                <c:pt idx="2">
                  <c:v>2.661</c:v>
                </c:pt>
                <c:pt idx="3">
                  <c:v>3.087</c:v>
                </c:pt>
                <c:pt idx="4">
                  <c:v>3.533</c:v>
                </c:pt>
                <c:pt idx="5">
                  <c:v>4.106</c:v>
                </c:pt>
                <c:pt idx="6">
                  <c:v>4.353</c:v>
                </c:pt>
                <c:pt idx="7">
                  <c:v>4.772</c:v>
                </c:pt>
                <c:pt idx="8">
                  <c:v>5.176</c:v>
                </c:pt>
                <c:pt idx="9">
                  <c:v>5.579</c:v>
                </c:pt>
                <c:pt idx="10">
                  <c:v>6.102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'dens_visc_2pe+2m2boh'!$E$37:$E$47</c:f>
              <c:numCache>
                <c:formatCode>General</c:formatCode>
                <c:ptCount val="11"/>
                <c:pt idx="0">
                  <c:v>1.397</c:v>
                </c:pt>
                <c:pt idx="1">
                  <c:v>1.607</c:v>
                </c:pt>
                <c:pt idx="2">
                  <c:v>1.882</c:v>
                </c:pt>
                <c:pt idx="3">
                  <c:v>2.179</c:v>
                </c:pt>
                <c:pt idx="4">
                  <c:v>2.488</c:v>
                </c:pt>
                <c:pt idx="5">
                  <c:v>2.879</c:v>
                </c:pt>
                <c:pt idx="6">
                  <c:v>3.104</c:v>
                </c:pt>
                <c:pt idx="7">
                  <c:v>3.385</c:v>
                </c:pt>
                <c:pt idx="8">
                  <c:v>3.74</c:v>
                </c:pt>
                <c:pt idx="9">
                  <c:v>3.979</c:v>
                </c:pt>
                <c:pt idx="10">
                  <c:v>4.368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'dens_visc_2pe+2m2boh'!$A$37:$A$47</c:f>
              <c:numCache>
                <c:formatCode>0.0000</c:formatCode>
                <c:ptCount val="11"/>
                <c:pt idx="0">
                  <c:v>0</c:v>
                </c:pt>
                <c:pt idx="1">
                  <c:v>0.100559254025526</c:v>
                </c:pt>
                <c:pt idx="2">
                  <c:v>0.200245765489875</c:v>
                </c:pt>
                <c:pt idx="3">
                  <c:v>0.299990044912394</c:v>
                </c:pt>
                <c:pt idx="4">
                  <c:v>0.400510364581864</c:v>
                </c:pt>
                <c:pt idx="5">
                  <c:v>0.499854117889342</c:v>
                </c:pt>
                <c:pt idx="6">
                  <c:v>0.599726229578825</c:v>
                </c:pt>
                <c:pt idx="7">
                  <c:v>0.698129790940866</c:v>
                </c:pt>
                <c:pt idx="8">
                  <c:v>0.80061337514444</c:v>
                </c:pt>
                <c:pt idx="9">
                  <c:v>0.899685133190903</c:v>
                </c:pt>
                <c:pt idx="10">
                  <c:v>1</c:v>
                </c:pt>
              </c:numCache>
            </c:numRef>
          </c:xVal>
          <c:yVal>
            <c:numRef>
              <c:f>'dens_visc_2pe+2m2boh'!$F$37:$F$47</c:f>
              <c:numCache>
                <c:formatCode>General</c:formatCode>
                <c:ptCount val="11"/>
                <c:pt idx="0">
                  <c:v>1.036</c:v>
                </c:pt>
                <c:pt idx="1">
                  <c:v>1.195</c:v>
                </c:pt>
                <c:pt idx="2">
                  <c:v>1.393</c:v>
                </c:pt>
                <c:pt idx="3">
                  <c:v>1.609</c:v>
                </c:pt>
                <c:pt idx="4">
                  <c:v>1.862</c:v>
                </c:pt>
                <c:pt idx="5">
                  <c:v>2.061</c:v>
                </c:pt>
                <c:pt idx="6">
                  <c:v>2.297</c:v>
                </c:pt>
                <c:pt idx="7">
                  <c:v>2.519</c:v>
                </c:pt>
                <c:pt idx="8">
                  <c:v>2.769</c:v>
                </c:pt>
                <c:pt idx="9">
                  <c:v>2.976</c:v>
                </c:pt>
                <c:pt idx="10">
                  <c:v>3.252</c:v>
                </c:pt>
              </c:numCache>
            </c:numRef>
          </c:yVal>
          <c:smooth val="1"/>
        </c:ser>
        <c:axId val="88227058"/>
        <c:axId val="22201708"/>
      </c:scatterChart>
      <c:valAx>
        <c:axId val="8822705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201708"/>
        <c:crossBetween val="midCat"/>
      </c:valAx>
      <c:valAx>
        <c:axId val="2220170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22705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2-phenylethanol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'dens_visc_2pe+1hexoh'!$B$25:$B$37</c:f>
              <c:numCache>
                <c:formatCode>General</c:formatCode>
                <c:ptCount val="13"/>
                <c:pt idx="0">
                  <c:v>0.81883</c:v>
                </c:pt>
                <c:pt idx="1">
                  <c:v>0.83846</c:v>
                </c:pt>
                <c:pt idx="2">
                  <c:v>0.85828</c:v>
                </c:pt>
                <c:pt idx="3">
                  <c:v>0.85801</c:v>
                </c:pt>
                <c:pt idx="4">
                  <c:v>0.8777</c:v>
                </c:pt>
                <c:pt idx="5">
                  <c:v>0.87776</c:v>
                </c:pt>
                <c:pt idx="6">
                  <c:v>0.89773</c:v>
                </c:pt>
                <c:pt idx="7">
                  <c:v>0.91775</c:v>
                </c:pt>
                <c:pt idx="8">
                  <c:v>0.93772</c:v>
                </c:pt>
                <c:pt idx="9">
                  <c:v>0.95813</c:v>
                </c:pt>
                <c:pt idx="10">
                  <c:v>0.9786</c:v>
                </c:pt>
                <c:pt idx="11">
                  <c:v>0.9989</c:v>
                </c:pt>
                <c:pt idx="12">
                  <c:v>1.01985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'dens_visc_2pe+1hexoh'!$C$25:$C$37</c:f>
              <c:numCache>
                <c:formatCode>General</c:formatCode>
                <c:ptCount val="13"/>
                <c:pt idx="0">
                  <c:v>0.81174</c:v>
                </c:pt>
                <c:pt idx="1">
                  <c:v>0.83129</c:v>
                </c:pt>
                <c:pt idx="2">
                  <c:v>0.85113</c:v>
                </c:pt>
                <c:pt idx="3">
                  <c:v>0.8509</c:v>
                </c:pt>
                <c:pt idx="4">
                  <c:v>0.87064</c:v>
                </c:pt>
                <c:pt idx="5">
                  <c:v>0.87054</c:v>
                </c:pt>
                <c:pt idx="6">
                  <c:v>0.89055</c:v>
                </c:pt>
                <c:pt idx="7">
                  <c:v>0.9105</c:v>
                </c:pt>
                <c:pt idx="8">
                  <c:v>0.93044</c:v>
                </c:pt>
                <c:pt idx="9">
                  <c:v>0.95076</c:v>
                </c:pt>
                <c:pt idx="10">
                  <c:v>0.97124</c:v>
                </c:pt>
                <c:pt idx="11">
                  <c:v>0.99151</c:v>
                </c:pt>
                <c:pt idx="12">
                  <c:v>1.01244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'dens_visc_2pe+1hexoh'!$D$25:$D$37</c:f>
              <c:numCache>
                <c:formatCode>General</c:formatCode>
                <c:ptCount val="13"/>
                <c:pt idx="0">
                  <c:v>0.80455</c:v>
                </c:pt>
                <c:pt idx="1">
                  <c:v>0.82404</c:v>
                </c:pt>
                <c:pt idx="2">
                  <c:v>0.84386</c:v>
                </c:pt>
                <c:pt idx="3">
                  <c:v>0.84361</c:v>
                </c:pt>
                <c:pt idx="4">
                  <c:v>0.86334</c:v>
                </c:pt>
                <c:pt idx="5">
                  <c:v>0.86324</c:v>
                </c:pt>
                <c:pt idx="6">
                  <c:v>0.8832</c:v>
                </c:pt>
                <c:pt idx="7">
                  <c:v>0.90313</c:v>
                </c:pt>
                <c:pt idx="8">
                  <c:v>0.92306</c:v>
                </c:pt>
                <c:pt idx="9">
                  <c:v>0.94335</c:v>
                </c:pt>
                <c:pt idx="10">
                  <c:v>0.96379</c:v>
                </c:pt>
                <c:pt idx="11">
                  <c:v>0.98404</c:v>
                </c:pt>
                <c:pt idx="12">
                  <c:v>1.00494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'dens_visc_2pe+1hexoh'!$E$25:$E$37</c:f>
              <c:numCache>
                <c:formatCode>General</c:formatCode>
                <c:ptCount val="13"/>
                <c:pt idx="0">
                  <c:v>0.79722</c:v>
                </c:pt>
                <c:pt idx="1">
                  <c:v>0.81668</c:v>
                </c:pt>
                <c:pt idx="2">
                  <c:v>0.83647</c:v>
                </c:pt>
                <c:pt idx="3">
                  <c:v>0.83623</c:v>
                </c:pt>
                <c:pt idx="4">
                  <c:v>0.85593</c:v>
                </c:pt>
                <c:pt idx="5">
                  <c:v>0.85584</c:v>
                </c:pt>
                <c:pt idx="6">
                  <c:v>0.87576</c:v>
                </c:pt>
                <c:pt idx="7">
                  <c:v>0.89564</c:v>
                </c:pt>
                <c:pt idx="8">
                  <c:v>0.91556</c:v>
                </c:pt>
                <c:pt idx="9">
                  <c:v>0.93583</c:v>
                </c:pt>
                <c:pt idx="10">
                  <c:v>0.95624</c:v>
                </c:pt>
                <c:pt idx="11">
                  <c:v>0.97647</c:v>
                </c:pt>
                <c:pt idx="12">
                  <c:v>0.99736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'dens_visc_2pe+1hexoh'!F25:F37</c:f>
              <c:numCache>
                <c:formatCode>General</c:formatCode>
                <c:ptCount val="13"/>
                <c:pt idx="0">
                  <c:v>0.78971</c:v>
                </c:pt>
                <c:pt idx="1">
                  <c:v>0.80918</c:v>
                </c:pt>
                <c:pt idx="2">
                  <c:v>0.82892</c:v>
                </c:pt>
                <c:pt idx="3">
                  <c:v>0.8287</c:v>
                </c:pt>
                <c:pt idx="4">
                  <c:v>0.84835</c:v>
                </c:pt>
                <c:pt idx="5">
                  <c:v>0.84824</c:v>
                </c:pt>
                <c:pt idx="6">
                  <c:v>0.86818</c:v>
                </c:pt>
                <c:pt idx="7">
                  <c:v>0.88806</c:v>
                </c:pt>
                <c:pt idx="8">
                  <c:v>0.90792</c:v>
                </c:pt>
                <c:pt idx="9">
                  <c:v>0.92821</c:v>
                </c:pt>
                <c:pt idx="10">
                  <c:v>0.94861</c:v>
                </c:pt>
                <c:pt idx="11">
                  <c:v>0.96881</c:v>
                </c:pt>
                <c:pt idx="12">
                  <c:v>0.9897</c:v>
                </c:pt>
              </c:numCache>
            </c:numRef>
          </c:yVal>
          <c:smooth val="1"/>
        </c:ser>
        <c:axId val="35486240"/>
        <c:axId val="82593549"/>
      </c:scatterChart>
      <c:valAx>
        <c:axId val="3548624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93549"/>
        <c:crossBetween val="midCat"/>
      </c:valAx>
      <c:valAx>
        <c:axId val="82593549"/>
        <c:scaling>
          <c:orientation val="minMax"/>
          <c:max val="1.03"/>
          <c:min val="0.75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8624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2-phenylethanol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'dens_visc_2pe+1hexoh'!$G$25:$G$37</c:f>
              <c:numCache>
                <c:formatCode>General</c:formatCode>
                <c:ptCount val="13"/>
                <c:pt idx="0">
                  <c:v>0</c:v>
                </c:pt>
                <c:pt idx="1">
                  <c:v>-0.0288063163267083</c:v>
                </c:pt>
                <c:pt idx="2">
                  <c:v>-0.0653991177192239</c:v>
                </c:pt>
                <c:pt idx="3">
                  <c:v>-0.0173049668393048</c:v>
                </c:pt>
                <c:pt idx="4">
                  <c:v>-0.0284854335819915</c:v>
                </c:pt>
                <c:pt idx="5">
                  <c:v>-0.0356777366556713</c:v>
                </c:pt>
                <c:pt idx="6">
                  <c:v>-0.0498765015017142</c:v>
                </c:pt>
                <c:pt idx="7">
                  <c:v>-0.0432567956296026</c:v>
                </c:pt>
                <c:pt idx="8">
                  <c:v>-0.0432007836652417</c:v>
                </c:pt>
                <c:pt idx="9">
                  <c:v>-0.0435512849105919</c:v>
                </c:pt>
                <c:pt idx="10">
                  <c:v>-0.0234238215649043</c:v>
                </c:pt>
                <c:pt idx="11">
                  <c:v>-0.0123250575351932</c:v>
                </c:pt>
                <c:pt idx="12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'dens_visc_2pe+1hexoh'!$H$25:$H$37</c:f>
              <c:numCache>
                <c:formatCode>General</c:formatCode>
                <c:ptCount val="13"/>
                <c:pt idx="0">
                  <c:v>0</c:v>
                </c:pt>
                <c:pt idx="1">
                  <c:v>-0.0256160343751048</c:v>
                </c:pt>
                <c:pt idx="2">
                  <c:v>-0.0732703390074221</c:v>
                </c:pt>
                <c:pt idx="3">
                  <c:v>-0.0302533336552386</c:v>
                </c:pt>
                <c:pt idx="4">
                  <c:v>-0.0548846486428687</c:v>
                </c:pt>
                <c:pt idx="5">
                  <c:v>-0.0393620608827519</c:v>
                </c:pt>
                <c:pt idx="6">
                  <c:v>-0.0648800615072531</c:v>
                </c:pt>
                <c:pt idx="7">
                  <c:v>-0.0530728465171961</c:v>
                </c:pt>
                <c:pt idx="8">
                  <c:v>-0.0527104476106928</c:v>
                </c:pt>
                <c:pt idx="9">
                  <c:v>-0.0444041701675957</c:v>
                </c:pt>
                <c:pt idx="10">
                  <c:v>-0.0275611858649967</c:v>
                </c:pt>
                <c:pt idx="11">
                  <c:v>-0.0140891939375223</c:v>
                </c:pt>
                <c:pt idx="12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'dens_visc_2pe+1hexoh'!$I$25:$I$37</c:f>
              <c:numCache>
                <c:formatCode>General</c:formatCode>
                <c:ptCount val="13"/>
                <c:pt idx="0">
                  <c:v>0</c:v>
                </c:pt>
                <c:pt idx="1">
                  <c:v>-0.0253735247741105</c:v>
                </c:pt>
                <c:pt idx="2">
                  <c:v>-0.0783909270415535</c:v>
                </c:pt>
                <c:pt idx="3">
                  <c:v>-0.0316681142663811</c:v>
                </c:pt>
                <c:pt idx="4">
                  <c:v>-0.0617524780926431</c:v>
                </c:pt>
                <c:pt idx="5">
                  <c:v>-0.0459689203511573</c:v>
                </c:pt>
                <c:pt idx="6">
                  <c:v>-0.0703050511738326</c:v>
                </c:pt>
                <c:pt idx="7">
                  <c:v>-0.0601552746246341</c:v>
                </c:pt>
                <c:pt idx="8">
                  <c:v>-0.0620876881458798</c:v>
                </c:pt>
                <c:pt idx="9">
                  <c:v>-0.0525186969651372</c:v>
                </c:pt>
                <c:pt idx="10">
                  <c:v>-0.0323181919477236</c:v>
                </c:pt>
                <c:pt idx="11">
                  <c:v>-0.0174065496861999</c:v>
                </c:pt>
                <c:pt idx="12">
                  <c:v>0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'dens_visc_2pe+1hexoh'!$J$25:$J$37</c:f>
              <c:numCache>
                <c:formatCode>General</c:formatCode>
                <c:ptCount val="13"/>
                <c:pt idx="0">
                  <c:v>0</c:v>
                </c:pt>
                <c:pt idx="1">
                  <c:v>-0.0292182853172278</c:v>
                </c:pt>
                <c:pt idx="2">
                  <c:v>-0.0855193749496834</c:v>
                </c:pt>
                <c:pt idx="3">
                  <c:v>-0.039506394174424</c:v>
                </c:pt>
                <c:pt idx="4">
                  <c:v>-0.0714165666854711</c:v>
                </c:pt>
                <c:pt idx="5">
                  <c:v>-0.0568377601360623</c:v>
                </c:pt>
                <c:pt idx="6">
                  <c:v>-0.0805328937818786</c:v>
                </c:pt>
                <c:pt idx="7">
                  <c:v>-0.0669775705761708</c:v>
                </c:pt>
                <c:pt idx="8">
                  <c:v>-0.0704550092302014</c:v>
                </c:pt>
                <c:pt idx="9">
                  <c:v>-0.0600428625867835</c:v>
                </c:pt>
                <c:pt idx="10">
                  <c:v>-0.0367412736965065</c:v>
                </c:pt>
                <c:pt idx="11">
                  <c:v>-0.0193798351876922</c:v>
                </c:pt>
                <c:pt idx="12">
                  <c:v>0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'dens_visc_2pe+1hexoh'!$A$25:$A$37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'dens_visc_2pe+1hexoh'!$K$25:$K$37</c:f>
              <c:numCache>
                <c:formatCode>General</c:formatCode>
                <c:ptCount val="13"/>
                <c:pt idx="0">
                  <c:v>0</c:v>
                </c:pt>
                <c:pt idx="1">
                  <c:v>-0.0385123553898836</c:v>
                </c:pt>
                <c:pt idx="2">
                  <c:v>-0.0938464132378272</c:v>
                </c:pt>
                <c:pt idx="3">
                  <c:v>-0.050100858397343</c:v>
                </c:pt>
                <c:pt idx="4">
                  <c:v>-0.079623454764004</c:v>
                </c:pt>
                <c:pt idx="5">
                  <c:v>-0.0617779619677776</c:v>
                </c:pt>
                <c:pt idx="6">
                  <c:v>-0.0924693314556748</c:v>
                </c:pt>
                <c:pt idx="7">
                  <c:v>-0.0811006371580874</c:v>
                </c:pt>
                <c:pt idx="8">
                  <c:v>-0.0776497632365079</c:v>
                </c:pt>
                <c:pt idx="9">
                  <c:v>-0.0702921330565118</c:v>
                </c:pt>
                <c:pt idx="10">
                  <c:v>-0.0447706059938611</c:v>
                </c:pt>
                <c:pt idx="11">
                  <c:v>-0.0218994162017054</c:v>
                </c:pt>
                <c:pt idx="12">
                  <c:v>0</c:v>
                </c:pt>
              </c:numCache>
            </c:numRef>
          </c:yVal>
          <c:smooth val="0"/>
        </c:ser>
        <c:axId val="420555"/>
        <c:axId val="68804766"/>
      </c:scatterChart>
      <c:valAx>
        <c:axId val="420555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804766"/>
        <c:crossBetween val="midCat"/>
      </c:valAx>
      <c:valAx>
        <c:axId val="68804766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0555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2-phenylethanol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'dens_visc_2pe+1hexoh'!$A$41:$A$53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'dens_visc_2pe+1hexoh'!$B$41:$B$53</c:f>
              <c:numCache>
                <c:formatCode>General</c:formatCode>
                <c:ptCount val="13"/>
                <c:pt idx="0">
                  <c:v>5.278</c:v>
                </c:pt>
                <c:pt idx="1">
                  <c:v>5.58</c:v>
                </c:pt>
                <c:pt idx="2">
                  <c:v>5.966</c:v>
                </c:pt>
                <c:pt idx="3">
                  <c:v>5.9694</c:v>
                </c:pt>
                <c:pt idx="4">
                  <c:v>6.422</c:v>
                </c:pt>
                <c:pt idx="5">
                  <c:v>6.419</c:v>
                </c:pt>
                <c:pt idx="6">
                  <c:v>6.992</c:v>
                </c:pt>
                <c:pt idx="7">
                  <c:v>7.621</c:v>
                </c:pt>
                <c:pt idx="8">
                  <c:v>8.415</c:v>
                </c:pt>
                <c:pt idx="9">
                  <c:v>9.384</c:v>
                </c:pt>
                <c:pt idx="10">
                  <c:v>10.57</c:v>
                </c:pt>
                <c:pt idx="11">
                  <c:v>12.09</c:v>
                </c:pt>
                <c:pt idx="12">
                  <c:v>14.04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'dens_visc_2pe+1hexoh'!$A$41:$A$53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'dens_visc_2pe+1hexoh'!$C$41:$C$53</c:f>
              <c:numCache>
                <c:formatCode>General</c:formatCode>
                <c:ptCount val="13"/>
                <c:pt idx="0">
                  <c:v>3.881</c:v>
                </c:pt>
                <c:pt idx="1">
                  <c:v>4.074</c:v>
                </c:pt>
                <c:pt idx="2">
                  <c:v>4.31</c:v>
                </c:pt>
                <c:pt idx="3">
                  <c:v>4.3146</c:v>
                </c:pt>
                <c:pt idx="4">
                  <c:v>4.594</c:v>
                </c:pt>
                <c:pt idx="5">
                  <c:v>4.589</c:v>
                </c:pt>
                <c:pt idx="6">
                  <c:v>4.945</c:v>
                </c:pt>
                <c:pt idx="7">
                  <c:v>5.323</c:v>
                </c:pt>
                <c:pt idx="8">
                  <c:v>5.795</c:v>
                </c:pt>
                <c:pt idx="9">
                  <c:v>6.363</c:v>
                </c:pt>
                <c:pt idx="10">
                  <c:v>7.049</c:v>
                </c:pt>
                <c:pt idx="11">
                  <c:v>7.875</c:v>
                </c:pt>
                <c:pt idx="12">
                  <c:v>8.973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'dens_visc_2pe+1hexoh'!$A$41:$A$53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'dens_visc_2pe+1hexoh'!$D$41:$D$53</c:f>
              <c:numCache>
                <c:formatCode>General</c:formatCode>
                <c:ptCount val="13"/>
                <c:pt idx="0">
                  <c:v>2.919</c:v>
                </c:pt>
                <c:pt idx="1">
                  <c:v>3.049</c:v>
                </c:pt>
                <c:pt idx="2">
                  <c:v>3.205</c:v>
                </c:pt>
                <c:pt idx="3">
                  <c:v>3.2054</c:v>
                </c:pt>
                <c:pt idx="4">
                  <c:v>3.391</c:v>
                </c:pt>
                <c:pt idx="5">
                  <c:v>3.386</c:v>
                </c:pt>
                <c:pt idx="6">
                  <c:v>3.621</c:v>
                </c:pt>
                <c:pt idx="7">
                  <c:v>3.864</c:v>
                </c:pt>
                <c:pt idx="8">
                  <c:v>4.161</c:v>
                </c:pt>
                <c:pt idx="9">
                  <c:v>4.52</c:v>
                </c:pt>
                <c:pt idx="10">
                  <c:v>4.947</c:v>
                </c:pt>
                <c:pt idx="11">
                  <c:v>5.449</c:v>
                </c:pt>
                <c:pt idx="12">
                  <c:v>6.102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'dens_visc_2pe+1hexoh'!$A$41:$A$53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'dens_visc_2pe+1hexoh'!E41:E53</c:f>
              <c:numCache>
                <c:formatCode>General</c:formatCode>
                <c:ptCount val="13"/>
                <c:pt idx="0">
                  <c:v>2.24</c:v>
                </c:pt>
                <c:pt idx="1">
                  <c:v>2.332</c:v>
                </c:pt>
                <c:pt idx="2">
                  <c:v>2.442</c:v>
                </c:pt>
                <c:pt idx="3">
                  <c:v>2.4414</c:v>
                </c:pt>
                <c:pt idx="4">
                  <c:v>2.572</c:v>
                </c:pt>
                <c:pt idx="5">
                  <c:v>2.566</c:v>
                </c:pt>
                <c:pt idx="6">
                  <c:v>2.73</c:v>
                </c:pt>
                <c:pt idx="7">
                  <c:v>2.894</c:v>
                </c:pt>
                <c:pt idx="8">
                  <c:v>3.096</c:v>
                </c:pt>
                <c:pt idx="9">
                  <c:v>3.336</c:v>
                </c:pt>
                <c:pt idx="10">
                  <c:v>3.618</c:v>
                </c:pt>
                <c:pt idx="11">
                  <c:v>3.944</c:v>
                </c:pt>
                <c:pt idx="12">
                  <c:v>4.368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'dens_visc_2pe+1hexoh'!$A$41:$A$53</c:f>
              <c:numCache>
                <c:formatCode>General</c:formatCode>
                <c:ptCount val="13"/>
                <c:pt idx="0">
                  <c:v>0</c:v>
                </c:pt>
                <c:pt idx="1">
                  <c:v>0.100311290464003</c:v>
                </c:pt>
                <c:pt idx="2">
                  <c:v>0.200458941288258</c:v>
                </c:pt>
                <c:pt idx="3">
                  <c:v>0.200782895927302</c:v>
                </c:pt>
                <c:pt idx="4">
                  <c:v>0.30035936797046</c:v>
                </c:pt>
                <c:pt idx="5">
                  <c:v>0.300403750222645</c:v>
                </c:pt>
                <c:pt idx="6">
                  <c:v>0.400448427689503</c:v>
                </c:pt>
                <c:pt idx="7">
                  <c:v>0.500684278812158</c:v>
                </c:pt>
                <c:pt idx="8">
                  <c:v>0.599622439617818</c:v>
                </c:pt>
                <c:pt idx="9">
                  <c:v>0.699901869942981</c:v>
                </c:pt>
                <c:pt idx="10">
                  <c:v>0.800455861559542</c:v>
                </c:pt>
                <c:pt idx="11">
                  <c:v>0.899040225711183</c:v>
                </c:pt>
                <c:pt idx="12">
                  <c:v>1</c:v>
                </c:pt>
              </c:numCache>
            </c:numRef>
          </c:xVal>
          <c:yVal>
            <c:numRef>
              <c:f>'dens_visc_2pe+1hexoh'!F41:F53</c:f>
              <c:numCache>
                <c:formatCode>General</c:formatCode>
                <c:ptCount val="13"/>
                <c:pt idx="0">
                  <c:v>1.75</c:v>
                </c:pt>
                <c:pt idx="1">
                  <c:v>1.819</c:v>
                </c:pt>
                <c:pt idx="2">
                  <c:v>1.9</c:v>
                </c:pt>
                <c:pt idx="3">
                  <c:v>1.8995</c:v>
                </c:pt>
                <c:pt idx="4">
                  <c:v>1.997</c:v>
                </c:pt>
                <c:pt idx="5">
                  <c:v>1.99</c:v>
                </c:pt>
                <c:pt idx="6">
                  <c:v>2.111</c:v>
                </c:pt>
                <c:pt idx="7">
                  <c:v>2.228</c:v>
                </c:pt>
                <c:pt idx="8">
                  <c:v>2.372</c:v>
                </c:pt>
                <c:pt idx="9">
                  <c:v>2.542</c:v>
                </c:pt>
                <c:pt idx="10">
                  <c:v>2.735</c:v>
                </c:pt>
                <c:pt idx="11">
                  <c:v>2.964</c:v>
                </c:pt>
                <c:pt idx="12">
                  <c:v>3.252</c:v>
                </c:pt>
              </c:numCache>
            </c:numRef>
          </c:yVal>
          <c:smooth val="1"/>
        </c:ser>
        <c:axId val="45335141"/>
        <c:axId val="94878775"/>
      </c:scatterChart>
      <c:valAx>
        <c:axId val="45335141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78775"/>
        <c:crossBetween val="midCat"/>
      </c:valAx>
      <c:valAx>
        <c:axId val="94878775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35141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2-phenylethanol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'dens_visc_2pe+1octoh'!$B$23:$B$33</c:f>
              <c:numCache>
                <c:formatCode>General</c:formatCode>
                <c:ptCount val="11"/>
                <c:pt idx="0">
                  <c:v>0.82518</c:v>
                </c:pt>
                <c:pt idx="1">
                  <c:v>0.8404</c:v>
                </c:pt>
                <c:pt idx="2">
                  <c:v>0.8559</c:v>
                </c:pt>
                <c:pt idx="3">
                  <c:v>0.8731</c:v>
                </c:pt>
                <c:pt idx="4">
                  <c:v>0.89</c:v>
                </c:pt>
                <c:pt idx="5">
                  <c:v>0.9085</c:v>
                </c:pt>
                <c:pt idx="6">
                  <c:v>0.928</c:v>
                </c:pt>
                <c:pt idx="7">
                  <c:v>0.9491</c:v>
                </c:pt>
                <c:pt idx="8">
                  <c:v>0.9707</c:v>
                </c:pt>
                <c:pt idx="9">
                  <c:v>0.9944</c:v>
                </c:pt>
                <c:pt idx="10">
                  <c:v>1.01985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'dens_visc_2pe+1octoh'!$C$23:$C$33</c:f>
              <c:numCache>
                <c:formatCode>General</c:formatCode>
                <c:ptCount val="11"/>
                <c:pt idx="0">
                  <c:v>0.81835</c:v>
                </c:pt>
                <c:pt idx="1">
                  <c:v>0.8334</c:v>
                </c:pt>
                <c:pt idx="2">
                  <c:v>0.8489</c:v>
                </c:pt>
                <c:pt idx="3">
                  <c:v>0.866</c:v>
                </c:pt>
                <c:pt idx="4">
                  <c:v>0.8828</c:v>
                </c:pt>
                <c:pt idx="5">
                  <c:v>0.9014</c:v>
                </c:pt>
                <c:pt idx="6">
                  <c:v>0.9208</c:v>
                </c:pt>
                <c:pt idx="7">
                  <c:v>0.9418</c:v>
                </c:pt>
                <c:pt idx="8">
                  <c:v>0.9634</c:v>
                </c:pt>
                <c:pt idx="9">
                  <c:v>0.987</c:v>
                </c:pt>
                <c:pt idx="10">
                  <c:v>1.01244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'dens_visc_2pe+1octoh'!$D$23:$D$33</c:f>
              <c:numCache>
                <c:formatCode>General</c:formatCode>
                <c:ptCount val="11"/>
                <c:pt idx="0">
                  <c:v>0.81141</c:v>
                </c:pt>
                <c:pt idx="1">
                  <c:v>0.8264</c:v>
                </c:pt>
                <c:pt idx="2">
                  <c:v>0.8418</c:v>
                </c:pt>
                <c:pt idx="3">
                  <c:v>0.8589</c:v>
                </c:pt>
                <c:pt idx="4">
                  <c:v>0.8757</c:v>
                </c:pt>
                <c:pt idx="5">
                  <c:v>0.8941</c:v>
                </c:pt>
                <c:pt idx="6">
                  <c:v>0.9135</c:v>
                </c:pt>
                <c:pt idx="7">
                  <c:v>0.9344</c:v>
                </c:pt>
                <c:pt idx="8">
                  <c:v>0.956</c:v>
                </c:pt>
                <c:pt idx="9">
                  <c:v>0.9795</c:v>
                </c:pt>
                <c:pt idx="10">
                  <c:v>1.00494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'dens_visc_2pe+1octoh'!$E$23:$E$33</c:f>
              <c:numCache>
                <c:formatCode>General</c:formatCode>
                <c:ptCount val="11"/>
                <c:pt idx="0">
                  <c:v>0.80433</c:v>
                </c:pt>
                <c:pt idx="1">
                  <c:v>0.8192</c:v>
                </c:pt>
                <c:pt idx="2">
                  <c:v>0.8346</c:v>
                </c:pt>
                <c:pt idx="3">
                  <c:v>0.8516</c:v>
                </c:pt>
                <c:pt idx="4">
                  <c:v>0.8684</c:v>
                </c:pt>
                <c:pt idx="5">
                  <c:v>0.8868</c:v>
                </c:pt>
                <c:pt idx="6">
                  <c:v>0.9061</c:v>
                </c:pt>
                <c:pt idx="7">
                  <c:v>0.927</c:v>
                </c:pt>
                <c:pt idx="8">
                  <c:v>0.9485</c:v>
                </c:pt>
                <c:pt idx="9">
                  <c:v>0.9719</c:v>
                </c:pt>
                <c:pt idx="10">
                  <c:v>0.99736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'dens_visc_2pe+1octoh'!$F$23:$F$33</c:f>
              <c:numCache>
                <c:formatCode>General</c:formatCode>
                <c:ptCount val="11"/>
                <c:pt idx="0">
                  <c:v>0.79719</c:v>
                </c:pt>
                <c:pt idx="1">
                  <c:v>0.8119</c:v>
                </c:pt>
                <c:pt idx="2">
                  <c:v>0.8273</c:v>
                </c:pt>
                <c:pt idx="3">
                  <c:v>0.8442</c:v>
                </c:pt>
                <c:pt idx="4">
                  <c:v>0.8609</c:v>
                </c:pt>
                <c:pt idx="5">
                  <c:v>0.8793</c:v>
                </c:pt>
                <c:pt idx="6">
                  <c:v>0.8986</c:v>
                </c:pt>
                <c:pt idx="7">
                  <c:v>0.9194</c:v>
                </c:pt>
                <c:pt idx="8">
                  <c:v>0.9408</c:v>
                </c:pt>
                <c:pt idx="9">
                  <c:v>0.9643</c:v>
                </c:pt>
                <c:pt idx="10">
                  <c:v>0.9897</c:v>
                </c:pt>
              </c:numCache>
            </c:numRef>
          </c:yVal>
          <c:smooth val="1"/>
        </c:ser>
        <c:axId val="60408188"/>
        <c:axId val="5402108"/>
      </c:scatterChart>
      <c:valAx>
        <c:axId val="6040818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02108"/>
        <c:crossBetween val="midCat"/>
      </c:valAx>
      <c:valAx>
        <c:axId val="540210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0818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2-phenylethanol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'dens_visc_2pe+1octoh'!$G$23:$G$33</c:f>
              <c:numCache>
                <c:formatCode>General</c:formatCode>
                <c:ptCount val="11"/>
                <c:pt idx="0">
                  <c:v>0</c:v>
                </c:pt>
                <c:pt idx="1">
                  <c:v>0.0689904592967139</c:v>
                </c:pt>
                <c:pt idx="2">
                  <c:v>0.0745711651790089</c:v>
                </c:pt>
                <c:pt idx="3">
                  <c:v>0.0876069757478888</c:v>
                </c:pt>
                <c:pt idx="4">
                  <c:v>0.109558623312267</c:v>
                </c:pt>
                <c:pt idx="5">
                  <c:v>0.126985503089657</c:v>
                </c:pt>
                <c:pt idx="6">
                  <c:v>0.125032604083714</c:v>
                </c:pt>
                <c:pt idx="7">
                  <c:v>0.101963867845342</c:v>
                </c:pt>
                <c:pt idx="8">
                  <c:v>0.0942926530375985</c:v>
                </c:pt>
                <c:pt idx="9">
                  <c:v>0.0604565487211914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'dens_visc_2pe+1octoh'!$H$23:$H$33</c:f>
              <c:numCache>
                <c:formatCode>General</c:formatCode>
                <c:ptCount val="11"/>
                <c:pt idx="0">
                  <c:v>0</c:v>
                </c:pt>
                <c:pt idx="1">
                  <c:v>0.0904327027628256</c:v>
                </c:pt>
                <c:pt idx="2">
                  <c:v>0.0848326030710211</c:v>
                </c:pt>
                <c:pt idx="3">
                  <c:v>0.104142726798472</c:v>
                </c:pt>
                <c:pt idx="4">
                  <c:v>0.132611823127888</c:v>
                </c:pt>
                <c:pt idx="5">
                  <c:v>0.124456792218609</c:v>
                </c:pt>
                <c:pt idx="6">
                  <c:v>0.128744512452272</c:v>
                </c:pt>
                <c:pt idx="7">
                  <c:v>0.11098620948286</c:v>
                </c:pt>
                <c:pt idx="8">
                  <c:v>0.0953696277267397</c:v>
                </c:pt>
                <c:pt idx="9">
                  <c:v>0.0666947655996921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'dens_visc_2pe+1octoh'!$I$23:$I$33</c:f>
              <c:numCache>
                <c:formatCode>General</c:formatCode>
                <c:ptCount val="11"/>
                <c:pt idx="0">
                  <c:v>0</c:v>
                </c:pt>
                <c:pt idx="1">
                  <c:v>0.0919280036883095</c:v>
                </c:pt>
                <c:pt idx="2">
                  <c:v>0.0939539413707848</c:v>
                </c:pt>
                <c:pt idx="3">
                  <c:v>0.102700522609069</c:v>
                </c:pt>
                <c:pt idx="4">
                  <c:v>0.122371405684447</c:v>
                </c:pt>
                <c:pt idx="5">
                  <c:v>0.137009156744057</c:v>
                </c:pt>
                <c:pt idx="6">
                  <c:v>0.132278452126599</c:v>
                </c:pt>
                <c:pt idx="7">
                  <c:v>0.12034480133272</c:v>
                </c:pt>
                <c:pt idx="8">
                  <c:v>0.0968905129147117</c:v>
                </c:pt>
                <c:pt idx="9">
                  <c:v>0.0739234919361422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'dens_visc_2pe+1octoh'!$J$23:$J$33</c:f>
              <c:numCache>
                <c:formatCode>General</c:formatCode>
                <c:ptCount val="11"/>
                <c:pt idx="0">
                  <c:v>0</c:v>
                </c:pt>
                <c:pt idx="1">
                  <c:v>0.105700464377748</c:v>
                </c:pt>
                <c:pt idx="2">
                  <c:v>0.0972905053485249</c:v>
                </c:pt>
                <c:pt idx="3">
                  <c:v>0.113758155981316</c:v>
                </c:pt>
                <c:pt idx="4">
                  <c:v>0.12454468843481</c:v>
                </c:pt>
                <c:pt idx="5">
                  <c:v>0.130888513714524</c:v>
                </c:pt>
                <c:pt idx="6">
                  <c:v>0.133936596119753</c:v>
                </c:pt>
                <c:pt idx="7">
                  <c:v>0.114605035816794</c:v>
                </c:pt>
                <c:pt idx="8">
                  <c:v>0.0986358953443585</c:v>
                </c:pt>
                <c:pt idx="9">
                  <c:v>0.0826836068152375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'dens_visc_2pe+1octoh'!$K$23:$K$33</c:f>
              <c:numCache>
                <c:formatCode>General</c:formatCode>
                <c:ptCount val="11"/>
                <c:pt idx="0">
                  <c:v>0</c:v>
                </c:pt>
                <c:pt idx="1">
                  <c:v>0.127484897727953</c:v>
                </c:pt>
                <c:pt idx="2">
                  <c:v>0.107628110819178</c:v>
                </c:pt>
                <c:pt idx="3">
                  <c:v>0.131437990985262</c:v>
                </c:pt>
                <c:pt idx="4">
                  <c:v>0.149575124841476</c:v>
                </c:pt>
                <c:pt idx="5">
                  <c:v>0.145942602343865</c:v>
                </c:pt>
                <c:pt idx="6">
                  <c:v>0.140153664275346</c:v>
                </c:pt>
                <c:pt idx="7">
                  <c:v>0.127371066219581</c:v>
                </c:pt>
                <c:pt idx="8">
                  <c:v>0.117874908596718</c:v>
                </c:pt>
                <c:pt idx="9">
                  <c:v>0.0814598309016645</c:v>
                </c:pt>
                <c:pt idx="10">
                  <c:v>0</c:v>
                </c:pt>
              </c:numCache>
            </c:numRef>
          </c:yVal>
          <c:smooth val="1"/>
        </c:ser>
        <c:axId val="74303948"/>
        <c:axId val="93567113"/>
      </c:scatterChart>
      <c:valAx>
        <c:axId val="7430394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67113"/>
        <c:crossBetween val="midCat"/>
      </c:valAx>
      <c:valAx>
        <c:axId val="93567113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0394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2-phenylethanol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'dens_visc_2pe+1octoh'!$B$37:$B$47</c:f>
              <c:numCache>
                <c:formatCode>General</c:formatCode>
                <c:ptCount val="11"/>
                <c:pt idx="0">
                  <c:v>8.801</c:v>
                </c:pt>
                <c:pt idx="1">
                  <c:v>9.21</c:v>
                </c:pt>
                <c:pt idx="2">
                  <c:v>9.121</c:v>
                </c:pt>
                <c:pt idx="3">
                  <c:v>9.228</c:v>
                </c:pt>
                <c:pt idx="4">
                  <c:v>9.374</c:v>
                </c:pt>
                <c:pt idx="5">
                  <c:v>9.788</c:v>
                </c:pt>
                <c:pt idx="6">
                  <c:v>10.01</c:v>
                </c:pt>
                <c:pt idx="7">
                  <c:v>10.67</c:v>
                </c:pt>
                <c:pt idx="8">
                  <c:v>11.35</c:v>
                </c:pt>
                <c:pt idx="9">
                  <c:v>12.35</c:v>
                </c:pt>
                <c:pt idx="10">
                  <c:v>14.04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'dens_visc_2pe+1octoh'!$C$37:$C$47</c:f>
              <c:numCache>
                <c:formatCode>General</c:formatCode>
                <c:ptCount val="11"/>
                <c:pt idx="0">
                  <c:v>6.146</c:v>
                </c:pt>
                <c:pt idx="1">
                  <c:v>6.216</c:v>
                </c:pt>
                <c:pt idx="2">
                  <c:v>6.348</c:v>
                </c:pt>
                <c:pt idx="3">
                  <c:v>6.38</c:v>
                </c:pt>
                <c:pt idx="4">
                  <c:v>6.46</c:v>
                </c:pt>
                <c:pt idx="5">
                  <c:v>6.671</c:v>
                </c:pt>
                <c:pt idx="6">
                  <c:v>6.767</c:v>
                </c:pt>
                <c:pt idx="7">
                  <c:v>7.119</c:v>
                </c:pt>
                <c:pt idx="8">
                  <c:v>7.488</c:v>
                </c:pt>
                <c:pt idx="9">
                  <c:v>8.037</c:v>
                </c:pt>
                <c:pt idx="10">
                  <c:v>8.973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'dens_visc_2pe+1octoh'!$D$37:$D$47</c:f>
              <c:numCache>
                <c:formatCode>General</c:formatCode>
                <c:ptCount val="11"/>
                <c:pt idx="0">
                  <c:v>4.454</c:v>
                </c:pt>
                <c:pt idx="1">
                  <c:v>4.548</c:v>
                </c:pt>
                <c:pt idx="2">
                  <c:v>4.561</c:v>
                </c:pt>
                <c:pt idx="3">
                  <c:v>4.577</c:v>
                </c:pt>
                <c:pt idx="4">
                  <c:v>4.624</c:v>
                </c:pt>
                <c:pt idx="5">
                  <c:v>4.8</c:v>
                </c:pt>
                <c:pt idx="6">
                  <c:v>4.838</c:v>
                </c:pt>
                <c:pt idx="7">
                  <c:v>4.999</c:v>
                </c:pt>
                <c:pt idx="8">
                  <c:v>5.205</c:v>
                </c:pt>
                <c:pt idx="9">
                  <c:v>5.528</c:v>
                </c:pt>
                <c:pt idx="10">
                  <c:v>6.102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'dens_visc_2pe+1octoh'!$E$37:$E$47</c:f>
              <c:numCache>
                <c:formatCode>General</c:formatCode>
                <c:ptCount val="11"/>
                <c:pt idx="0">
                  <c:v>3.292</c:v>
                </c:pt>
                <c:pt idx="1">
                  <c:v>3.373</c:v>
                </c:pt>
                <c:pt idx="2">
                  <c:v>3.37</c:v>
                </c:pt>
                <c:pt idx="3">
                  <c:v>3.369</c:v>
                </c:pt>
                <c:pt idx="4">
                  <c:v>3.404</c:v>
                </c:pt>
                <c:pt idx="5">
                  <c:v>3.496</c:v>
                </c:pt>
                <c:pt idx="6">
                  <c:v>3.529</c:v>
                </c:pt>
                <c:pt idx="7">
                  <c:v>3.648</c:v>
                </c:pt>
                <c:pt idx="8">
                  <c:v>3.781</c:v>
                </c:pt>
                <c:pt idx="9">
                  <c:v>3.997</c:v>
                </c:pt>
                <c:pt idx="10">
                  <c:v>4.368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'dens_visc_2pe+1octoh'!$A$37:$A$47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0.102942036474298</c:v>
                </c:pt>
                <c:pt idx="2">
                  <c:v>0.20060238096856</c:v>
                </c:pt>
                <c:pt idx="3">
                  <c:v>0.303857905301441</c:v>
                </c:pt>
                <c:pt idx="4">
                  <c:v>0.400541165787733</c:v>
                </c:pt>
                <c:pt idx="5">
                  <c:v>0.500803081101967</c:v>
                </c:pt>
                <c:pt idx="6">
                  <c:v>0.600207576515638</c:v>
                </c:pt>
                <c:pt idx="7">
                  <c:v>0.701129970086883</c:v>
                </c:pt>
                <c:pt idx="8">
                  <c:v>0.799129581162723</c:v>
                </c:pt>
                <c:pt idx="9">
                  <c:v>0.899567661591019</c:v>
                </c:pt>
                <c:pt idx="10">
                  <c:v>1</c:v>
                </c:pt>
              </c:numCache>
            </c:numRef>
          </c:xVal>
          <c:yVal>
            <c:numRef>
              <c:f>'dens_visc_2pe+1octoh'!$F$37:$F$47</c:f>
              <c:numCache>
                <c:formatCode>General</c:formatCode>
                <c:ptCount val="11"/>
                <c:pt idx="0">
                  <c:v>2.511</c:v>
                </c:pt>
                <c:pt idx="1">
                  <c:v>2.585</c:v>
                </c:pt>
                <c:pt idx="2">
                  <c:v>2.576</c:v>
                </c:pt>
                <c:pt idx="3">
                  <c:v>2.564</c:v>
                </c:pt>
                <c:pt idx="4">
                  <c:v>2.612</c:v>
                </c:pt>
                <c:pt idx="5">
                  <c:v>2.625</c:v>
                </c:pt>
                <c:pt idx="6">
                  <c:v>2.679</c:v>
                </c:pt>
                <c:pt idx="7">
                  <c:v>2.783</c:v>
                </c:pt>
                <c:pt idx="8">
                  <c:v>2.862</c:v>
                </c:pt>
                <c:pt idx="9">
                  <c:v>3.002</c:v>
                </c:pt>
                <c:pt idx="10">
                  <c:v>3.252</c:v>
                </c:pt>
              </c:numCache>
            </c:numRef>
          </c:yVal>
          <c:smooth val="1"/>
        </c:ser>
        <c:axId val="18533330"/>
        <c:axId val="6690387"/>
      </c:scatterChart>
      <c:valAx>
        <c:axId val="1853333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0387"/>
        <c:crossBetween val="midCat"/>
      </c:valAx>
      <c:valAx>
        <c:axId val="6690387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53333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2-phenylethanol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'dens_visc_2pe+mibk'!$B$23:$B$33</c:f>
              <c:numCache>
                <c:formatCode>0.00000</c:formatCode>
                <c:ptCount val="11"/>
                <c:pt idx="0">
                  <c:v>0.80143</c:v>
                </c:pt>
                <c:pt idx="1">
                  <c:v>0.82529</c:v>
                </c:pt>
                <c:pt idx="2">
                  <c:v>0.84746</c:v>
                </c:pt>
                <c:pt idx="3">
                  <c:v>0.86835</c:v>
                </c:pt>
                <c:pt idx="4">
                  <c:v>0.89242</c:v>
                </c:pt>
                <c:pt idx="5">
                  <c:v>0.91458</c:v>
                </c:pt>
                <c:pt idx="6">
                  <c:v>0.93718</c:v>
                </c:pt>
                <c:pt idx="7">
                  <c:v>0.95734</c:v>
                </c:pt>
                <c:pt idx="8">
                  <c:v>0.97809</c:v>
                </c:pt>
                <c:pt idx="9">
                  <c:v>0.99916</c:v>
                </c:pt>
                <c:pt idx="10">
                  <c:v>1.01985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'dens_visc_2pe+mibk'!$C$23:$C$33</c:f>
              <c:numCache>
                <c:formatCode>0.00000</c:formatCode>
                <c:ptCount val="11"/>
                <c:pt idx="0">
                  <c:v>0.79234</c:v>
                </c:pt>
                <c:pt idx="1">
                  <c:v>0.81641</c:v>
                </c:pt>
                <c:pt idx="2">
                  <c:v>0.8387</c:v>
                </c:pt>
                <c:pt idx="3">
                  <c:v>0.85979</c:v>
                </c:pt>
                <c:pt idx="4">
                  <c:v>0.88404</c:v>
                </c:pt>
                <c:pt idx="5">
                  <c:v>0.90638</c:v>
                </c:pt>
                <c:pt idx="6">
                  <c:v>0.92911</c:v>
                </c:pt>
                <c:pt idx="7">
                  <c:v>0.94948</c:v>
                </c:pt>
                <c:pt idx="8">
                  <c:v>0.97039</c:v>
                </c:pt>
                <c:pt idx="9">
                  <c:v>0.99163</c:v>
                </c:pt>
                <c:pt idx="10">
                  <c:v>1.01244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'dens_visc_2pe+mibk'!$D$23:$D$33</c:f>
              <c:numCache>
                <c:formatCode>0.00000</c:formatCode>
                <c:ptCount val="11"/>
                <c:pt idx="0">
                  <c:v>0.78314</c:v>
                </c:pt>
                <c:pt idx="1">
                  <c:v>0.80742</c:v>
                </c:pt>
                <c:pt idx="2">
                  <c:v>0.82988</c:v>
                </c:pt>
                <c:pt idx="3">
                  <c:v>0.85113</c:v>
                </c:pt>
                <c:pt idx="4">
                  <c:v>0.87557</c:v>
                </c:pt>
                <c:pt idx="5">
                  <c:v>0.89808</c:v>
                </c:pt>
                <c:pt idx="6">
                  <c:v>0.92098</c:v>
                </c:pt>
                <c:pt idx="7">
                  <c:v>0.94151</c:v>
                </c:pt>
                <c:pt idx="8">
                  <c:v>0.96258</c:v>
                </c:pt>
                <c:pt idx="9">
                  <c:v>0.98398</c:v>
                </c:pt>
                <c:pt idx="10">
                  <c:v>1.00494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'dens_visc_2pe+mibk'!$E$23:$E$33</c:f>
              <c:numCache>
                <c:formatCode>0.00000</c:formatCode>
                <c:ptCount val="11"/>
                <c:pt idx="0">
                  <c:v>0.77383</c:v>
                </c:pt>
                <c:pt idx="1">
                  <c:v>0.79835</c:v>
                </c:pt>
                <c:pt idx="2">
                  <c:v>0.82098</c:v>
                </c:pt>
                <c:pt idx="3">
                  <c:v>0.84241</c:v>
                </c:pt>
                <c:pt idx="4">
                  <c:v>0.86703</c:v>
                </c:pt>
                <c:pt idx="5">
                  <c:v>0.8897</c:v>
                </c:pt>
                <c:pt idx="6">
                  <c:v>0.91278</c:v>
                </c:pt>
                <c:pt idx="7">
                  <c:v>0.93347</c:v>
                </c:pt>
                <c:pt idx="8">
                  <c:v>0.9547</c:v>
                </c:pt>
                <c:pt idx="9">
                  <c:v>0.97625</c:v>
                </c:pt>
                <c:pt idx="10">
                  <c:v>0.99736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'dens_visc_2pe+mibk'!$F$23:$F$33</c:f>
              <c:numCache>
                <c:formatCode>0.00000</c:formatCode>
                <c:ptCount val="11"/>
                <c:pt idx="0">
                  <c:v>0.76444</c:v>
                </c:pt>
                <c:pt idx="1">
                  <c:v>0.78915</c:v>
                </c:pt>
                <c:pt idx="2">
                  <c:v>0.81198</c:v>
                </c:pt>
                <c:pt idx="3">
                  <c:v>0.83358</c:v>
                </c:pt>
                <c:pt idx="4">
                  <c:v>0.8584</c:v>
                </c:pt>
                <c:pt idx="5">
                  <c:v>0.88124</c:v>
                </c:pt>
                <c:pt idx="6">
                  <c:v>0.90449</c:v>
                </c:pt>
                <c:pt idx="7">
                  <c:v>0.92533</c:v>
                </c:pt>
                <c:pt idx="8">
                  <c:v>0.94672</c:v>
                </c:pt>
                <c:pt idx="9">
                  <c:v>0.96842</c:v>
                </c:pt>
                <c:pt idx="10">
                  <c:v>0.9897</c:v>
                </c:pt>
              </c:numCache>
            </c:numRef>
          </c:yVal>
          <c:smooth val="1"/>
        </c:ser>
        <c:axId val="24955921"/>
        <c:axId val="18360453"/>
      </c:scatterChart>
      <c:valAx>
        <c:axId val="24955921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60453"/>
        <c:crossBetween val="midCat"/>
      </c:valAx>
      <c:valAx>
        <c:axId val="18360453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955921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2-phenylethanol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-0.239293348636437</c:v>
                </c:pt>
                <c:pt idx="2">
                  <c:v>-0.477792953439277</c:v>
                </c:pt>
                <c:pt idx="3">
                  <c:v>-0.626671788901192</c:v>
                </c:pt>
                <c:pt idx="4">
                  <c:v>-0.713253028181924</c:v>
                </c:pt>
                <c:pt idx="5">
                  <c:v>-0.737073540013114</c:v>
                </c:pt>
                <c:pt idx="6">
                  <c:v>-0.707512575449798</c:v>
                </c:pt>
                <c:pt idx="7">
                  <c:v>-0.600604954231841</c:v>
                </c:pt>
                <c:pt idx="8">
                  <c:v>-0.455218589666828</c:v>
                </c:pt>
                <c:pt idx="9">
                  <c:v>-0.242506464232633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-0.263288486925461</c:v>
                </c:pt>
                <c:pt idx="2">
                  <c:v>-0.509359436368726</c:v>
                </c:pt>
                <c:pt idx="3">
                  <c:v>-0.673366980146142</c:v>
                </c:pt>
                <c:pt idx="4">
                  <c:v>-0.764424644370678</c:v>
                </c:pt>
                <c:pt idx="5">
                  <c:v>-0.790057049415466</c:v>
                </c:pt>
                <c:pt idx="6">
                  <c:v>-0.751270239185814</c:v>
                </c:pt>
                <c:pt idx="7">
                  <c:v>-0.644345324897188</c:v>
                </c:pt>
                <c:pt idx="8">
                  <c:v>-0.488815604404991</c:v>
                </c:pt>
                <c:pt idx="9">
                  <c:v>-0.263250707788444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-0.288620943505734</c:v>
                </c:pt>
                <c:pt idx="2">
                  <c:v>-0.550279268606658</c:v>
                </c:pt>
                <c:pt idx="3">
                  <c:v>-0.723900751711611</c:v>
                </c:pt>
                <c:pt idx="4">
                  <c:v>-0.820819177831098</c:v>
                </c:pt>
                <c:pt idx="5">
                  <c:v>-0.846592352596446</c:v>
                </c:pt>
                <c:pt idx="6">
                  <c:v>-0.803162987816577</c:v>
                </c:pt>
                <c:pt idx="7">
                  <c:v>-0.689070340077166</c:v>
                </c:pt>
                <c:pt idx="8">
                  <c:v>-0.522487856362446</c:v>
                </c:pt>
                <c:pt idx="9">
                  <c:v>-0.281734870428082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-0.32010231126921</c:v>
                </c:pt>
                <c:pt idx="2">
                  <c:v>-0.597858497590309</c:v>
                </c:pt>
                <c:pt idx="3">
                  <c:v>-0.784225945959676</c:v>
                </c:pt>
                <c:pt idx="4">
                  <c:v>-0.885229976406336</c:v>
                </c:pt>
                <c:pt idx="5">
                  <c:v>-0.90915624568413</c:v>
                </c:pt>
                <c:pt idx="6">
                  <c:v>-0.861605106144182</c:v>
                </c:pt>
                <c:pt idx="7">
                  <c:v>-0.739349165324398</c:v>
                </c:pt>
                <c:pt idx="8">
                  <c:v>-0.560482044607838</c:v>
                </c:pt>
                <c:pt idx="9">
                  <c:v>-0.30181338109513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-0.345368418559445</c:v>
                </c:pt>
                <c:pt idx="2">
                  <c:v>-0.645322947056343</c:v>
                </c:pt>
                <c:pt idx="3">
                  <c:v>-0.843742334652688</c:v>
                </c:pt>
                <c:pt idx="4">
                  <c:v>-0.952204071123717</c:v>
                </c:pt>
                <c:pt idx="5">
                  <c:v>-0.975640482182357</c:v>
                </c:pt>
                <c:pt idx="6">
                  <c:v>-0.922255278957337</c:v>
                </c:pt>
                <c:pt idx="7">
                  <c:v>-0.789973075510901</c:v>
                </c:pt>
                <c:pt idx="8">
                  <c:v>-0.598107488243116</c:v>
                </c:pt>
                <c:pt idx="9">
                  <c:v>-0.320527898170084</c:v>
                </c:pt>
                <c:pt idx="10">
                  <c:v>0</c:v>
                </c:pt>
              </c:numCache>
            </c:numRef>
          </c:yVal>
          <c:smooth val="1"/>
        </c:ser>
        <c:axId val="20829181"/>
        <c:axId val="88087688"/>
      </c:scatterChart>
      <c:valAx>
        <c:axId val="20829181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87688"/>
        <c:crossBetween val="midCat"/>
      </c:valAx>
      <c:valAx>
        <c:axId val="8808768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29181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2-phenylethanol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'dens_visc_2pe+mibk'!$B$37:$B$47</c:f>
              <c:numCache>
                <c:formatCode>0.000</c:formatCode>
                <c:ptCount val="11"/>
                <c:pt idx="0">
                  <c:v>0.58507</c:v>
                </c:pt>
                <c:pt idx="1">
                  <c:v>0.73</c:v>
                </c:pt>
                <c:pt idx="2">
                  <c:v>0.918</c:v>
                </c:pt>
                <c:pt idx="3">
                  <c:v>1.162</c:v>
                </c:pt>
                <c:pt idx="4">
                  <c:v>1.574</c:v>
                </c:pt>
                <c:pt idx="5">
                  <c:v>2.113</c:v>
                </c:pt>
                <c:pt idx="6">
                  <c:v>2.971</c:v>
                </c:pt>
                <c:pt idx="7">
                  <c:v>4.158</c:v>
                </c:pt>
                <c:pt idx="8">
                  <c:v>6.052</c:v>
                </c:pt>
                <c:pt idx="9">
                  <c:v>9.162</c:v>
                </c:pt>
                <c:pt idx="10">
                  <c:v>14.04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'dens_visc_2pe+mibk'!$C$37:$C$47</c:f>
              <c:numCache>
                <c:formatCode>0.000</c:formatCode>
                <c:ptCount val="11"/>
                <c:pt idx="0">
                  <c:v>0.5218</c:v>
                </c:pt>
                <c:pt idx="1">
                  <c:v>0.638</c:v>
                </c:pt>
                <c:pt idx="2">
                  <c:v>0.789</c:v>
                </c:pt>
                <c:pt idx="3">
                  <c:v>0.981</c:v>
                </c:pt>
                <c:pt idx="4">
                  <c:v>1.294</c:v>
                </c:pt>
                <c:pt idx="5">
                  <c:v>1.692</c:v>
                </c:pt>
                <c:pt idx="6">
                  <c:v>2.298</c:v>
                </c:pt>
                <c:pt idx="7">
                  <c:v>3.1</c:v>
                </c:pt>
                <c:pt idx="8">
                  <c:v>4.32</c:v>
                </c:pt>
                <c:pt idx="9">
                  <c:v>6.204</c:v>
                </c:pt>
                <c:pt idx="10">
                  <c:v>8.973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'dens_visc_2pe+mibk'!$D$37:$D$47</c:f>
              <c:numCache>
                <c:formatCode>0.000</c:formatCode>
                <c:ptCount val="11"/>
                <c:pt idx="0">
                  <c:v>0.46729</c:v>
                </c:pt>
                <c:pt idx="1">
                  <c:v>0.564</c:v>
                </c:pt>
                <c:pt idx="2">
                  <c:v>0.686</c:v>
                </c:pt>
                <c:pt idx="3">
                  <c:v>0.841</c:v>
                </c:pt>
                <c:pt idx="4">
                  <c:v>1.084</c:v>
                </c:pt>
                <c:pt idx="5">
                  <c:v>1.386</c:v>
                </c:pt>
                <c:pt idx="6">
                  <c:v>1.828</c:v>
                </c:pt>
                <c:pt idx="7">
                  <c:v>2.391</c:v>
                </c:pt>
                <c:pt idx="8">
                  <c:v>3.213</c:v>
                </c:pt>
                <c:pt idx="9">
                  <c:v>4.421</c:v>
                </c:pt>
                <c:pt idx="10">
                  <c:v>6.102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'dens_visc_2pe+mibk'!$E$37:$E$47</c:f>
              <c:numCache>
                <c:formatCode>0.000</c:formatCode>
                <c:ptCount val="11"/>
                <c:pt idx="0">
                  <c:v>0.42305</c:v>
                </c:pt>
                <c:pt idx="1">
                  <c:v>0.502</c:v>
                </c:pt>
                <c:pt idx="2">
                  <c:v>0.603</c:v>
                </c:pt>
                <c:pt idx="3">
                  <c:v>0.729</c:v>
                </c:pt>
                <c:pt idx="4">
                  <c:v>0.922</c:v>
                </c:pt>
                <c:pt idx="5">
                  <c:v>1.157</c:v>
                </c:pt>
                <c:pt idx="6">
                  <c:v>1.488</c:v>
                </c:pt>
                <c:pt idx="7">
                  <c:v>1.897</c:v>
                </c:pt>
                <c:pt idx="8">
                  <c:v>2.472</c:v>
                </c:pt>
                <c:pt idx="9">
                  <c:v>3.284</c:v>
                </c:pt>
                <c:pt idx="10">
                  <c:v>4.368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0.105926031920863</c:v>
                </c:pt>
                <c:pt idx="2">
                  <c:v>0.202551826920771</c:v>
                </c:pt>
                <c:pt idx="3">
                  <c:v>0.294950185637093</c:v>
                </c:pt>
                <c:pt idx="4">
                  <c:v>0.403037564900804</c:v>
                </c:pt>
                <c:pt idx="5">
                  <c:v>0.503427820355105</c:v>
                </c:pt>
                <c:pt idx="6">
                  <c:v>0.606763452498099</c:v>
                </c:pt>
                <c:pt idx="7">
                  <c:v>0.701083783054225</c:v>
                </c:pt>
                <c:pt idx="8">
                  <c:v>0.798845694462126</c:v>
                </c:pt>
                <c:pt idx="9">
                  <c:v>0.899940898700494</c:v>
                </c:pt>
                <c:pt idx="10">
                  <c:v>1</c:v>
                </c:pt>
              </c:numCache>
            </c:numRef>
          </c:xVal>
          <c:yVal>
            <c:numRef>
              <c:f>'dens_visc_2pe+mibk'!$F$37:$F$47</c:f>
              <c:numCache>
                <c:formatCode>0.000</c:formatCode>
                <c:ptCount val="11"/>
                <c:pt idx="0">
                  <c:v>0.38771</c:v>
                </c:pt>
                <c:pt idx="1">
                  <c:v>0.451</c:v>
                </c:pt>
                <c:pt idx="2">
                  <c:v>0.536</c:v>
                </c:pt>
                <c:pt idx="3">
                  <c:v>0.639</c:v>
                </c:pt>
                <c:pt idx="4">
                  <c:v>0.795</c:v>
                </c:pt>
                <c:pt idx="5">
                  <c:v>0.984</c:v>
                </c:pt>
                <c:pt idx="6">
                  <c:v>1.236</c:v>
                </c:pt>
                <c:pt idx="7">
                  <c:v>1.54</c:v>
                </c:pt>
                <c:pt idx="8">
                  <c:v>1.957</c:v>
                </c:pt>
                <c:pt idx="9">
                  <c:v>2.524</c:v>
                </c:pt>
                <c:pt idx="10">
                  <c:v>3.252</c:v>
                </c:pt>
              </c:numCache>
            </c:numRef>
          </c:yVal>
          <c:smooth val="1"/>
        </c:ser>
        <c:axId val="77501310"/>
        <c:axId val="93998289"/>
      </c:scatterChart>
      <c:valAx>
        <c:axId val="7750131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998289"/>
        <c:crossBetween val="midCat"/>
      </c:valAx>
      <c:valAx>
        <c:axId val="93998289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50131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2-phenylethanol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'dens_visc_2pe+2octanone'!$B$23:$B$33</c:f>
              <c:numCache>
                <c:formatCode>General</c:formatCode>
                <c:ptCount val="11"/>
                <c:pt idx="0">
                  <c:v>0.81906</c:v>
                </c:pt>
                <c:pt idx="1">
                  <c:v>0.83583</c:v>
                </c:pt>
                <c:pt idx="2">
                  <c:v>0.8497</c:v>
                </c:pt>
                <c:pt idx="3">
                  <c:v>0.86769</c:v>
                </c:pt>
                <c:pt idx="4">
                  <c:v>0.897</c:v>
                </c:pt>
                <c:pt idx="5">
                  <c:v>0.90981</c:v>
                </c:pt>
                <c:pt idx="6">
                  <c:v>0.92932</c:v>
                </c:pt>
                <c:pt idx="7">
                  <c:v>0.95074</c:v>
                </c:pt>
                <c:pt idx="8">
                  <c:v>0.97288</c:v>
                </c:pt>
                <c:pt idx="9">
                  <c:v>0.99558</c:v>
                </c:pt>
                <c:pt idx="10">
                  <c:v>1.01985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'dens_visc_2pe+2octanone'!$C$23:$C$33</c:f>
              <c:numCache>
                <c:formatCode>General</c:formatCode>
                <c:ptCount val="11"/>
                <c:pt idx="0">
                  <c:v>0.81089</c:v>
                </c:pt>
                <c:pt idx="1">
                  <c:v>0.82771</c:v>
                </c:pt>
                <c:pt idx="2">
                  <c:v>0.84158</c:v>
                </c:pt>
                <c:pt idx="3">
                  <c:v>0.85968</c:v>
                </c:pt>
                <c:pt idx="4">
                  <c:v>0.8891</c:v>
                </c:pt>
                <c:pt idx="5">
                  <c:v>0.90208</c:v>
                </c:pt>
                <c:pt idx="6">
                  <c:v>0.92155</c:v>
                </c:pt>
                <c:pt idx="7">
                  <c:v>0.94302</c:v>
                </c:pt>
                <c:pt idx="8">
                  <c:v>0.9653</c:v>
                </c:pt>
                <c:pt idx="9">
                  <c:v>0.9881</c:v>
                </c:pt>
                <c:pt idx="10">
                  <c:v>1.01244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'dens_visc_2pe+2octanone'!$D$23:$D$33</c:f>
              <c:numCache>
                <c:formatCode>General</c:formatCode>
                <c:ptCount val="11"/>
                <c:pt idx="0">
                  <c:v>0.80264</c:v>
                </c:pt>
                <c:pt idx="1">
                  <c:v>0.8195</c:v>
                </c:pt>
                <c:pt idx="2">
                  <c:v>0.83341</c:v>
                </c:pt>
                <c:pt idx="3">
                  <c:v>0.85158</c:v>
                </c:pt>
                <c:pt idx="4">
                  <c:v>0.88111</c:v>
                </c:pt>
                <c:pt idx="5">
                  <c:v>0.89413</c:v>
                </c:pt>
                <c:pt idx="6">
                  <c:v>0.91368</c:v>
                </c:pt>
                <c:pt idx="7">
                  <c:v>0.93523</c:v>
                </c:pt>
                <c:pt idx="8">
                  <c:v>0.9576</c:v>
                </c:pt>
                <c:pt idx="9">
                  <c:v>0.9805</c:v>
                </c:pt>
                <c:pt idx="10">
                  <c:v>1.00494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'dens_visc_2pe+2octanone'!$E$23:$E$33</c:f>
              <c:numCache>
                <c:formatCode>General</c:formatCode>
                <c:ptCount val="11"/>
                <c:pt idx="0">
                  <c:v>0.79435</c:v>
                </c:pt>
                <c:pt idx="1">
                  <c:v>0.81123</c:v>
                </c:pt>
                <c:pt idx="2">
                  <c:v>0.82519</c:v>
                </c:pt>
                <c:pt idx="3">
                  <c:v>0.84341</c:v>
                </c:pt>
                <c:pt idx="4">
                  <c:v>0.87304</c:v>
                </c:pt>
                <c:pt idx="5">
                  <c:v>0.88611</c:v>
                </c:pt>
                <c:pt idx="6">
                  <c:v>0.90572</c:v>
                </c:pt>
                <c:pt idx="7">
                  <c:v>0.92737</c:v>
                </c:pt>
                <c:pt idx="8">
                  <c:v>0.94983</c:v>
                </c:pt>
                <c:pt idx="9">
                  <c:v>0.97283</c:v>
                </c:pt>
                <c:pt idx="10">
                  <c:v>0.99736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'dens_visc_2pe+2octanone'!$F$23:$F$33</c:f>
              <c:numCache>
                <c:formatCode>General</c:formatCode>
                <c:ptCount val="11"/>
                <c:pt idx="0">
                  <c:v>0.78598</c:v>
                </c:pt>
                <c:pt idx="1">
                  <c:v>0.8029</c:v>
                </c:pt>
                <c:pt idx="2">
                  <c:v>0.81688</c:v>
                </c:pt>
                <c:pt idx="3">
                  <c:v>0.83517</c:v>
                </c:pt>
                <c:pt idx="4">
                  <c:v>0.86489</c:v>
                </c:pt>
                <c:pt idx="5">
                  <c:v>0.878</c:v>
                </c:pt>
                <c:pt idx="6">
                  <c:v>0.8977</c:v>
                </c:pt>
                <c:pt idx="7">
                  <c:v>0.91942</c:v>
                </c:pt>
                <c:pt idx="8">
                  <c:v>0.94197</c:v>
                </c:pt>
                <c:pt idx="9">
                  <c:v>0.96506</c:v>
                </c:pt>
                <c:pt idx="10">
                  <c:v>0.9897</c:v>
                </c:pt>
              </c:numCache>
            </c:numRef>
          </c:yVal>
          <c:smooth val="1"/>
        </c:ser>
        <c:axId val="59246825"/>
        <c:axId val="76946629"/>
      </c:scatterChart>
      <c:valAx>
        <c:axId val="59246825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946629"/>
        <c:crossBetween val="midCat"/>
      </c:valAx>
      <c:valAx>
        <c:axId val="76946629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246825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2-phenylethanol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-0.103603517482213</c:v>
                </c:pt>
                <c:pt idx="2">
                  <c:v>-0.190702765452215</c:v>
                </c:pt>
                <c:pt idx="3">
                  <c:v>-0.268659945245247</c:v>
                </c:pt>
                <c:pt idx="4">
                  <c:v>-0.340021897775301</c:v>
                </c:pt>
                <c:pt idx="5">
                  <c:v>-0.327964927951115</c:v>
                </c:pt>
                <c:pt idx="6">
                  <c:v>-0.335846964846837</c:v>
                </c:pt>
                <c:pt idx="7">
                  <c:v>-0.305135583584274</c:v>
                </c:pt>
                <c:pt idx="8">
                  <c:v>-0.222335659552982</c:v>
                </c:pt>
                <c:pt idx="9">
                  <c:v>-0.118212127099653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-0.111145086795119</c:v>
                </c:pt>
                <c:pt idx="2">
                  <c:v>-0.195697644342005</c:v>
                </c:pt>
                <c:pt idx="3">
                  <c:v>-0.287557469970778</c:v>
                </c:pt>
                <c:pt idx="4">
                  <c:v>-0.364067546856035</c:v>
                </c:pt>
                <c:pt idx="5">
                  <c:v>-0.37078266874525</c:v>
                </c:pt>
                <c:pt idx="6">
                  <c:v>-0.360468987520193</c:v>
                </c:pt>
                <c:pt idx="7">
                  <c:v>-0.32222911361788</c:v>
                </c:pt>
                <c:pt idx="8">
                  <c:v>-0.24118268048197</c:v>
                </c:pt>
                <c:pt idx="9">
                  <c:v>-0.130848318865034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-0.117449203632162</c:v>
                </c:pt>
                <c:pt idx="2">
                  <c:v>-0.206989803886046</c:v>
                </c:pt>
                <c:pt idx="3">
                  <c:v>-0.306320764353046</c:v>
                </c:pt>
                <c:pt idx="4">
                  <c:v>-0.388588771122443</c:v>
                </c:pt>
                <c:pt idx="5">
                  <c:v>-0.394528168572037</c:v>
                </c:pt>
                <c:pt idx="6">
                  <c:v>-0.384376257475793</c:v>
                </c:pt>
                <c:pt idx="7">
                  <c:v>-0.342776828710186</c:v>
                </c:pt>
                <c:pt idx="8">
                  <c:v>-0.256705096269656</c:v>
                </c:pt>
                <c:pt idx="9">
                  <c:v>-0.140134505649669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-0.120843649113198</c:v>
                </c:pt>
                <c:pt idx="2">
                  <c:v>-0.218110541744863</c:v>
                </c:pt>
                <c:pt idx="3">
                  <c:v>-0.322355196681087</c:v>
                </c:pt>
                <c:pt idx="4">
                  <c:v>-0.410200600827778</c:v>
                </c:pt>
                <c:pt idx="5">
                  <c:v>-0.41746789758011</c:v>
                </c:pt>
                <c:pt idx="6">
                  <c:v>-0.405104484072155</c:v>
                </c:pt>
                <c:pt idx="7">
                  <c:v>-0.363701168643701</c:v>
                </c:pt>
                <c:pt idx="8">
                  <c:v>-0.273007273572915</c:v>
                </c:pt>
                <c:pt idx="9">
                  <c:v>-0.150496372925829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-0.128589679622337</c:v>
                </c:pt>
                <c:pt idx="2">
                  <c:v>-0.228198268996039</c:v>
                </c:pt>
                <c:pt idx="3">
                  <c:v>-0.34142124009324</c:v>
                </c:pt>
                <c:pt idx="4">
                  <c:v>-0.433363134466987</c:v>
                </c:pt>
                <c:pt idx="5">
                  <c:v>-0.44038988850977</c:v>
                </c:pt>
                <c:pt idx="6">
                  <c:v>-0.430410004385976</c:v>
                </c:pt>
                <c:pt idx="7">
                  <c:v>-0.384548194044328</c:v>
                </c:pt>
                <c:pt idx="8">
                  <c:v>-0.288979703359644</c:v>
                </c:pt>
                <c:pt idx="9">
                  <c:v>-0.158854023995218</c:v>
                </c:pt>
                <c:pt idx="10">
                  <c:v>0</c:v>
                </c:pt>
              </c:numCache>
            </c:numRef>
          </c:yVal>
          <c:smooth val="1"/>
        </c:ser>
        <c:axId val="37531279"/>
        <c:axId val="83859743"/>
      </c:scatterChart>
      <c:valAx>
        <c:axId val="37531279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59743"/>
        <c:crossBetween val="midCat"/>
      </c:valAx>
      <c:valAx>
        <c:axId val="83859743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31279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2-phenylethanol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'dens_visc_2pe+2octanone'!$B$37:$B$47</c:f>
              <c:numCache>
                <c:formatCode>General</c:formatCode>
                <c:ptCount val="11"/>
                <c:pt idx="0">
                  <c:v>1.01</c:v>
                </c:pt>
                <c:pt idx="1">
                  <c:v>1.181</c:v>
                </c:pt>
                <c:pt idx="2">
                  <c:v>1.355</c:v>
                </c:pt>
                <c:pt idx="3">
                  <c:v>1.613</c:v>
                </c:pt>
                <c:pt idx="4">
                  <c:v>2.24</c:v>
                </c:pt>
                <c:pt idx="5">
                  <c:v>2.623</c:v>
                </c:pt>
                <c:pt idx="6">
                  <c:v>3.386</c:v>
                </c:pt>
                <c:pt idx="7">
                  <c:v>4.556</c:v>
                </c:pt>
                <c:pt idx="8">
                  <c:v>6.391</c:v>
                </c:pt>
                <c:pt idx="9">
                  <c:v>9.264</c:v>
                </c:pt>
                <c:pt idx="10">
                  <c:v>14.04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'dens_visc_2pe+2octanone'!$C$37:$C$47</c:f>
              <c:numCache>
                <c:formatCode>General</c:formatCode>
                <c:ptCount val="11"/>
                <c:pt idx="0">
                  <c:v>0.869</c:v>
                </c:pt>
                <c:pt idx="1">
                  <c:v>1.004</c:v>
                </c:pt>
                <c:pt idx="2">
                  <c:v>1.13</c:v>
                </c:pt>
                <c:pt idx="3">
                  <c:v>1.333</c:v>
                </c:pt>
                <c:pt idx="4">
                  <c:v>1.793</c:v>
                </c:pt>
                <c:pt idx="5">
                  <c:v>2.066</c:v>
                </c:pt>
                <c:pt idx="6">
                  <c:v>2.594</c:v>
                </c:pt>
                <c:pt idx="7">
                  <c:v>3.377</c:v>
                </c:pt>
                <c:pt idx="8">
                  <c:v>4.544</c:v>
                </c:pt>
                <c:pt idx="9">
                  <c:v>6.276</c:v>
                </c:pt>
                <c:pt idx="10">
                  <c:v>8.973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'dens_visc_2pe+2octanone'!$D$37:$D$47</c:f>
              <c:numCache>
                <c:formatCode>General</c:formatCode>
                <c:ptCount val="11"/>
                <c:pt idx="0">
                  <c:v>0.758</c:v>
                </c:pt>
                <c:pt idx="1">
                  <c:v>0.867</c:v>
                </c:pt>
                <c:pt idx="2">
                  <c:v>0.97</c:v>
                </c:pt>
                <c:pt idx="3">
                  <c:v>1.123</c:v>
                </c:pt>
                <c:pt idx="4">
                  <c:v>1.469</c:v>
                </c:pt>
                <c:pt idx="5">
                  <c:v>1.669</c:v>
                </c:pt>
                <c:pt idx="6">
                  <c:v>2.047</c:v>
                </c:pt>
                <c:pt idx="7">
                  <c:v>2.594</c:v>
                </c:pt>
                <c:pt idx="8">
                  <c:v>3.373</c:v>
                </c:pt>
                <c:pt idx="9">
                  <c:v>4.474</c:v>
                </c:pt>
                <c:pt idx="10">
                  <c:v>6.102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'dens_visc_2pe+2octanone'!$E$37:$E$47</c:f>
              <c:numCache>
                <c:formatCode>General</c:formatCode>
                <c:ptCount val="11"/>
                <c:pt idx="0">
                  <c:v>0.668</c:v>
                </c:pt>
                <c:pt idx="1">
                  <c:v>0.759</c:v>
                </c:pt>
                <c:pt idx="2">
                  <c:v>0.838</c:v>
                </c:pt>
                <c:pt idx="3">
                  <c:v>0.963</c:v>
                </c:pt>
                <c:pt idx="4">
                  <c:v>1.231</c:v>
                </c:pt>
                <c:pt idx="5">
                  <c:v>1.379</c:v>
                </c:pt>
                <c:pt idx="6">
                  <c:v>1.656</c:v>
                </c:pt>
                <c:pt idx="7">
                  <c:v>2.049</c:v>
                </c:pt>
                <c:pt idx="8">
                  <c:v>2.589</c:v>
                </c:pt>
                <c:pt idx="9">
                  <c:v>3.326</c:v>
                </c:pt>
                <c:pt idx="10">
                  <c:v>4.368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'dens_visc_2pe+2octanone'!$A$37:$A$47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0.10290767799473</c:v>
                </c:pt>
                <c:pt idx="2">
                  <c:v>0.184061205395094</c:v>
                </c:pt>
                <c:pt idx="3">
                  <c:v>0.285587520662777</c:v>
                </c:pt>
                <c:pt idx="4">
                  <c:v>0.441946578451035</c:v>
                </c:pt>
                <c:pt idx="5">
                  <c:v>0.507809776347763</c:v>
                </c:pt>
                <c:pt idx="6">
                  <c:v>0.603034895845163</c:v>
                </c:pt>
                <c:pt idx="7">
                  <c:v>0.703422225953614</c:v>
                </c:pt>
                <c:pt idx="8">
                  <c:v>0.803310581963571</c:v>
                </c:pt>
                <c:pt idx="9">
                  <c:v>0.90095052307922</c:v>
                </c:pt>
                <c:pt idx="10">
                  <c:v>1</c:v>
                </c:pt>
              </c:numCache>
            </c:numRef>
          </c:xVal>
          <c:yVal>
            <c:numRef>
              <c:f>'dens_visc_2pe+2octanone'!$F$37:$F$47</c:f>
              <c:numCache>
                <c:formatCode>General</c:formatCode>
                <c:ptCount val="11"/>
                <c:pt idx="0">
                  <c:v>0.595</c:v>
                </c:pt>
                <c:pt idx="1">
                  <c:v>0.673</c:v>
                </c:pt>
                <c:pt idx="2">
                  <c:v>0.736</c:v>
                </c:pt>
                <c:pt idx="3">
                  <c:v>0.836</c:v>
                </c:pt>
                <c:pt idx="4">
                  <c:v>1.054</c:v>
                </c:pt>
                <c:pt idx="5">
                  <c:v>1.161</c:v>
                </c:pt>
                <c:pt idx="6">
                  <c:v>1.368</c:v>
                </c:pt>
                <c:pt idx="7">
                  <c:v>1.659</c:v>
                </c:pt>
                <c:pt idx="8">
                  <c:v>2.046</c:v>
                </c:pt>
                <c:pt idx="9">
                  <c:v>2.557</c:v>
                </c:pt>
                <c:pt idx="10">
                  <c:v>3.252</c:v>
                </c:pt>
              </c:numCache>
            </c:numRef>
          </c:yVal>
          <c:smooth val="1"/>
        </c:ser>
        <c:axId val="15871156"/>
        <c:axId val="55906265"/>
      </c:scatterChart>
      <c:valAx>
        <c:axId val="1587115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06265"/>
        <c:crossBetween val="midCat"/>
      </c:valAx>
      <c:valAx>
        <c:axId val="55906265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87115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gamma-decalactone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'dens_visc_gamma+2m3b2oh'!$B$23:$B$33</c:f>
              <c:numCache>
                <c:formatCode>General</c:formatCode>
                <c:ptCount val="11"/>
                <c:pt idx="0">
                  <c:v>0.82388</c:v>
                </c:pt>
                <c:pt idx="1">
                  <c:v>0.84562</c:v>
                </c:pt>
                <c:pt idx="2">
                  <c:v>0.86581</c:v>
                </c:pt>
                <c:pt idx="3">
                  <c:v>0.87934</c:v>
                </c:pt>
                <c:pt idx="4">
                  <c:v>0.89309</c:v>
                </c:pt>
                <c:pt idx="5">
                  <c:v>0.90516</c:v>
                </c:pt>
                <c:pt idx="6">
                  <c:v>0.91601</c:v>
                </c:pt>
                <c:pt idx="7">
                  <c:v>0.92645</c:v>
                </c:pt>
                <c:pt idx="8">
                  <c:v>0.93588</c:v>
                </c:pt>
                <c:pt idx="9">
                  <c:v>0.94437</c:v>
                </c:pt>
                <c:pt idx="10">
                  <c:v>0.95292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'dens_visc_gamma+2m3b2oh'!$C$23:$C$33</c:f>
              <c:numCache>
                <c:formatCode>General</c:formatCode>
                <c:ptCount val="11"/>
                <c:pt idx="0">
                  <c:v>0.81447</c:v>
                </c:pt>
                <c:pt idx="1">
                  <c:v>0.83647</c:v>
                </c:pt>
                <c:pt idx="2">
                  <c:v>0.85698</c:v>
                </c:pt>
                <c:pt idx="3">
                  <c:v>0.87074</c:v>
                </c:pt>
                <c:pt idx="4">
                  <c:v>0.88471</c:v>
                </c:pt>
                <c:pt idx="5">
                  <c:v>0.89695</c:v>
                </c:pt>
                <c:pt idx="6">
                  <c:v>0.90798</c:v>
                </c:pt>
                <c:pt idx="7">
                  <c:v>0.91857</c:v>
                </c:pt>
                <c:pt idx="8">
                  <c:v>0.92813</c:v>
                </c:pt>
                <c:pt idx="9">
                  <c:v>0.93665</c:v>
                </c:pt>
                <c:pt idx="10">
                  <c:v>0.94536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'dens_visc_gamma+2m3b2oh'!$D$23:$D$33</c:f>
              <c:numCache>
                <c:formatCode>General</c:formatCode>
                <c:ptCount val="11"/>
                <c:pt idx="0">
                  <c:v>0.8047</c:v>
                </c:pt>
                <c:pt idx="1">
                  <c:v>0.82702</c:v>
                </c:pt>
                <c:pt idx="2">
                  <c:v>0.8479</c:v>
                </c:pt>
                <c:pt idx="3">
                  <c:v>0.86192</c:v>
                </c:pt>
                <c:pt idx="4">
                  <c:v>0.87616</c:v>
                </c:pt>
                <c:pt idx="5">
                  <c:v>0.88862</c:v>
                </c:pt>
                <c:pt idx="6">
                  <c:v>0.89985</c:v>
                </c:pt>
                <c:pt idx="7">
                  <c:v>0.91061</c:v>
                </c:pt>
                <c:pt idx="8">
                  <c:v>0.92031</c:v>
                </c:pt>
                <c:pt idx="9">
                  <c:v>0.92893</c:v>
                </c:pt>
                <c:pt idx="10">
                  <c:v>0.93774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'dens_visc_gamma+2m3b2oh'!$E$23:$E$33</c:f>
              <c:numCache>
                <c:formatCode>General</c:formatCode>
                <c:ptCount val="11"/>
                <c:pt idx="0">
                  <c:v>0.79458</c:v>
                </c:pt>
                <c:pt idx="1">
                  <c:v>0.81729</c:v>
                </c:pt>
                <c:pt idx="2">
                  <c:v>0.83861</c:v>
                </c:pt>
                <c:pt idx="3">
                  <c:v>0.85294</c:v>
                </c:pt>
                <c:pt idx="4">
                  <c:v>0.86747</c:v>
                </c:pt>
                <c:pt idx="5">
                  <c:v>0.88019</c:v>
                </c:pt>
                <c:pt idx="6">
                  <c:v>0.89164</c:v>
                </c:pt>
                <c:pt idx="7">
                  <c:v>0.90261</c:v>
                </c:pt>
                <c:pt idx="8">
                  <c:v>0.91246</c:v>
                </c:pt>
                <c:pt idx="9">
                  <c:v>0.92121</c:v>
                </c:pt>
                <c:pt idx="10">
                  <c:v>0.93013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'dens_visc_gamma+2m3b2oh'!$F$23:$F$33</c:f>
              <c:numCache>
                <c:formatCode>General</c:formatCode>
                <c:ptCount val="11"/>
                <c:pt idx="0">
                  <c:v>0.7841</c:v>
                </c:pt>
                <c:pt idx="1">
                  <c:v>0.8073</c:v>
                </c:pt>
                <c:pt idx="2">
                  <c:v>0.82912</c:v>
                </c:pt>
                <c:pt idx="3">
                  <c:v>0.8438</c:v>
                </c:pt>
                <c:pt idx="4">
                  <c:v>0.85867</c:v>
                </c:pt>
                <c:pt idx="5">
                  <c:v>0.87168</c:v>
                </c:pt>
                <c:pt idx="6">
                  <c:v>0.88338</c:v>
                </c:pt>
                <c:pt idx="7">
                  <c:v>0.89455</c:v>
                </c:pt>
                <c:pt idx="8">
                  <c:v>0.90458</c:v>
                </c:pt>
                <c:pt idx="9">
                  <c:v>0.91347</c:v>
                </c:pt>
                <c:pt idx="10">
                  <c:v>0.9225</c:v>
                </c:pt>
              </c:numCache>
            </c:numRef>
          </c:yVal>
          <c:smooth val="1"/>
        </c:ser>
        <c:axId val="57030570"/>
        <c:axId val="2381327"/>
      </c:scatterChart>
      <c:valAx>
        <c:axId val="5703057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81327"/>
        <c:crossBetween val="midCat"/>
      </c:valAx>
      <c:valAx>
        <c:axId val="2381327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03057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gamma-decalactone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-0.242876525300289</c:v>
                </c:pt>
                <c:pt idx="2">
                  <c:v>-0.256969944126539</c:v>
                </c:pt>
                <c:pt idx="3">
                  <c:v>-0.212266330024548</c:v>
                </c:pt>
                <c:pt idx="4">
                  <c:v>-0.135971368246032</c:v>
                </c:pt>
                <c:pt idx="5">
                  <c:v>-0.0913597085965989</c:v>
                </c:pt>
                <c:pt idx="6">
                  <c:v>-0.0287591799526012</c:v>
                </c:pt>
                <c:pt idx="7">
                  <c:v>0.0199297262992957</c:v>
                </c:pt>
                <c:pt idx="8">
                  <c:v>0.0507019242232332</c:v>
                </c:pt>
                <c:pt idx="9">
                  <c:v>0.0684698839298505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-0.252925842943597</c:v>
                </c:pt>
                <c:pt idx="2">
                  <c:v>-0.277058442650528</c:v>
                </c:pt>
                <c:pt idx="3">
                  <c:v>-0.238265830666208</c:v>
                </c:pt>
                <c:pt idx="4">
                  <c:v>-0.16390755862875</c:v>
                </c:pt>
                <c:pt idx="5">
                  <c:v>-0.11707025713099</c:v>
                </c:pt>
                <c:pt idx="6">
                  <c:v>-0.0550376887731545</c:v>
                </c:pt>
                <c:pt idx="7">
                  <c:v>-0.00248221104627078</c:v>
                </c:pt>
                <c:pt idx="8">
                  <c:v>0.0333759652367291</c:v>
                </c:pt>
                <c:pt idx="9">
                  <c:v>0.0724463482544593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-0.266790979313953</c:v>
                </c:pt>
                <c:pt idx="2">
                  <c:v>-0.302866547910497</c:v>
                </c:pt>
                <c:pt idx="3">
                  <c:v>-0.270326826116104</c:v>
                </c:pt>
                <c:pt idx="4">
                  <c:v>-0.200787891702987</c:v>
                </c:pt>
                <c:pt idx="5">
                  <c:v>-0.155140508697997</c:v>
                </c:pt>
                <c:pt idx="6">
                  <c:v>-0.0926754498456717</c:v>
                </c:pt>
                <c:pt idx="7">
                  <c:v>-0.0350589932268406</c:v>
                </c:pt>
                <c:pt idx="8">
                  <c:v>0.00865060644866844</c:v>
                </c:pt>
                <c:pt idx="9">
                  <c:v>0.060912091657201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-0.285169171615763</c:v>
                </c:pt>
                <c:pt idx="2">
                  <c:v>-0.337013388755679</c:v>
                </c:pt>
                <c:pt idx="3">
                  <c:v>-0.313305816874646</c:v>
                </c:pt>
                <c:pt idx="4">
                  <c:v>-0.246008550206682</c:v>
                </c:pt>
                <c:pt idx="5">
                  <c:v>-0.20245970832309</c:v>
                </c:pt>
                <c:pt idx="6">
                  <c:v>-0.137354752401023</c:v>
                </c:pt>
                <c:pt idx="7">
                  <c:v>-0.0757370234454413</c:v>
                </c:pt>
                <c:pt idx="8">
                  <c:v>-0.0201672115668146</c:v>
                </c:pt>
                <c:pt idx="9">
                  <c:v>0.0454580241355416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-0.313352562360208</c:v>
                </c:pt>
                <c:pt idx="2">
                  <c:v>-0.384332989763024</c:v>
                </c:pt>
                <c:pt idx="3">
                  <c:v>-0.371146042478784</c:v>
                </c:pt>
                <c:pt idx="4">
                  <c:v>-0.308676570568167</c:v>
                </c:pt>
                <c:pt idx="5">
                  <c:v>-0.2671003218598</c:v>
                </c:pt>
                <c:pt idx="6">
                  <c:v>-0.199270023894911</c:v>
                </c:pt>
                <c:pt idx="7">
                  <c:v>-0.126308261960446</c:v>
                </c:pt>
                <c:pt idx="8">
                  <c:v>-0.0586226000245915</c:v>
                </c:pt>
                <c:pt idx="9">
                  <c:v>0.0240879050267893</c:v>
                </c:pt>
                <c:pt idx="10">
                  <c:v>0</c:v>
                </c:pt>
              </c:numCache>
            </c:numRef>
          </c:yVal>
          <c:smooth val="1"/>
        </c:ser>
        <c:axId val="25985147"/>
        <c:axId val="20970600"/>
      </c:scatterChart>
      <c:valAx>
        <c:axId val="25985147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70600"/>
        <c:crossBetween val="midCat"/>
      </c:valAx>
      <c:valAx>
        <c:axId val="20970600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985147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gamma-decalactone + 2-methyl-3-buten-2-ol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'dens_visc_gamma+2m3b2oh'!$B$37:$B$47</c:f>
              <c:numCache>
                <c:formatCode>General</c:formatCode>
                <c:ptCount val="11"/>
                <c:pt idx="0">
                  <c:v>2.353</c:v>
                </c:pt>
                <c:pt idx="1">
                  <c:v>2.648</c:v>
                </c:pt>
                <c:pt idx="2">
                  <c:v>2.928</c:v>
                </c:pt>
                <c:pt idx="3">
                  <c:v>3.192</c:v>
                </c:pt>
                <c:pt idx="4">
                  <c:v>3.502</c:v>
                </c:pt>
                <c:pt idx="5">
                  <c:v>3.835</c:v>
                </c:pt>
                <c:pt idx="6">
                  <c:v>4.228</c:v>
                </c:pt>
                <c:pt idx="7">
                  <c:v>4.714</c:v>
                </c:pt>
                <c:pt idx="8">
                  <c:v>5.251</c:v>
                </c:pt>
                <c:pt idx="9">
                  <c:v>5.864</c:v>
                </c:pt>
                <c:pt idx="10">
                  <c:v>6.574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'dens_visc_gamma+2m3b2oh'!$C$37:$C$47</c:f>
              <c:numCache>
                <c:formatCode>General</c:formatCode>
                <c:ptCount val="11"/>
                <c:pt idx="0">
                  <c:v>1.682</c:v>
                </c:pt>
                <c:pt idx="1">
                  <c:v>1.918</c:v>
                </c:pt>
                <c:pt idx="2">
                  <c:v>2.145</c:v>
                </c:pt>
                <c:pt idx="3">
                  <c:v>2.356</c:v>
                </c:pt>
                <c:pt idx="4">
                  <c:v>2.599</c:v>
                </c:pt>
                <c:pt idx="5">
                  <c:v>2.859</c:v>
                </c:pt>
                <c:pt idx="6">
                  <c:v>3.155</c:v>
                </c:pt>
                <c:pt idx="7">
                  <c:v>3.546</c:v>
                </c:pt>
                <c:pt idx="8">
                  <c:v>3.903</c:v>
                </c:pt>
                <c:pt idx="9">
                  <c:v>4.329</c:v>
                </c:pt>
                <c:pt idx="10">
                  <c:v>4.821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'dens_visc_gamma+2m3b2oh'!$D$37:$D$47</c:f>
              <c:numCache>
                <c:formatCode>General</c:formatCode>
                <c:ptCount val="11"/>
                <c:pt idx="0">
                  <c:v>1.247</c:v>
                </c:pt>
                <c:pt idx="1">
                  <c:v>1.441</c:v>
                </c:pt>
                <c:pt idx="2">
                  <c:v>1.629</c:v>
                </c:pt>
                <c:pt idx="3">
                  <c:v>1.802</c:v>
                </c:pt>
                <c:pt idx="4">
                  <c:v>1.998</c:v>
                </c:pt>
                <c:pt idx="5">
                  <c:v>2.208</c:v>
                </c:pt>
                <c:pt idx="6">
                  <c:v>2.441</c:v>
                </c:pt>
                <c:pt idx="7">
                  <c:v>2.709</c:v>
                </c:pt>
                <c:pt idx="8">
                  <c:v>3.013</c:v>
                </c:pt>
                <c:pt idx="9">
                  <c:v>3.325</c:v>
                </c:pt>
                <c:pt idx="10">
                  <c:v>3.691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'dens_visc_gamma+2m3b2oh'!$E$37:$E$47</c:f>
              <c:numCache>
                <c:formatCode>General</c:formatCode>
                <c:ptCount val="11"/>
                <c:pt idx="0">
                  <c:v>0.964</c:v>
                </c:pt>
                <c:pt idx="1">
                  <c:v>1.119</c:v>
                </c:pt>
                <c:pt idx="2">
                  <c:v>1.276</c:v>
                </c:pt>
                <c:pt idx="3">
                  <c:v>1.421</c:v>
                </c:pt>
                <c:pt idx="4">
                  <c:v>1.584</c:v>
                </c:pt>
                <c:pt idx="5">
                  <c:v>1.756</c:v>
                </c:pt>
                <c:pt idx="6">
                  <c:v>1.946</c:v>
                </c:pt>
                <c:pt idx="7">
                  <c:v>2.159</c:v>
                </c:pt>
                <c:pt idx="8">
                  <c:v>2.397</c:v>
                </c:pt>
                <c:pt idx="9">
                  <c:v>2.637</c:v>
                </c:pt>
                <c:pt idx="10">
                  <c:v>2.914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'dens_visc_gamma+2m3b2oh'!$A$37:$A$47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0.0964114084790061</c:v>
                </c:pt>
                <c:pt idx="2">
                  <c:v>0.208604389246276</c:v>
                </c:pt>
                <c:pt idx="3">
                  <c:v>0.296204617305042</c:v>
                </c:pt>
                <c:pt idx="4">
                  <c:v>0.396878554408986</c:v>
                </c:pt>
                <c:pt idx="5">
                  <c:v>0.494096014579871</c:v>
                </c:pt>
                <c:pt idx="6">
                  <c:v>0.591963460297223</c:v>
                </c:pt>
                <c:pt idx="7">
                  <c:v>0.695140235125829</c:v>
                </c:pt>
                <c:pt idx="8">
                  <c:v>0.796860189295174</c:v>
                </c:pt>
                <c:pt idx="9">
                  <c:v>0.896423574413522</c:v>
                </c:pt>
                <c:pt idx="10">
                  <c:v>1</c:v>
                </c:pt>
              </c:numCache>
            </c:numRef>
          </c:xVal>
          <c:yVal>
            <c:numRef>
              <c:f>'dens_visc_gamma+2m3b2oh'!$F$37:$F$47</c:f>
              <c:numCache>
                <c:formatCode>General</c:formatCode>
                <c:ptCount val="11"/>
                <c:pt idx="0">
                  <c:v>0.757</c:v>
                </c:pt>
                <c:pt idx="1">
                  <c:v>0.895</c:v>
                </c:pt>
                <c:pt idx="2">
                  <c:v>1.028</c:v>
                </c:pt>
                <c:pt idx="3">
                  <c:v>1.15</c:v>
                </c:pt>
                <c:pt idx="4">
                  <c:v>1.287</c:v>
                </c:pt>
                <c:pt idx="5">
                  <c:v>1.432</c:v>
                </c:pt>
                <c:pt idx="6">
                  <c:v>1.589</c:v>
                </c:pt>
                <c:pt idx="7">
                  <c:v>1.762</c:v>
                </c:pt>
                <c:pt idx="8">
                  <c:v>1.957</c:v>
                </c:pt>
                <c:pt idx="9">
                  <c:v>2.148</c:v>
                </c:pt>
                <c:pt idx="10">
                  <c:v>2.362</c:v>
                </c:pt>
              </c:numCache>
            </c:numRef>
          </c:yVal>
          <c:smooth val="1"/>
        </c:ser>
        <c:axId val="21825526"/>
        <c:axId val="68808642"/>
      </c:scatterChart>
      <c:valAx>
        <c:axId val="2182552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808642"/>
        <c:crossBetween val="midCat"/>
      </c:valAx>
      <c:valAx>
        <c:axId val="68808642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82552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gamma-decalactone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'dens_visc_gamma+2m2boh'!$B$23:$B$33</c:f>
              <c:numCache>
                <c:formatCode>General</c:formatCode>
                <c:ptCount val="11"/>
                <c:pt idx="0">
                  <c:v>0.80899</c:v>
                </c:pt>
                <c:pt idx="1">
                  <c:v>0.83263</c:v>
                </c:pt>
                <c:pt idx="2">
                  <c:v>0.85134</c:v>
                </c:pt>
                <c:pt idx="3">
                  <c:v>0.86842</c:v>
                </c:pt>
                <c:pt idx="4">
                  <c:v>0.88457</c:v>
                </c:pt>
                <c:pt idx="5">
                  <c:v>0.89732</c:v>
                </c:pt>
                <c:pt idx="6">
                  <c:v>0.91135</c:v>
                </c:pt>
                <c:pt idx="7">
                  <c:v>0.92216</c:v>
                </c:pt>
                <c:pt idx="8">
                  <c:v>0.93366</c:v>
                </c:pt>
                <c:pt idx="9">
                  <c:v>0.94314</c:v>
                </c:pt>
                <c:pt idx="10">
                  <c:v>0.95292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'dens_visc_gamma+2m2boh'!$C$23:$C$33</c:f>
              <c:numCache>
                <c:formatCode>General</c:formatCode>
                <c:ptCount val="11"/>
                <c:pt idx="0">
                  <c:v>0.79979</c:v>
                </c:pt>
                <c:pt idx="1">
                  <c:v>0.82348</c:v>
                </c:pt>
                <c:pt idx="2">
                  <c:v>0.84264</c:v>
                </c:pt>
                <c:pt idx="3">
                  <c:v>0.85995</c:v>
                </c:pt>
                <c:pt idx="4">
                  <c:v>0.87598</c:v>
                </c:pt>
                <c:pt idx="5">
                  <c:v>0.8891</c:v>
                </c:pt>
                <c:pt idx="6">
                  <c:v>0.90334</c:v>
                </c:pt>
                <c:pt idx="7">
                  <c:v>0.91439</c:v>
                </c:pt>
                <c:pt idx="8">
                  <c:v>0.92593</c:v>
                </c:pt>
                <c:pt idx="9">
                  <c:v>0.9355</c:v>
                </c:pt>
                <c:pt idx="10">
                  <c:v>0.94536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'dens_visc_gamma+2m2boh'!$D$23:$D$33</c:f>
              <c:numCache>
                <c:formatCode>General</c:formatCode>
                <c:ptCount val="11"/>
                <c:pt idx="0">
                  <c:v>0.79035</c:v>
                </c:pt>
                <c:pt idx="1">
                  <c:v>0.81423</c:v>
                </c:pt>
                <c:pt idx="2">
                  <c:v>0.83371</c:v>
                </c:pt>
                <c:pt idx="3">
                  <c:v>0.85126</c:v>
                </c:pt>
                <c:pt idx="4">
                  <c:v>0.86751</c:v>
                </c:pt>
                <c:pt idx="5">
                  <c:v>0.88082</c:v>
                </c:pt>
                <c:pt idx="6">
                  <c:v>0.89525</c:v>
                </c:pt>
                <c:pt idx="7">
                  <c:v>0.90645</c:v>
                </c:pt>
                <c:pt idx="8">
                  <c:v>0.91813</c:v>
                </c:pt>
                <c:pt idx="9">
                  <c:v>0.92781</c:v>
                </c:pt>
                <c:pt idx="10">
                  <c:v>0.93774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'dens_visc_gamma+2m2boh'!$E$23:$E$33</c:f>
              <c:numCache>
                <c:formatCode>General</c:formatCode>
                <c:ptCount val="11"/>
                <c:pt idx="0">
                  <c:v>0.7806</c:v>
                </c:pt>
                <c:pt idx="1">
                  <c:v>0.80474</c:v>
                </c:pt>
                <c:pt idx="2">
                  <c:v>0.82455</c:v>
                </c:pt>
                <c:pt idx="3">
                  <c:v>0.84241</c:v>
                </c:pt>
                <c:pt idx="4">
                  <c:v>0.85892</c:v>
                </c:pt>
                <c:pt idx="5">
                  <c:v>0.87244</c:v>
                </c:pt>
                <c:pt idx="6">
                  <c:v>0.8871</c:v>
                </c:pt>
                <c:pt idx="7">
                  <c:v>0.89849</c:v>
                </c:pt>
                <c:pt idx="8">
                  <c:v>0.91032</c:v>
                </c:pt>
                <c:pt idx="9">
                  <c:v>0.9201</c:v>
                </c:pt>
                <c:pt idx="10">
                  <c:v>0.93013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'dens_visc_gamma+2m2boh'!$F$23:$F$33</c:f>
              <c:numCache>
                <c:formatCode>General</c:formatCode>
                <c:ptCount val="11"/>
                <c:pt idx="0">
                  <c:v>0.77049</c:v>
                </c:pt>
                <c:pt idx="1">
                  <c:v>0.79494</c:v>
                </c:pt>
                <c:pt idx="2">
                  <c:v>0.81516</c:v>
                </c:pt>
                <c:pt idx="3">
                  <c:v>0.83338</c:v>
                </c:pt>
                <c:pt idx="4">
                  <c:v>0.85023</c:v>
                </c:pt>
                <c:pt idx="5">
                  <c:v>0.864</c:v>
                </c:pt>
                <c:pt idx="6">
                  <c:v>0.8789</c:v>
                </c:pt>
                <c:pt idx="7">
                  <c:v>0.89048</c:v>
                </c:pt>
                <c:pt idx="8">
                  <c:v>0.90249</c:v>
                </c:pt>
                <c:pt idx="9">
                  <c:v>0.91237</c:v>
                </c:pt>
                <c:pt idx="10">
                  <c:v>0.9225</c:v>
                </c:pt>
              </c:numCache>
            </c:numRef>
          </c:yVal>
          <c:smooth val="1"/>
        </c:ser>
        <c:axId val="65437760"/>
        <c:axId val="87249194"/>
      </c:scatterChart>
      <c:valAx>
        <c:axId val="6543776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249194"/>
        <c:crossBetween val="midCat"/>
      </c:valAx>
      <c:valAx>
        <c:axId val="87249194"/>
        <c:scaling>
          <c:orientation val="minMax"/>
          <c:min val="0.7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3776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gamma-decalactone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-0.20375595723273</c:v>
                </c:pt>
                <c:pt idx="2">
                  <c:v>-0.132970995124694</c:v>
                </c:pt>
                <c:pt idx="3">
                  <c:v>-0.0404168639514921</c:v>
                </c:pt>
                <c:pt idx="4">
                  <c:v>-0.0175318358178629</c:v>
                </c:pt>
                <c:pt idx="5">
                  <c:v>0.0726455464703975</c:v>
                </c:pt>
                <c:pt idx="6">
                  <c:v>0.139206984634001</c:v>
                </c:pt>
                <c:pt idx="7">
                  <c:v>0.192509488201324</c:v>
                </c:pt>
                <c:pt idx="8">
                  <c:v>0.158495856259009</c:v>
                </c:pt>
                <c:pt idx="9">
                  <c:v>0.109717820880491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-0.188795680850475</c:v>
                </c:pt>
                <c:pt idx="2">
                  <c:v>-0.155108277981967</c:v>
                </c:pt>
                <c:pt idx="3">
                  <c:v>-0.0683929635212621</c:v>
                </c:pt>
                <c:pt idx="4">
                  <c:v>0.00167589987509587</c:v>
                </c:pt>
                <c:pt idx="5">
                  <c:v>0.0596891464479654</c:v>
                </c:pt>
                <c:pt idx="6">
                  <c:v>0.121976879666875</c:v>
                </c:pt>
                <c:pt idx="7">
                  <c:v>0.159194402224614</c:v>
                </c:pt>
                <c:pt idx="8">
                  <c:v>0.143973024144941</c:v>
                </c:pt>
                <c:pt idx="9">
                  <c:v>0.101387184427779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-0.190597878360819</c:v>
                </c:pt>
                <c:pt idx="2">
                  <c:v>-0.173718026148123</c:v>
                </c:pt>
                <c:pt idx="3">
                  <c:v>-0.0913101880050533</c:v>
                </c:pt>
                <c:pt idx="4">
                  <c:v>-0.0234564562315995</c:v>
                </c:pt>
                <c:pt idx="5">
                  <c:v>0.0324969080854771</c:v>
                </c:pt>
                <c:pt idx="6">
                  <c:v>0.0967421573114677</c:v>
                </c:pt>
                <c:pt idx="7">
                  <c:v>0.135936066585913</c:v>
                </c:pt>
                <c:pt idx="8">
                  <c:v>0.125368795799375</c:v>
                </c:pt>
                <c:pt idx="9">
                  <c:v>0.088065326406678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-0.197342598453247</c:v>
                </c:pt>
                <c:pt idx="2">
                  <c:v>-0.194141620268795</c:v>
                </c:pt>
                <c:pt idx="3">
                  <c:v>-0.121585580715134</c:v>
                </c:pt>
                <c:pt idx="4">
                  <c:v>-0.0569430362119761</c:v>
                </c:pt>
                <c:pt idx="5">
                  <c:v>-0.00150390870604156</c:v>
                </c:pt>
                <c:pt idx="6">
                  <c:v>0.0637242216824632</c:v>
                </c:pt>
                <c:pt idx="7">
                  <c:v>0.102654766302777</c:v>
                </c:pt>
                <c:pt idx="8">
                  <c:v>0.1003197848882</c:v>
                </c:pt>
                <c:pt idx="9">
                  <c:v>0.0750631554502945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-0.206184142736191</c:v>
                </c:pt>
                <c:pt idx="2">
                  <c:v>-0.223967083539037</c:v>
                </c:pt>
                <c:pt idx="3">
                  <c:v>-0.163854187922084</c:v>
                </c:pt>
                <c:pt idx="4">
                  <c:v>-0.109937248373626</c:v>
                </c:pt>
                <c:pt idx="5">
                  <c:v>-0.0567657929436507</c:v>
                </c:pt>
                <c:pt idx="6">
                  <c:v>0.0137541478418939</c:v>
                </c:pt>
                <c:pt idx="7">
                  <c:v>0.057575599316209</c:v>
                </c:pt>
                <c:pt idx="8">
                  <c:v>0.0638826756773199</c:v>
                </c:pt>
                <c:pt idx="9">
                  <c:v>0.0561300339531385</c:v>
                </c:pt>
                <c:pt idx="10">
                  <c:v>0</c:v>
                </c:pt>
              </c:numCache>
            </c:numRef>
          </c:yVal>
          <c:smooth val="1"/>
        </c:ser>
        <c:axId val="13808868"/>
        <c:axId val="49995094"/>
      </c:scatterChart>
      <c:valAx>
        <c:axId val="1380886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995094"/>
        <c:crossBetween val="midCat"/>
      </c:valAx>
      <c:valAx>
        <c:axId val="49995094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0886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gamma-decalactone + 2-methyl-2-butanol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'dens_visc_gamma+2m2boh'!$B$37:$B$47</c:f>
              <c:numCache>
                <c:formatCode>General</c:formatCode>
                <c:ptCount val="11"/>
                <c:pt idx="0">
                  <c:v>4.244</c:v>
                </c:pt>
                <c:pt idx="1">
                  <c:v>4.231</c:v>
                </c:pt>
                <c:pt idx="2">
                  <c:v>4.193</c:v>
                </c:pt>
                <c:pt idx="3">
                  <c:v>4.235</c:v>
                </c:pt>
                <c:pt idx="4">
                  <c:v>4.362</c:v>
                </c:pt>
                <c:pt idx="5">
                  <c:v>4.534</c:v>
                </c:pt>
                <c:pt idx="6">
                  <c:v>4.817</c:v>
                </c:pt>
                <c:pt idx="7">
                  <c:v>5.128</c:v>
                </c:pt>
                <c:pt idx="8">
                  <c:v>5.522</c:v>
                </c:pt>
                <c:pt idx="9">
                  <c:v>5.977</c:v>
                </c:pt>
                <c:pt idx="10">
                  <c:v>6.574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'dens_visc_gamma+2m2boh'!$C$37:$C$47</c:f>
              <c:numCache>
                <c:formatCode>General</c:formatCode>
                <c:ptCount val="11"/>
                <c:pt idx="0">
                  <c:v>2.776</c:v>
                </c:pt>
                <c:pt idx="1">
                  <c:v>2.841</c:v>
                </c:pt>
                <c:pt idx="2">
                  <c:v>2.9</c:v>
                </c:pt>
                <c:pt idx="3">
                  <c:v>2.997</c:v>
                </c:pt>
                <c:pt idx="4">
                  <c:v>3.139</c:v>
                </c:pt>
                <c:pt idx="5">
                  <c:v>3.296</c:v>
                </c:pt>
                <c:pt idx="6">
                  <c:v>3.528</c:v>
                </c:pt>
                <c:pt idx="7">
                  <c:v>3.771</c:v>
                </c:pt>
                <c:pt idx="8">
                  <c:v>4.072</c:v>
                </c:pt>
                <c:pt idx="9">
                  <c:v>4.404</c:v>
                </c:pt>
                <c:pt idx="10">
                  <c:v>4.821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'dens_visc_gamma+2m2boh'!$D$37:$D$47</c:f>
              <c:numCache>
                <c:formatCode>General</c:formatCode>
                <c:ptCount val="11"/>
                <c:pt idx="0">
                  <c:v>1.918</c:v>
                </c:pt>
                <c:pt idx="1">
                  <c:v>2.01</c:v>
                </c:pt>
                <c:pt idx="2">
                  <c:v>2.102</c:v>
                </c:pt>
                <c:pt idx="3">
                  <c:v>2.213</c:v>
                </c:pt>
                <c:pt idx="4">
                  <c:v>2.352</c:v>
                </c:pt>
                <c:pt idx="5">
                  <c:v>2.494</c:v>
                </c:pt>
                <c:pt idx="6">
                  <c:v>2.69</c:v>
                </c:pt>
                <c:pt idx="7">
                  <c:v>2.888</c:v>
                </c:pt>
                <c:pt idx="8">
                  <c:v>3.125</c:v>
                </c:pt>
                <c:pt idx="9">
                  <c:v>3.375</c:v>
                </c:pt>
                <c:pt idx="10">
                  <c:v>3.691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'dens_visc_gamma+2m2boh'!$E$37:$E$47</c:f>
              <c:numCache>
                <c:formatCode>General</c:formatCode>
                <c:ptCount val="11"/>
                <c:pt idx="0">
                  <c:v>1.397</c:v>
                </c:pt>
                <c:pt idx="1">
                  <c:v>1.484</c:v>
                </c:pt>
                <c:pt idx="2">
                  <c:v>1.584</c:v>
                </c:pt>
                <c:pt idx="3">
                  <c:v>1.695</c:v>
                </c:pt>
                <c:pt idx="4">
                  <c:v>1.823</c:v>
                </c:pt>
                <c:pt idx="5">
                  <c:v>1.95</c:v>
                </c:pt>
                <c:pt idx="6">
                  <c:v>2.119</c:v>
                </c:pt>
                <c:pt idx="7">
                  <c:v>2.284</c:v>
                </c:pt>
                <c:pt idx="8">
                  <c:v>2.477</c:v>
                </c:pt>
                <c:pt idx="9">
                  <c:v>2.677</c:v>
                </c:pt>
                <c:pt idx="10">
                  <c:v>2.914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'dens_visc_gamma+2m2boh'!$A$37:$A$47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0.0999803195185457</c:v>
                </c:pt>
                <c:pt idx="2">
                  <c:v>0.197749827698271</c:v>
                </c:pt>
                <c:pt idx="3">
                  <c:v>0.298554005126112</c:v>
                </c:pt>
                <c:pt idx="4">
                  <c:v>0.402012291803286</c:v>
                </c:pt>
                <c:pt idx="5">
                  <c:v>0.495436823631951</c:v>
                </c:pt>
                <c:pt idx="6">
                  <c:v>0.607108369954993</c:v>
                </c:pt>
                <c:pt idx="7">
                  <c:v>0.701682368278168</c:v>
                </c:pt>
                <c:pt idx="8">
                  <c:v>0.806581379473363</c:v>
                </c:pt>
                <c:pt idx="9">
                  <c:v>0.899550302724418</c:v>
                </c:pt>
                <c:pt idx="10">
                  <c:v>1</c:v>
                </c:pt>
              </c:numCache>
            </c:numRef>
          </c:xVal>
          <c:yVal>
            <c:numRef>
              <c:f>'dens_visc_gamma+2m2boh'!$F$37:$F$47</c:f>
              <c:numCache>
                <c:formatCode>General</c:formatCode>
                <c:ptCount val="11"/>
                <c:pt idx="0">
                  <c:v>1.036</c:v>
                </c:pt>
                <c:pt idx="1">
                  <c:v>1.136</c:v>
                </c:pt>
                <c:pt idx="2">
                  <c:v>1.233</c:v>
                </c:pt>
                <c:pt idx="3">
                  <c:v>1.338</c:v>
                </c:pt>
                <c:pt idx="4">
                  <c:v>1.455</c:v>
                </c:pt>
                <c:pt idx="5">
                  <c:v>1.568</c:v>
                </c:pt>
                <c:pt idx="6">
                  <c:v>1.713</c:v>
                </c:pt>
                <c:pt idx="7">
                  <c:v>1.857</c:v>
                </c:pt>
                <c:pt idx="8">
                  <c:v>2.015</c:v>
                </c:pt>
                <c:pt idx="9">
                  <c:v>2.176</c:v>
                </c:pt>
                <c:pt idx="10">
                  <c:v>2.362</c:v>
                </c:pt>
              </c:numCache>
            </c:numRef>
          </c:yVal>
          <c:smooth val="1"/>
        </c:ser>
        <c:axId val="61121416"/>
        <c:axId val="62005572"/>
      </c:scatterChart>
      <c:valAx>
        <c:axId val="6112141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005572"/>
        <c:crossBetween val="midCat"/>
      </c:valAx>
      <c:valAx>
        <c:axId val="62005572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12141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gamma-decalactone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'dens_visc_gamma+1hexoh'!$B$23:$B$33</c:f>
              <c:numCache>
                <c:formatCode>General</c:formatCode>
                <c:ptCount val="11"/>
                <c:pt idx="0">
                  <c:v>0.81883</c:v>
                </c:pt>
                <c:pt idx="10">
                  <c:v>0.95292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'dens_visc_gamma+1hexoh'!$C$23:$C$33</c:f>
              <c:numCache>
                <c:formatCode>General</c:formatCode>
                <c:ptCount val="11"/>
                <c:pt idx="0">
                  <c:v>0.81174</c:v>
                </c:pt>
                <c:pt idx="10">
                  <c:v>0.94536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'dens_visc_gamma+1hexoh'!$D$23:$D$33</c:f>
              <c:numCache>
                <c:formatCode>General</c:formatCode>
                <c:ptCount val="11"/>
                <c:pt idx="0">
                  <c:v>0.80455</c:v>
                </c:pt>
                <c:pt idx="10">
                  <c:v>0.93774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'dens_visc_gamma+1hexoh'!$E$23:$E$33</c:f>
              <c:numCache>
                <c:formatCode>General</c:formatCode>
                <c:ptCount val="11"/>
                <c:pt idx="0">
                  <c:v>0.79722</c:v>
                </c:pt>
                <c:pt idx="10">
                  <c:v>0.93013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'dens_visc_gamma+1hexoh'!$F$23:$F$33</c:f>
              <c:numCache>
                <c:formatCode>General</c:formatCode>
                <c:ptCount val="11"/>
                <c:pt idx="0">
                  <c:v>0.78971</c:v>
                </c:pt>
                <c:pt idx="10">
                  <c:v>0.9225</c:v>
                </c:pt>
              </c:numCache>
            </c:numRef>
          </c:yVal>
          <c:smooth val="1"/>
        </c:ser>
        <c:axId val="76818628"/>
        <c:axId val="99300654"/>
      </c:scatterChart>
      <c:valAx>
        <c:axId val="76818628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00654"/>
        <c:crossBetween val="midCat"/>
      </c:valAx>
      <c:valAx>
        <c:axId val="99300654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818628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gamma-decalactone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'dens_visc_gamma+1hexoh'!$G$23:$G$33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'dens_visc_gamma+1hexoh'!$H$23:$H$33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'dens_visc_gamma+1hexoh'!$I$23:$I$33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'dens_visc_gamma+1hexoh'!$J$23:$J$33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'dens_visc_gamma+1hexoh'!$K$23:$K$33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63661113"/>
        <c:axId val="28530071"/>
      </c:scatterChart>
      <c:valAx>
        <c:axId val="63661113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530071"/>
        <c:crossBetween val="midCat"/>
      </c:valAx>
      <c:valAx>
        <c:axId val="28530071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661113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gamma-decalactone + 1-hexanol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'dens_visc_gamma+1hexoh'!$B$37:$B$47</c:f>
              <c:numCache>
                <c:formatCode>General</c:formatCode>
                <c:ptCount val="11"/>
                <c:pt idx="0">
                  <c:v>5.278</c:v>
                </c:pt>
                <c:pt idx="10">
                  <c:v>6.574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'dens_visc_gamma+1hexoh'!$C$37:$C$47</c:f>
              <c:numCache>
                <c:formatCode>General</c:formatCode>
                <c:ptCount val="11"/>
                <c:pt idx="0">
                  <c:v>3.881</c:v>
                </c:pt>
                <c:pt idx="10">
                  <c:v>4.821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'dens_visc_gamma+1hexoh'!$D$37:$D$47</c:f>
              <c:numCache>
                <c:formatCode>General</c:formatCode>
                <c:ptCount val="11"/>
                <c:pt idx="0">
                  <c:v>2.919</c:v>
                </c:pt>
                <c:pt idx="10">
                  <c:v>3.691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'dens_visc_gamma+1hexoh'!$E$37:$E$47</c:f>
              <c:numCache>
                <c:formatCode>General</c:formatCode>
                <c:ptCount val="11"/>
                <c:pt idx="0">
                  <c:v>2.24</c:v>
                </c:pt>
                <c:pt idx="10">
                  <c:v>2.914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'dens_visc_gamma+1hexoh'!$A$37:$A$47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0.100264238516477</c:v>
                </c:pt>
                <c:pt idx="2">
                  <c:v>0.201663327667688</c:v>
                </c:pt>
                <c:pt idx="3">
                  <c:v>0.294719078979337</c:v>
                </c:pt>
                <c:pt idx="4">
                  <c:v>0.397668023769591</c:v>
                </c:pt>
                <c:pt idx="5">
                  <c:v>0.49716431696211</c:v>
                </c:pt>
                <c:pt idx="6">
                  <c:v>0.596999591452682</c:v>
                </c:pt>
                <c:pt idx="7">
                  <c:v>0.701636821933322</c:v>
                </c:pt>
                <c:pt idx="8">
                  <c:v>0.900853031749634</c:v>
                </c:pt>
                <c:pt idx="9">
                  <c:v>0.80399324667993</c:v>
                </c:pt>
                <c:pt idx="10">
                  <c:v>1</c:v>
                </c:pt>
              </c:numCache>
            </c:numRef>
          </c:xVal>
          <c:yVal>
            <c:numRef>
              <c:f>'dens_visc_gamma+1hexoh'!$F$37:$F$47</c:f>
              <c:numCache>
                <c:formatCode>General</c:formatCode>
                <c:ptCount val="11"/>
                <c:pt idx="0">
                  <c:v>1.75</c:v>
                </c:pt>
                <c:pt idx="10">
                  <c:v>2.362</c:v>
                </c:pt>
              </c:numCache>
            </c:numRef>
          </c:yVal>
          <c:smooth val="1"/>
        </c:ser>
        <c:axId val="1149789"/>
        <c:axId val="45668616"/>
      </c:scatterChart>
      <c:valAx>
        <c:axId val="1149789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668616"/>
        <c:crossBetween val="midCat"/>
      </c:valAx>
      <c:valAx>
        <c:axId val="45668616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49789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gamma-decalactone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'dens_visc_gamma+1octoh'!$B$23:$B$33</c:f>
              <c:numCache>
                <c:formatCode>General</c:formatCode>
                <c:ptCount val="11"/>
                <c:pt idx="0">
                  <c:v>0.82518</c:v>
                </c:pt>
                <c:pt idx="10">
                  <c:v>0.95292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'dens_visc_gamma+1octoh'!$C$23:$C$33</c:f>
              <c:numCache>
                <c:formatCode>General</c:formatCode>
                <c:ptCount val="11"/>
                <c:pt idx="0">
                  <c:v>0.81835</c:v>
                </c:pt>
                <c:pt idx="10">
                  <c:v>0.94536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'dens_visc_gamma+1octoh'!$D$23:$D$33</c:f>
              <c:numCache>
                <c:formatCode>General</c:formatCode>
                <c:ptCount val="11"/>
                <c:pt idx="0">
                  <c:v>0.81141</c:v>
                </c:pt>
                <c:pt idx="10">
                  <c:v>0.93774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'dens_visc_gamma+1octoh'!$E$23:$E$33</c:f>
              <c:numCache>
                <c:formatCode>General</c:formatCode>
                <c:ptCount val="11"/>
                <c:pt idx="0">
                  <c:v>0.80433</c:v>
                </c:pt>
                <c:pt idx="10">
                  <c:v>0.93013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'dens_visc_gamma+1octoh'!$F$23:$F$33</c:f>
              <c:numCache>
                <c:formatCode>General</c:formatCode>
                <c:ptCount val="11"/>
                <c:pt idx="0">
                  <c:v>0.79719</c:v>
                </c:pt>
                <c:pt idx="10">
                  <c:v>0.9225</c:v>
                </c:pt>
              </c:numCache>
            </c:numRef>
          </c:yVal>
          <c:smooth val="1"/>
        </c:ser>
        <c:axId val="64943531"/>
        <c:axId val="50137093"/>
      </c:scatterChart>
      <c:valAx>
        <c:axId val="64943531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137093"/>
        <c:crossBetween val="midCat"/>
      </c:valAx>
      <c:valAx>
        <c:axId val="50137093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943531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gamma-decalactone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'dens_visc_gamma+1octoh'!$G$23:$G$33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'dens_visc_gamma+1octoh'!$H$23:$H$33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'dens_visc_gamma+1octoh'!$I$23:$I$33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'dens_visc_gamma+1octoh'!$J$23:$J$33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'dens_visc_gamma+1octoh'!$A$23:$A$33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'dens_visc_gamma+1octoh'!$K$23:$K$33</c:f>
              <c:numCache>
                <c:formatCode>General</c:formatCode>
                <c:ptCount val="11"/>
                <c:pt idx="0">
                  <c:v>0</c:v>
                </c:pt>
                <c:pt idx="10">
                  <c:v>0</c:v>
                </c:pt>
              </c:numCache>
            </c:numRef>
          </c:yVal>
          <c:smooth val="1"/>
        </c:ser>
        <c:axId val="92679744"/>
        <c:axId val="76973214"/>
      </c:scatterChart>
      <c:valAx>
        <c:axId val="92679744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973214"/>
        <c:crossBetween val="midCat"/>
      </c:valAx>
      <c:valAx>
        <c:axId val="76973214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79744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gamma-decalactone + 1-octanol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"T1°C"</c:f>
              <c:strCache>
                <c:ptCount val="1"/>
                <c:pt idx="0">
                  <c:v>T1°C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'dens_visc_gamma+1octoh'!$B$37:$B$47</c:f>
              <c:numCache>
                <c:formatCode>General</c:formatCode>
                <c:ptCount val="11"/>
                <c:pt idx="0">
                  <c:v>8.801</c:v>
                </c:pt>
                <c:pt idx="10">
                  <c:v>6.574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"T2°C"</c:f>
              <c:strCache>
                <c:ptCount val="1"/>
                <c:pt idx="0">
                  <c:v>T2°C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'dens_visc_gamma+1octoh'!$C$37:$C$47</c:f>
              <c:numCache>
                <c:formatCode>General</c:formatCode>
                <c:ptCount val="11"/>
                <c:pt idx="0">
                  <c:v>6.146</c:v>
                </c:pt>
                <c:pt idx="10">
                  <c:v>4.821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"T3°C"</c:f>
              <c:strCache>
                <c:ptCount val="1"/>
                <c:pt idx="0">
                  <c:v>T3°C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'dens_visc_gamma+1octoh'!$D$37:$D$47</c:f>
              <c:numCache>
                <c:formatCode>General</c:formatCode>
                <c:ptCount val="11"/>
                <c:pt idx="0">
                  <c:v>4.454</c:v>
                </c:pt>
                <c:pt idx="10">
                  <c:v>3.691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"T4°C"</c:f>
              <c:strCache>
                <c:ptCount val="1"/>
                <c:pt idx="0">
                  <c:v>T4°C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'dens_visc_gamma+1octoh'!$E$37:$E$47</c:f>
              <c:numCache>
                <c:formatCode>General</c:formatCode>
                <c:ptCount val="11"/>
                <c:pt idx="0">
                  <c:v>3.292</c:v>
                </c:pt>
                <c:pt idx="10">
                  <c:v>2.914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"T5°C"</c:f>
              <c:strCache>
                <c:ptCount val="1"/>
                <c:pt idx="0">
                  <c:v>T5°C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'dens_visc_gamma+1octoh'!$A$37:$A$47</c:f>
              <c:numCache>
                <c:formatCode>General</c:formatCode>
                <c:ptCount val="11"/>
                <c:pt idx="0">
                  <c:v>0</c:v>
                </c:pt>
                <c:pt idx="10">
                  <c:v>1</c:v>
                </c:pt>
              </c:numCache>
            </c:numRef>
          </c:xVal>
          <c:yVal>
            <c:numRef>
              <c:f>'dens_visc_gamma+1octoh'!$F$37:$F$47</c:f>
              <c:numCache>
                <c:formatCode>General</c:formatCode>
                <c:ptCount val="11"/>
                <c:pt idx="0">
                  <c:v>2.511</c:v>
                </c:pt>
                <c:pt idx="10">
                  <c:v>2.362</c:v>
                </c:pt>
              </c:numCache>
            </c:numRef>
          </c:yVal>
          <c:smooth val="1"/>
        </c:ser>
        <c:axId val="19224606"/>
        <c:axId val="863525"/>
      </c:scatterChart>
      <c:valAx>
        <c:axId val="1922460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3525"/>
        <c:crossBetween val="midCat"/>
      </c:valAx>
      <c:valAx>
        <c:axId val="863525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2460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gamma-decalactone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'dens_visc_gamma+mibk'!$B$23:$B$33</c:f>
              <c:numCache>
                <c:formatCode>0.00000</c:formatCode>
                <c:ptCount val="11"/>
                <c:pt idx="0">
                  <c:v>0.80143</c:v>
                </c:pt>
                <c:pt idx="1">
                  <c:v>0.82279</c:v>
                </c:pt>
                <c:pt idx="2">
                  <c:v>0.84231</c:v>
                </c:pt>
                <c:pt idx="3">
                  <c:v>0.85817</c:v>
                </c:pt>
                <c:pt idx="4">
                  <c:v>0.87652</c:v>
                </c:pt>
                <c:pt idx="5">
                  <c:v>0.89253</c:v>
                </c:pt>
                <c:pt idx="6">
                  <c:v>0.90641</c:v>
                </c:pt>
                <c:pt idx="7">
                  <c:v>0.91853</c:v>
                </c:pt>
                <c:pt idx="8">
                  <c:v>0.93089</c:v>
                </c:pt>
                <c:pt idx="9">
                  <c:v>0.94204</c:v>
                </c:pt>
                <c:pt idx="10">
                  <c:v>0.95292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'dens_visc_gamma+mibk'!$C$23:$C$33</c:f>
              <c:numCache>
                <c:formatCode>0.00000</c:formatCode>
                <c:ptCount val="11"/>
                <c:pt idx="0">
                  <c:v>0.79234</c:v>
                </c:pt>
                <c:pt idx="1">
                  <c:v>0.81399</c:v>
                </c:pt>
                <c:pt idx="2">
                  <c:v>0.83373</c:v>
                </c:pt>
                <c:pt idx="3">
                  <c:v>0.84972</c:v>
                </c:pt>
                <c:pt idx="4">
                  <c:v>0.86829</c:v>
                </c:pt>
                <c:pt idx="5">
                  <c:v>0.88445</c:v>
                </c:pt>
                <c:pt idx="6">
                  <c:v>0.89847</c:v>
                </c:pt>
                <c:pt idx="7">
                  <c:v>0.91068</c:v>
                </c:pt>
                <c:pt idx="8">
                  <c:v>0.92314</c:v>
                </c:pt>
                <c:pt idx="9">
                  <c:v>0.93439</c:v>
                </c:pt>
                <c:pt idx="10">
                  <c:v>0.94536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'dens_visc_gamma+mibk'!$D$23:$D$33</c:f>
              <c:numCache>
                <c:formatCode>0.00000</c:formatCode>
                <c:ptCount val="11"/>
                <c:pt idx="0">
                  <c:v>0.78314</c:v>
                </c:pt>
                <c:pt idx="1">
                  <c:v>0.80508</c:v>
                </c:pt>
                <c:pt idx="2">
                  <c:v>0.82505</c:v>
                </c:pt>
                <c:pt idx="3">
                  <c:v>0.84122</c:v>
                </c:pt>
                <c:pt idx="4">
                  <c:v>0.85999</c:v>
                </c:pt>
                <c:pt idx="5">
                  <c:v>0.87632</c:v>
                </c:pt>
                <c:pt idx="6">
                  <c:v>0.89046</c:v>
                </c:pt>
                <c:pt idx="7">
                  <c:v>0.90279</c:v>
                </c:pt>
                <c:pt idx="8">
                  <c:v>0.91534</c:v>
                </c:pt>
                <c:pt idx="9">
                  <c:v>0.9267</c:v>
                </c:pt>
                <c:pt idx="10">
                  <c:v>0.93774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'dens_visc_gamma+mibk'!$E$23:$E$33</c:f>
              <c:numCache>
                <c:formatCode>0.00000</c:formatCode>
                <c:ptCount val="11"/>
                <c:pt idx="0">
                  <c:v>0.77383</c:v>
                </c:pt>
                <c:pt idx="1">
                  <c:v>0.79604</c:v>
                </c:pt>
                <c:pt idx="2">
                  <c:v>0.81631</c:v>
                </c:pt>
                <c:pt idx="3">
                  <c:v>0.83267</c:v>
                </c:pt>
                <c:pt idx="4">
                  <c:v>0.85164</c:v>
                </c:pt>
                <c:pt idx="5">
                  <c:v>0.86814</c:v>
                </c:pt>
                <c:pt idx="6">
                  <c:v>0.88243</c:v>
                </c:pt>
                <c:pt idx="7">
                  <c:v>0.89487</c:v>
                </c:pt>
                <c:pt idx="8">
                  <c:v>0.9075</c:v>
                </c:pt>
                <c:pt idx="9">
                  <c:v>0.91899</c:v>
                </c:pt>
                <c:pt idx="10">
                  <c:v>0.93013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'dens_visc_gamma+mibk'!$F$23:$F$33</c:f>
              <c:numCache>
                <c:formatCode>0.00000</c:formatCode>
                <c:ptCount val="11"/>
                <c:pt idx="0">
                  <c:v>0.76444</c:v>
                </c:pt>
                <c:pt idx="1">
                  <c:v>0.78701</c:v>
                </c:pt>
                <c:pt idx="2">
                  <c:v>0.80749</c:v>
                </c:pt>
                <c:pt idx="3">
                  <c:v>0.82404</c:v>
                </c:pt>
                <c:pt idx="4">
                  <c:v>0.84324</c:v>
                </c:pt>
                <c:pt idx="5">
                  <c:v>0.85992</c:v>
                </c:pt>
                <c:pt idx="6">
                  <c:v>0.87436</c:v>
                </c:pt>
                <c:pt idx="7">
                  <c:v>0.88692</c:v>
                </c:pt>
                <c:pt idx="8">
                  <c:v>0.89968</c:v>
                </c:pt>
                <c:pt idx="9">
                  <c:v>0.91126</c:v>
                </c:pt>
                <c:pt idx="10">
                  <c:v>0.9225</c:v>
                </c:pt>
              </c:numCache>
            </c:numRef>
          </c:yVal>
          <c:smooth val="1"/>
        </c:ser>
        <c:axId val="82526460"/>
        <c:axId val="41711800"/>
      </c:scatterChart>
      <c:valAx>
        <c:axId val="8252646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11800"/>
        <c:crossBetween val="midCat"/>
      </c:valAx>
      <c:valAx>
        <c:axId val="41711800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2646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gamma-decalactone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-0.125157516585659</c:v>
                </c:pt>
                <c:pt idx="2">
                  <c:v>-0.274834912826748</c:v>
                </c:pt>
                <c:pt idx="3">
                  <c:v>-0.36487838114985</c:v>
                </c:pt>
                <c:pt idx="4">
                  <c:v>-0.403482252228969</c:v>
                </c:pt>
                <c:pt idx="5">
                  <c:v>-0.403507059335141</c:v>
                </c:pt>
                <c:pt idx="6">
                  <c:v>-0.367347224738325</c:v>
                </c:pt>
                <c:pt idx="7">
                  <c:v>-0.302404915673009</c:v>
                </c:pt>
                <c:pt idx="8">
                  <c:v>-0.21401171727976</c:v>
                </c:pt>
                <c:pt idx="9">
                  <c:v>-0.0938005049441699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-0.151202023469864</c:v>
                </c:pt>
                <c:pt idx="2">
                  <c:v>-0.315956236415161</c:v>
                </c:pt>
                <c:pt idx="3">
                  <c:v>-0.407386959994625</c:v>
                </c:pt>
                <c:pt idx="4">
                  <c:v>-0.455033155388833</c:v>
                </c:pt>
                <c:pt idx="5">
                  <c:v>-0.452881897391734</c:v>
                </c:pt>
                <c:pt idx="6">
                  <c:v>-0.413828598575833</c:v>
                </c:pt>
                <c:pt idx="7">
                  <c:v>-0.338283716991469</c:v>
                </c:pt>
                <c:pt idx="8">
                  <c:v>-0.238330347763167</c:v>
                </c:pt>
                <c:pt idx="9">
                  <c:v>-0.106875499332943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-0.177911384004602</c:v>
                </c:pt>
                <c:pt idx="2">
                  <c:v>-0.359392215460417</c:v>
                </c:pt>
                <c:pt idx="3">
                  <c:v>-0.460060922485013</c:v>
                </c:pt>
                <c:pt idx="4">
                  <c:v>-0.512825434351953</c:v>
                </c:pt>
                <c:pt idx="5">
                  <c:v>-0.510977643872963</c:v>
                </c:pt>
                <c:pt idx="6">
                  <c:v>-0.464433505318226</c:v>
                </c:pt>
                <c:pt idx="7">
                  <c:v>-0.382400199275025</c:v>
                </c:pt>
                <c:pt idx="8">
                  <c:v>-0.267612694281468</c:v>
                </c:pt>
                <c:pt idx="9">
                  <c:v>-0.125358774981066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-0.200624126411157</c:v>
                </c:pt>
                <c:pt idx="2">
                  <c:v>-0.409494483841115</c:v>
                </c:pt>
                <c:pt idx="3">
                  <c:v>-0.519727969641281</c:v>
                </c:pt>
                <c:pt idx="4">
                  <c:v>-0.57544335268534</c:v>
                </c:pt>
                <c:pt idx="5">
                  <c:v>-0.571538862517116</c:v>
                </c:pt>
                <c:pt idx="6">
                  <c:v>-0.520376809657819</c:v>
                </c:pt>
                <c:pt idx="7">
                  <c:v>-0.427610553895704</c:v>
                </c:pt>
                <c:pt idx="8">
                  <c:v>-0.29312310389858</c:v>
                </c:pt>
                <c:pt idx="9">
                  <c:v>-0.141074101408123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-0.239300145186178</c:v>
                </c:pt>
                <c:pt idx="2">
                  <c:v>-0.460366348904785</c:v>
                </c:pt>
                <c:pt idx="3">
                  <c:v>-0.579675272903927</c:v>
                </c:pt>
                <c:pt idx="4">
                  <c:v>-0.642563374466874</c:v>
                </c:pt>
                <c:pt idx="5">
                  <c:v>-0.637091445752816</c:v>
                </c:pt>
                <c:pt idx="6">
                  <c:v>-0.579895929045819</c:v>
                </c:pt>
                <c:pt idx="7">
                  <c:v>-0.476656393806366</c:v>
                </c:pt>
                <c:pt idx="8">
                  <c:v>-0.330018766865379</c:v>
                </c:pt>
                <c:pt idx="9">
                  <c:v>-0.158771012380186</c:v>
                </c:pt>
                <c:pt idx="10">
                  <c:v>0</c:v>
                </c:pt>
              </c:numCache>
            </c:numRef>
          </c:yVal>
          <c:smooth val="1"/>
        </c:ser>
        <c:axId val="58064400"/>
        <c:axId val="8249338"/>
      </c:scatterChart>
      <c:valAx>
        <c:axId val="5806440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49338"/>
        <c:crossBetween val="midCat"/>
      </c:valAx>
      <c:valAx>
        <c:axId val="8249338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06440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gamma-decalactone + methyl isobutyl ketone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'dens_visc_gamma+mibk'!$B$37:$B$47</c:f>
              <c:numCache>
                <c:formatCode>0.000</c:formatCode>
                <c:ptCount val="11"/>
                <c:pt idx="0">
                  <c:v>0.58507</c:v>
                </c:pt>
                <c:pt idx="1">
                  <c:v>0.751</c:v>
                </c:pt>
                <c:pt idx="2">
                  <c:v>0.953</c:v>
                </c:pt>
                <c:pt idx="3">
                  <c:v>1.178</c:v>
                </c:pt>
                <c:pt idx="4">
                  <c:v>1.535</c:v>
                </c:pt>
                <c:pt idx="5">
                  <c:v>1.978</c:v>
                </c:pt>
                <c:pt idx="6">
                  <c:v>2.513</c:v>
                </c:pt>
                <c:pt idx="7">
                  <c:v>3.15</c:v>
                </c:pt>
                <c:pt idx="8">
                  <c:v>4.043</c:v>
                </c:pt>
                <c:pt idx="9">
                  <c:v>5.156</c:v>
                </c:pt>
                <c:pt idx="10">
                  <c:v>6.574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'dens_visc_gamma+mibk'!$C$37:$C$47</c:f>
              <c:numCache>
                <c:formatCode>0.000</c:formatCode>
                <c:ptCount val="11"/>
                <c:pt idx="0">
                  <c:v>0.5218</c:v>
                </c:pt>
                <c:pt idx="1">
                  <c:v>0.66</c:v>
                </c:pt>
                <c:pt idx="2">
                  <c:v>0.824</c:v>
                </c:pt>
                <c:pt idx="3">
                  <c:v>1.005</c:v>
                </c:pt>
                <c:pt idx="4">
                  <c:v>1.287</c:v>
                </c:pt>
                <c:pt idx="5">
                  <c:v>1.626</c:v>
                </c:pt>
                <c:pt idx="6">
                  <c:v>2.024</c:v>
                </c:pt>
                <c:pt idx="7">
                  <c:v>2.487</c:v>
                </c:pt>
                <c:pt idx="8">
                  <c:v>3.12</c:v>
                </c:pt>
                <c:pt idx="9">
                  <c:v>3.882</c:v>
                </c:pt>
                <c:pt idx="10">
                  <c:v>4.821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'dens_visc_gamma+mibk'!$D$37:$D$47</c:f>
              <c:numCache>
                <c:formatCode>0.000</c:formatCode>
                <c:ptCount val="11"/>
                <c:pt idx="0">
                  <c:v>0.46729</c:v>
                </c:pt>
                <c:pt idx="1">
                  <c:v>0.586</c:v>
                </c:pt>
                <c:pt idx="2">
                  <c:v>0.721</c:v>
                </c:pt>
                <c:pt idx="3">
                  <c:v>0.869</c:v>
                </c:pt>
                <c:pt idx="4">
                  <c:v>1.097</c:v>
                </c:pt>
                <c:pt idx="5">
                  <c:v>1.364</c:v>
                </c:pt>
                <c:pt idx="6">
                  <c:v>1.671</c:v>
                </c:pt>
                <c:pt idx="7">
                  <c:v>2.02</c:v>
                </c:pt>
                <c:pt idx="8">
                  <c:v>2.484</c:v>
                </c:pt>
                <c:pt idx="9">
                  <c:v>3.03</c:v>
                </c:pt>
                <c:pt idx="10">
                  <c:v>3.691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'dens_visc_gamma+mibk'!$E$37:$E$47</c:f>
              <c:numCache>
                <c:formatCode>0.000</c:formatCode>
                <c:ptCount val="11"/>
                <c:pt idx="0">
                  <c:v>0.42305</c:v>
                </c:pt>
                <c:pt idx="1">
                  <c:v>0.517</c:v>
                </c:pt>
                <c:pt idx="2">
                  <c:v>0.639</c:v>
                </c:pt>
                <c:pt idx="3">
                  <c:v>0.762</c:v>
                </c:pt>
                <c:pt idx="4">
                  <c:v>0.951</c:v>
                </c:pt>
                <c:pt idx="5">
                  <c:v>1.165</c:v>
                </c:pt>
                <c:pt idx="6">
                  <c:v>1.407</c:v>
                </c:pt>
                <c:pt idx="7">
                  <c:v>1.677</c:v>
                </c:pt>
                <c:pt idx="8">
                  <c:v>2.03</c:v>
                </c:pt>
                <c:pt idx="9">
                  <c:v>2.436</c:v>
                </c:pt>
                <c:pt idx="10">
                  <c:v>2.914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'dens_visc_gamma+mibk'!$A$37:$A$47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0.0990219951658388</c:v>
                </c:pt>
                <c:pt idx="2">
                  <c:v>0.196115589060213</c:v>
                </c:pt>
                <c:pt idx="3">
                  <c:v>0.282191159104411</c:v>
                </c:pt>
                <c:pt idx="4">
                  <c:v>0.392061549539046</c:v>
                </c:pt>
                <c:pt idx="5">
                  <c:v>0.497197795443102</c:v>
                </c:pt>
                <c:pt idx="6">
                  <c:v>0.596702034327938</c:v>
                </c:pt>
                <c:pt idx="7">
                  <c:v>0.690940088548683</c:v>
                </c:pt>
                <c:pt idx="8">
                  <c:v>0.794429374894137</c:v>
                </c:pt>
                <c:pt idx="9">
                  <c:v>0.895874322615171</c:v>
                </c:pt>
                <c:pt idx="10">
                  <c:v>1</c:v>
                </c:pt>
              </c:numCache>
            </c:numRef>
          </c:xVal>
          <c:yVal>
            <c:numRef>
              <c:f>'dens_visc_gamma+mibk'!$F$37:$F$47</c:f>
              <c:numCache>
                <c:formatCode>0.000</c:formatCode>
                <c:ptCount val="11"/>
                <c:pt idx="0">
                  <c:v>0.38771</c:v>
                </c:pt>
                <c:pt idx="1">
                  <c:v>0.465</c:v>
                </c:pt>
                <c:pt idx="2">
                  <c:v>0.571</c:v>
                </c:pt>
                <c:pt idx="3">
                  <c:v>0.674</c:v>
                </c:pt>
                <c:pt idx="4">
                  <c:v>0.833</c:v>
                </c:pt>
                <c:pt idx="5">
                  <c:v>1.01</c:v>
                </c:pt>
                <c:pt idx="6">
                  <c:v>1.205</c:v>
                </c:pt>
                <c:pt idx="7">
                  <c:v>1.419</c:v>
                </c:pt>
                <c:pt idx="8">
                  <c:v>1.694</c:v>
                </c:pt>
                <c:pt idx="9">
                  <c:v>2.006</c:v>
                </c:pt>
                <c:pt idx="10">
                  <c:v>2.362</c:v>
                </c:pt>
              </c:numCache>
            </c:numRef>
          </c:yVal>
          <c:smooth val="1"/>
        </c:ser>
        <c:axId val="71267819"/>
        <c:axId val="97079305"/>
      </c:scatterChart>
      <c:valAx>
        <c:axId val="71267819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079305"/>
        <c:crossBetween val="midCat"/>
      </c:valAx>
      <c:valAx>
        <c:axId val="97079305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67819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Density: gamma-decalactone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'dens_visc_gamma+2octanone'!$B$23:$B$33</c:f>
              <c:numCache>
                <c:formatCode>General</c:formatCode>
                <c:ptCount val="11"/>
                <c:pt idx="0">
                  <c:v>0.81906</c:v>
                </c:pt>
                <c:pt idx="1">
                  <c:v>0.83426</c:v>
                </c:pt>
                <c:pt idx="2">
                  <c:v>0.8493</c:v>
                </c:pt>
                <c:pt idx="3">
                  <c:v>0.86363</c:v>
                </c:pt>
                <c:pt idx="4">
                  <c:v>0.87686</c:v>
                </c:pt>
                <c:pt idx="5">
                  <c:v>0.89087</c:v>
                </c:pt>
                <c:pt idx="6">
                  <c:v>0.90402</c:v>
                </c:pt>
                <c:pt idx="7">
                  <c:v>0.91634</c:v>
                </c:pt>
                <c:pt idx="8">
                  <c:v>0.92833</c:v>
                </c:pt>
                <c:pt idx="9">
                  <c:v>0.94095</c:v>
                </c:pt>
                <c:pt idx="10">
                  <c:v>0.95292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'dens_visc_gamma+2octanone'!$C$23:$C$33</c:f>
              <c:numCache>
                <c:formatCode>General</c:formatCode>
                <c:ptCount val="11"/>
                <c:pt idx="0">
                  <c:v>0.81089</c:v>
                </c:pt>
                <c:pt idx="1">
                  <c:v>0.82612</c:v>
                </c:pt>
                <c:pt idx="2">
                  <c:v>0.84129</c:v>
                </c:pt>
                <c:pt idx="3">
                  <c:v>0.85559</c:v>
                </c:pt>
                <c:pt idx="4">
                  <c:v>0.86898</c:v>
                </c:pt>
                <c:pt idx="5">
                  <c:v>0.88305</c:v>
                </c:pt>
                <c:pt idx="6">
                  <c:v>0.89621</c:v>
                </c:pt>
                <c:pt idx="7">
                  <c:v>0.90857</c:v>
                </c:pt>
                <c:pt idx="8">
                  <c:v>0.92069</c:v>
                </c:pt>
                <c:pt idx="9">
                  <c:v>0.93332</c:v>
                </c:pt>
                <c:pt idx="10">
                  <c:v>0.94536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'dens_visc_gamma+2octanone'!$D$23:$D$33</c:f>
              <c:numCache>
                <c:formatCode>General</c:formatCode>
                <c:ptCount val="11"/>
                <c:pt idx="0">
                  <c:v>0.80264</c:v>
                </c:pt>
                <c:pt idx="1">
                  <c:v>0.81796</c:v>
                </c:pt>
                <c:pt idx="2">
                  <c:v>0.83321</c:v>
                </c:pt>
                <c:pt idx="3">
                  <c:v>0.84758</c:v>
                </c:pt>
                <c:pt idx="4">
                  <c:v>0.86103</c:v>
                </c:pt>
                <c:pt idx="5">
                  <c:v>0.87517</c:v>
                </c:pt>
                <c:pt idx="6">
                  <c:v>0.88839</c:v>
                </c:pt>
                <c:pt idx="7">
                  <c:v>0.9008</c:v>
                </c:pt>
                <c:pt idx="8">
                  <c:v>0.91298</c:v>
                </c:pt>
                <c:pt idx="9">
                  <c:v>0.92567</c:v>
                </c:pt>
                <c:pt idx="10">
                  <c:v>0.93774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'dens_visc_gamma+2octanone'!$E$23:$E$33</c:f>
              <c:numCache>
                <c:formatCode>General</c:formatCode>
                <c:ptCount val="11"/>
                <c:pt idx="0">
                  <c:v>0.79435</c:v>
                </c:pt>
                <c:pt idx="1">
                  <c:v>0.80974</c:v>
                </c:pt>
                <c:pt idx="2">
                  <c:v>0.82508</c:v>
                </c:pt>
                <c:pt idx="3">
                  <c:v>0.83953</c:v>
                </c:pt>
                <c:pt idx="4">
                  <c:v>0.85306</c:v>
                </c:pt>
                <c:pt idx="5">
                  <c:v>0.86727</c:v>
                </c:pt>
                <c:pt idx="6">
                  <c:v>0.88055</c:v>
                </c:pt>
                <c:pt idx="7">
                  <c:v>0.893</c:v>
                </c:pt>
                <c:pt idx="8">
                  <c:v>0.90525</c:v>
                </c:pt>
                <c:pt idx="9">
                  <c:v>0.91801</c:v>
                </c:pt>
                <c:pt idx="10">
                  <c:v>0.93013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'dens_visc_gamma+2octanone'!$F$23:$F$33</c:f>
              <c:numCache>
                <c:formatCode>General</c:formatCode>
                <c:ptCount val="11"/>
                <c:pt idx="0">
                  <c:v>0.78598</c:v>
                </c:pt>
                <c:pt idx="1">
                  <c:v>0.80148</c:v>
                </c:pt>
                <c:pt idx="2">
                  <c:v>0.81691</c:v>
                </c:pt>
                <c:pt idx="3">
                  <c:v>0.83143</c:v>
                </c:pt>
                <c:pt idx="4">
                  <c:v>0.84504</c:v>
                </c:pt>
                <c:pt idx="5">
                  <c:v>0.85933</c:v>
                </c:pt>
                <c:pt idx="6">
                  <c:v>0.87268</c:v>
                </c:pt>
                <c:pt idx="7">
                  <c:v>0.8852</c:v>
                </c:pt>
                <c:pt idx="8">
                  <c:v>0.89751</c:v>
                </c:pt>
                <c:pt idx="9">
                  <c:v>0.91032</c:v>
                </c:pt>
                <c:pt idx="10">
                  <c:v>0.9225</c:v>
                </c:pt>
              </c:numCache>
            </c:numRef>
          </c:yVal>
          <c:smooth val="1"/>
        </c:ser>
        <c:axId val="90831597"/>
        <c:axId val="63728845"/>
      </c:scatterChart>
      <c:valAx>
        <c:axId val="90831597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28845"/>
        <c:crossBetween val="midCat"/>
      </c:valAx>
      <c:valAx>
        <c:axId val="63728845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Density (g/cm³)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831597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Excess Volume: gamma-decalactone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'dens_visc_gamma+2octanone'!$G$23:$G$33</c:f>
              <c:numCache>
                <c:formatCode>General</c:formatCode>
                <c:ptCount val="11"/>
                <c:pt idx="0">
                  <c:v>0</c:v>
                </c:pt>
                <c:pt idx="1">
                  <c:v>-0.066975964679898</c:v>
                </c:pt>
                <c:pt idx="2">
                  <c:v>-0.117392123530124</c:v>
                </c:pt>
                <c:pt idx="3">
                  <c:v>-0.170982624804765</c:v>
                </c:pt>
                <c:pt idx="4">
                  <c:v>-0.173692860079228</c:v>
                </c:pt>
                <c:pt idx="5">
                  <c:v>-0.173116469647653</c:v>
                </c:pt>
                <c:pt idx="6">
                  <c:v>-0.161147882032736</c:v>
                </c:pt>
                <c:pt idx="7">
                  <c:v>-0.143774337496808</c:v>
                </c:pt>
                <c:pt idx="8">
                  <c:v>-0.0937745785738002</c:v>
                </c:pt>
                <c:pt idx="9">
                  <c:v>-0.0283955554602926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'dens_visc_gamma+2octanone'!$H$23:$H$33</c:f>
              <c:numCache>
                <c:formatCode>General</c:formatCode>
                <c:ptCount val="11"/>
                <c:pt idx="0">
                  <c:v>0</c:v>
                </c:pt>
                <c:pt idx="1">
                  <c:v>-0.0662900881988549</c:v>
                </c:pt>
                <c:pt idx="2">
                  <c:v>-0.133694826538374</c:v>
                </c:pt>
                <c:pt idx="3">
                  <c:v>-0.172647765254396</c:v>
                </c:pt>
                <c:pt idx="4">
                  <c:v>-0.195775928493305</c:v>
                </c:pt>
                <c:pt idx="5">
                  <c:v>-0.194585370142136</c:v>
                </c:pt>
                <c:pt idx="6">
                  <c:v>-0.171897586569173</c:v>
                </c:pt>
                <c:pt idx="7">
                  <c:v>-0.149286972224189</c:v>
                </c:pt>
                <c:pt idx="8">
                  <c:v>-0.109937888744383</c:v>
                </c:pt>
                <c:pt idx="9">
                  <c:v>-0.0303991942210189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'dens_visc_gamma+2octanone'!$I$23:$I$33</c:f>
              <c:numCache>
                <c:formatCode>General</c:formatCode>
                <c:ptCount val="11"/>
                <c:pt idx="0">
                  <c:v>0</c:v>
                </c:pt>
                <c:pt idx="1">
                  <c:v>-0.0772416586306122</c:v>
                </c:pt>
                <c:pt idx="2">
                  <c:v>-0.15214532741993</c:v>
                </c:pt>
                <c:pt idx="3">
                  <c:v>-0.19517879686984</c:v>
                </c:pt>
                <c:pt idx="4">
                  <c:v>-0.219569678763492</c:v>
                </c:pt>
                <c:pt idx="5">
                  <c:v>-0.21927700193288</c:v>
                </c:pt>
                <c:pt idx="6">
                  <c:v>-0.194763006543212</c:v>
                </c:pt>
                <c:pt idx="7">
                  <c:v>-0.168210435918581</c:v>
                </c:pt>
                <c:pt idx="8">
                  <c:v>-0.125821194659778</c:v>
                </c:pt>
                <c:pt idx="9">
                  <c:v>-0.0407755293801984</c:v>
                </c:pt>
                <c:pt idx="1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'dens_visc_gamma+2octanone'!$J$23:$J$33</c:f>
              <c:numCache>
                <c:formatCode>General</c:formatCode>
                <c:ptCount val="11"/>
                <c:pt idx="0">
                  <c:v>0</c:v>
                </c:pt>
                <c:pt idx="1">
                  <c:v>-0.0837972020999587</c:v>
                </c:pt>
                <c:pt idx="2">
                  <c:v>-0.167650002908658</c:v>
                </c:pt>
                <c:pt idx="3">
                  <c:v>-0.21602656377911</c:v>
                </c:pt>
                <c:pt idx="4">
                  <c:v>-0.244797244553979</c:v>
                </c:pt>
                <c:pt idx="5">
                  <c:v>-0.244395854111872</c:v>
                </c:pt>
                <c:pt idx="6">
                  <c:v>-0.216950739495076</c:v>
                </c:pt>
                <c:pt idx="7">
                  <c:v>-0.183313516123633</c:v>
                </c:pt>
                <c:pt idx="8">
                  <c:v>-0.138684265036972</c:v>
                </c:pt>
                <c:pt idx="9">
                  <c:v>-0.0487288130642583</c:v>
                </c:pt>
                <c:pt idx="1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'dens_visc_gamma+2octanone'!$A$23:$A$33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'dens_visc_gamma+2octanone'!$K$23:$K$33</c:f>
              <c:numCache>
                <c:formatCode>General</c:formatCode>
                <c:ptCount val="11"/>
                <c:pt idx="0">
                  <c:v>0</c:v>
                </c:pt>
                <c:pt idx="1">
                  <c:v>-0.0978924462474424</c:v>
                </c:pt>
                <c:pt idx="2">
                  <c:v>-0.189945361427277</c:v>
                </c:pt>
                <c:pt idx="3">
                  <c:v>-0.240705277038217</c:v>
                </c:pt>
                <c:pt idx="4">
                  <c:v>-0.27289500031381</c:v>
                </c:pt>
                <c:pt idx="5">
                  <c:v>-0.273125731506298</c:v>
                </c:pt>
                <c:pt idx="6">
                  <c:v>-0.243376326953495</c:v>
                </c:pt>
                <c:pt idx="7">
                  <c:v>-0.207156833168739</c:v>
                </c:pt>
                <c:pt idx="8">
                  <c:v>-0.156880090865286</c:v>
                </c:pt>
                <c:pt idx="9">
                  <c:v>-0.0563796006775306</c:v>
                </c:pt>
                <c:pt idx="10">
                  <c:v>0</c:v>
                </c:pt>
              </c:numCache>
            </c:numRef>
          </c:yVal>
          <c:smooth val="1"/>
        </c:ser>
        <c:axId val="99731406"/>
        <c:axId val="74736661"/>
      </c:scatterChart>
      <c:valAx>
        <c:axId val="99731406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736661"/>
        <c:crossBetween val="midCat"/>
      </c:valAx>
      <c:valAx>
        <c:axId val="74736661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Excess Volume (cm³/mol)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731406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Viscosity: gamma-decalactone + 2-octanone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"20°C"</c:f>
              <c:strCache>
                <c:ptCount val="1"/>
                <c:pt idx="0">
                  <c:v>20°C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'dens_visc_gamma+2octanone'!$B$37:$B$47</c:f>
              <c:numCache>
                <c:formatCode>General</c:formatCode>
                <c:ptCount val="11"/>
                <c:pt idx="0">
                  <c:v>1.01</c:v>
                </c:pt>
                <c:pt idx="1">
                  <c:v>1.23</c:v>
                </c:pt>
                <c:pt idx="2">
                  <c:v>1.479</c:v>
                </c:pt>
                <c:pt idx="3">
                  <c:v>1.716</c:v>
                </c:pt>
                <c:pt idx="4">
                  <c:v>2.032</c:v>
                </c:pt>
                <c:pt idx="5">
                  <c:v>2.44</c:v>
                </c:pt>
                <c:pt idx="6">
                  <c:v>2.945</c:v>
                </c:pt>
                <c:pt idx="7">
                  <c:v>3.543</c:v>
                </c:pt>
                <c:pt idx="8">
                  <c:v>4.302</c:v>
                </c:pt>
                <c:pt idx="9">
                  <c:v>5.343</c:v>
                </c:pt>
                <c:pt idx="10">
                  <c:v>6.574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"30°C"</c:f>
              <c:strCache>
                <c:ptCount val="1"/>
                <c:pt idx="0">
                  <c:v>30°C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circle"/>
            <c:size val="8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'dens_visc_gamma+2octanone'!$C$37:$C$47</c:f>
              <c:numCache>
                <c:formatCode>General</c:formatCode>
                <c:ptCount val="11"/>
                <c:pt idx="0">
                  <c:v>0.869</c:v>
                </c:pt>
                <c:pt idx="1">
                  <c:v>1.045</c:v>
                </c:pt>
                <c:pt idx="2">
                  <c:v>1.22</c:v>
                </c:pt>
                <c:pt idx="3">
                  <c:v>1.421</c:v>
                </c:pt>
                <c:pt idx="4">
                  <c:v>1.661</c:v>
                </c:pt>
                <c:pt idx="5">
                  <c:v>1.968</c:v>
                </c:pt>
                <c:pt idx="6">
                  <c:v>2.336</c:v>
                </c:pt>
                <c:pt idx="7">
                  <c:v>2.764</c:v>
                </c:pt>
                <c:pt idx="8">
                  <c:v>3.294</c:v>
                </c:pt>
                <c:pt idx="9">
                  <c:v>4.004</c:v>
                </c:pt>
                <c:pt idx="10">
                  <c:v>4.821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"40°C"</c:f>
              <c:strCache>
                <c:ptCount val="1"/>
                <c:pt idx="0">
                  <c:v>40°C</c:v>
                </c:pt>
              </c:strCache>
            </c:strRef>
          </c:tx>
          <c:spPr>
            <a:solidFill>
              <a:srgbClr val="a5a5a5"/>
            </a:solidFill>
            <a:ln w="20160">
              <a:solidFill>
                <a:srgbClr val="a5a5a5"/>
              </a:solidFill>
              <a:round/>
            </a:ln>
          </c:spPr>
          <c:marker>
            <c:symbol val="circle"/>
            <c:size val="8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'dens_visc_gamma+2octanone'!$D$37:$D$47</c:f>
              <c:numCache>
                <c:formatCode>General</c:formatCode>
                <c:ptCount val="11"/>
                <c:pt idx="0">
                  <c:v>0.758</c:v>
                </c:pt>
                <c:pt idx="1">
                  <c:v>0.902</c:v>
                </c:pt>
                <c:pt idx="2">
                  <c:v>1.042</c:v>
                </c:pt>
                <c:pt idx="3">
                  <c:v>1.201</c:v>
                </c:pt>
                <c:pt idx="4">
                  <c:v>1.389</c:v>
                </c:pt>
                <c:pt idx="5">
                  <c:v>1.625</c:v>
                </c:pt>
                <c:pt idx="6">
                  <c:v>1.902</c:v>
                </c:pt>
                <c:pt idx="7">
                  <c:v>2.221</c:v>
                </c:pt>
                <c:pt idx="8">
                  <c:v>2.608</c:v>
                </c:pt>
                <c:pt idx="9">
                  <c:v>3.114</c:v>
                </c:pt>
                <c:pt idx="10">
                  <c:v>3.691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"50°C"</c:f>
              <c:strCache>
                <c:ptCount val="1"/>
                <c:pt idx="0">
                  <c:v>50°C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circle"/>
            <c:size val="8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'dens_visc_gamma+2octanone'!$E$37:$E$47</c:f>
              <c:numCache>
                <c:formatCode>General</c:formatCode>
                <c:ptCount val="11"/>
                <c:pt idx="0">
                  <c:v>0.668</c:v>
                </c:pt>
                <c:pt idx="1">
                  <c:v>0.787</c:v>
                </c:pt>
                <c:pt idx="2">
                  <c:v>0.903</c:v>
                </c:pt>
                <c:pt idx="3">
                  <c:v>1.032</c:v>
                </c:pt>
                <c:pt idx="4">
                  <c:v>1.182</c:v>
                </c:pt>
                <c:pt idx="5">
                  <c:v>1.369</c:v>
                </c:pt>
                <c:pt idx="6">
                  <c:v>1.584</c:v>
                </c:pt>
                <c:pt idx="7">
                  <c:v>1.829</c:v>
                </c:pt>
                <c:pt idx="8">
                  <c:v>2.121</c:v>
                </c:pt>
                <c:pt idx="9">
                  <c:v>2.497</c:v>
                </c:pt>
                <c:pt idx="10">
                  <c:v>2.914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"60°C"</c:f>
              <c:strCache>
                <c:ptCount val="1"/>
                <c:pt idx="0">
                  <c:v>60°C</c:v>
                </c:pt>
              </c:strCache>
            </c:strRef>
          </c:tx>
          <c:spPr>
            <a:solidFill>
              <a:srgbClr val="5b9bd5"/>
            </a:solidFill>
            <a:ln w="20160">
              <a:solidFill>
                <a:srgbClr val="5b9bd5"/>
              </a:solidFill>
              <a:round/>
            </a:ln>
          </c:spPr>
          <c:marker>
            <c:symbol val="circle"/>
            <c:size val="8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'dens_visc_gamma+2octanone'!$A$37:$A$47</c:f>
              <c:numCache>
                <c:formatCode>General</c:formatCode>
                <c:ptCount val="11"/>
                <c:pt idx="0">
                  <c:v>0</c:v>
                </c:pt>
                <c:pt idx="1">
                  <c:v>0.0985369142533046</c:v>
                </c:pt>
                <c:pt idx="2">
                  <c:v>0.199336208745303</c:v>
                </c:pt>
                <c:pt idx="3">
                  <c:v>0.297828465070332</c:v>
                </c:pt>
                <c:pt idx="4">
                  <c:v>0.392961388975423</c:v>
                </c:pt>
                <c:pt idx="5">
                  <c:v>0.496556902424305</c:v>
                </c:pt>
                <c:pt idx="6">
                  <c:v>0.596914769035954</c:v>
                </c:pt>
                <c:pt idx="7">
                  <c:v>0.693645746213383</c:v>
                </c:pt>
                <c:pt idx="8">
                  <c:v>0.791589499778559</c:v>
                </c:pt>
                <c:pt idx="9">
                  <c:v>0.897951971652888</c:v>
                </c:pt>
                <c:pt idx="10">
                  <c:v>1</c:v>
                </c:pt>
              </c:numCache>
            </c:numRef>
          </c:xVal>
          <c:yVal>
            <c:numRef>
              <c:f>'dens_visc_gamma+2octanone'!$F$37:$F$47</c:f>
              <c:numCache>
                <c:formatCode>General</c:formatCode>
                <c:ptCount val="11"/>
                <c:pt idx="0">
                  <c:v>0.595</c:v>
                </c:pt>
                <c:pt idx="1">
                  <c:v>0.695</c:v>
                </c:pt>
                <c:pt idx="2">
                  <c:v>0.792</c:v>
                </c:pt>
                <c:pt idx="3">
                  <c:v>0.899</c:v>
                </c:pt>
                <c:pt idx="4">
                  <c:v>1.022</c:v>
                </c:pt>
                <c:pt idx="5">
                  <c:v>1.173</c:v>
                </c:pt>
                <c:pt idx="6">
                  <c:v>1.344</c:v>
                </c:pt>
                <c:pt idx="7">
                  <c:v>1.536</c:v>
                </c:pt>
                <c:pt idx="8">
                  <c:v>1.763</c:v>
                </c:pt>
                <c:pt idx="9">
                  <c:v>2.051</c:v>
                </c:pt>
                <c:pt idx="10">
                  <c:v>2.362</c:v>
                </c:pt>
              </c:numCache>
            </c:numRef>
          </c:yVal>
          <c:smooth val="1"/>
        </c:ser>
        <c:axId val="53036590"/>
        <c:axId val="50415029"/>
      </c:scatterChart>
      <c:valAx>
        <c:axId val="53036590"/>
        <c:scaling>
          <c:orientation val="minMax"/>
        </c:scaling>
        <c:delete val="1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 Fraction (aroma)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415029"/>
        <c:crossBetween val="midCat"/>
      </c:valAx>
      <c:valAx>
        <c:axId val="50415029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Viscosity (mPa·s)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036590"/>
        <c:crossBetween val="midCat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405000</xdr:colOff>
      <xdr:row>23</xdr:row>
      <xdr:rowOff>153360</xdr:rowOff>
    </xdr:to>
    <xdr:graphicFrame>
      <xdr:nvGraphicFramePr>
        <xdr:cNvPr id="1" name="Chart 1"/>
        <xdr:cNvGraphicFramePr/>
      </xdr:nvGraphicFramePr>
      <xdr:xfrm>
        <a:off x="19446120" y="0"/>
        <a:ext cx="584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200160</xdr:colOff>
      <xdr:row>24</xdr:row>
      <xdr:rowOff>38160</xdr:rowOff>
    </xdr:from>
    <xdr:to>
      <xdr:col>22</xdr:col>
      <xdr:colOff>62280</xdr:colOff>
      <xdr:row>48</xdr:row>
      <xdr:rowOff>14760</xdr:rowOff>
    </xdr:to>
    <xdr:graphicFrame>
      <xdr:nvGraphicFramePr>
        <xdr:cNvPr id="2" name="Chart 2"/>
        <xdr:cNvGraphicFramePr/>
      </xdr:nvGraphicFramePr>
      <xdr:xfrm>
        <a:off x="19646280" y="4381560"/>
        <a:ext cx="5982840" cy="43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266760</xdr:colOff>
      <xdr:row>47</xdr:row>
      <xdr:rowOff>133200</xdr:rowOff>
    </xdr:from>
    <xdr:to>
      <xdr:col>22</xdr:col>
      <xdr:colOff>643320</xdr:colOff>
      <xdr:row>71</xdr:row>
      <xdr:rowOff>86400</xdr:rowOff>
    </xdr:to>
    <xdr:graphicFrame>
      <xdr:nvGraphicFramePr>
        <xdr:cNvPr id="3" name="Chart 3"/>
        <xdr:cNvGraphicFramePr/>
      </xdr:nvGraphicFramePr>
      <xdr:xfrm>
        <a:off x="20392920" y="8638920"/>
        <a:ext cx="581724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405000</xdr:colOff>
      <xdr:row>23</xdr:row>
      <xdr:rowOff>159120</xdr:rowOff>
    </xdr:to>
    <xdr:graphicFrame>
      <xdr:nvGraphicFramePr>
        <xdr:cNvPr id="4" name="Chart 1"/>
        <xdr:cNvGraphicFramePr/>
      </xdr:nvGraphicFramePr>
      <xdr:xfrm>
        <a:off x="11012040" y="0"/>
        <a:ext cx="584568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405000</xdr:colOff>
      <xdr:row>42</xdr:row>
      <xdr:rowOff>140040</xdr:rowOff>
    </xdr:to>
    <xdr:graphicFrame>
      <xdr:nvGraphicFramePr>
        <xdr:cNvPr id="5" name="Chart 2"/>
        <xdr:cNvGraphicFramePr/>
      </xdr:nvGraphicFramePr>
      <xdr:xfrm>
        <a:off x="11012040" y="3419640"/>
        <a:ext cx="584568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167760</xdr:rowOff>
    </xdr:from>
    <xdr:to>
      <xdr:col>21</xdr:col>
      <xdr:colOff>405000</xdr:colOff>
      <xdr:row>62</xdr:row>
      <xdr:rowOff>21960</xdr:rowOff>
    </xdr:to>
    <xdr:graphicFrame>
      <xdr:nvGraphicFramePr>
        <xdr:cNvPr id="6" name="Chart 3"/>
        <xdr:cNvGraphicFramePr/>
      </xdr:nvGraphicFramePr>
      <xdr:xfrm>
        <a:off x="11012040" y="6854400"/>
        <a:ext cx="5845680" cy="427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405000</xdr:colOff>
      <xdr:row>23</xdr:row>
      <xdr:rowOff>159120</xdr:rowOff>
    </xdr:to>
    <xdr:graphicFrame>
      <xdr:nvGraphicFramePr>
        <xdr:cNvPr id="7" name="Chart 1"/>
        <xdr:cNvGraphicFramePr/>
      </xdr:nvGraphicFramePr>
      <xdr:xfrm>
        <a:off x="14352840" y="0"/>
        <a:ext cx="584568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466560</xdr:colOff>
      <xdr:row>25</xdr:row>
      <xdr:rowOff>24840</xdr:rowOff>
    </xdr:from>
    <xdr:to>
      <xdr:col>21</xdr:col>
      <xdr:colOff>112680</xdr:colOff>
      <xdr:row>49</xdr:row>
      <xdr:rowOff>2880</xdr:rowOff>
    </xdr:to>
    <xdr:graphicFrame>
      <xdr:nvGraphicFramePr>
        <xdr:cNvPr id="8" name="Chart 2"/>
        <xdr:cNvGraphicFramePr/>
      </xdr:nvGraphicFramePr>
      <xdr:xfrm>
        <a:off x="14139360" y="4539600"/>
        <a:ext cx="57668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600120</xdr:colOff>
      <xdr:row>49</xdr:row>
      <xdr:rowOff>1800</xdr:rowOff>
    </xdr:from>
    <xdr:to>
      <xdr:col>21</xdr:col>
      <xdr:colOff>246240</xdr:colOff>
      <xdr:row>73</xdr:row>
      <xdr:rowOff>37080</xdr:rowOff>
    </xdr:to>
    <xdr:graphicFrame>
      <xdr:nvGraphicFramePr>
        <xdr:cNvPr id="9" name="Chart 3"/>
        <xdr:cNvGraphicFramePr/>
      </xdr:nvGraphicFramePr>
      <xdr:xfrm>
        <a:off x="14272920" y="8850600"/>
        <a:ext cx="5766840" cy="427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24</xdr:row>
      <xdr:rowOff>6480</xdr:rowOff>
    </xdr:to>
    <xdr:graphicFrame>
      <xdr:nvGraphicFramePr>
        <xdr:cNvPr id="10" name="Chart 1"/>
        <xdr:cNvGraphicFramePr/>
      </xdr:nvGraphicFramePr>
      <xdr:xfrm>
        <a:off x="8881200" y="0"/>
        <a:ext cx="5846040" cy="429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43</xdr:row>
      <xdr:rowOff>96120</xdr:rowOff>
    </xdr:to>
    <xdr:graphicFrame>
      <xdr:nvGraphicFramePr>
        <xdr:cNvPr id="11" name="Chart 2"/>
        <xdr:cNvGraphicFramePr/>
      </xdr:nvGraphicFramePr>
      <xdr:xfrm>
        <a:off x="8881200" y="3419640"/>
        <a:ext cx="5846040" cy="422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219240</xdr:colOff>
      <xdr:row>53</xdr:row>
      <xdr:rowOff>19080</xdr:rowOff>
    </xdr:from>
    <xdr:to>
      <xdr:col>13</xdr:col>
      <xdr:colOff>624240</xdr:colOff>
      <xdr:row>77</xdr:row>
      <xdr:rowOff>128520</xdr:rowOff>
    </xdr:to>
    <xdr:graphicFrame>
      <xdr:nvGraphicFramePr>
        <xdr:cNvPr id="12" name="Chart 3"/>
        <xdr:cNvGraphicFramePr/>
      </xdr:nvGraphicFramePr>
      <xdr:xfrm>
        <a:off x="3659760" y="9277560"/>
        <a:ext cx="5845680" cy="422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159120</xdr:rowOff>
    </xdr:to>
    <xdr:graphicFrame>
      <xdr:nvGraphicFramePr>
        <xdr:cNvPr id="13" name="Chart 1"/>
        <xdr:cNvGraphicFramePr/>
      </xdr:nvGraphicFramePr>
      <xdr:xfrm>
        <a:off x="888120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140040</xdr:rowOff>
    </xdr:to>
    <xdr:graphicFrame>
      <xdr:nvGraphicFramePr>
        <xdr:cNvPr id="14" name="Chart 2"/>
        <xdr:cNvGraphicFramePr/>
      </xdr:nvGraphicFramePr>
      <xdr:xfrm>
        <a:off x="8881200" y="3419640"/>
        <a:ext cx="584604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167760</xdr:rowOff>
    </xdr:from>
    <xdr:to>
      <xdr:col>21</xdr:col>
      <xdr:colOff>405360</xdr:colOff>
      <xdr:row>62</xdr:row>
      <xdr:rowOff>44640</xdr:rowOff>
    </xdr:to>
    <xdr:graphicFrame>
      <xdr:nvGraphicFramePr>
        <xdr:cNvPr id="15" name="Chart 3"/>
        <xdr:cNvGraphicFramePr/>
      </xdr:nvGraphicFramePr>
      <xdr:xfrm>
        <a:off x="8881200" y="6854400"/>
        <a:ext cx="5846040" cy="42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405000</xdr:colOff>
      <xdr:row>23</xdr:row>
      <xdr:rowOff>153360</xdr:rowOff>
    </xdr:to>
    <xdr:graphicFrame>
      <xdr:nvGraphicFramePr>
        <xdr:cNvPr id="16" name="Chart 1"/>
        <xdr:cNvGraphicFramePr/>
      </xdr:nvGraphicFramePr>
      <xdr:xfrm>
        <a:off x="20385360" y="0"/>
        <a:ext cx="584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21</xdr:col>
      <xdr:colOff>405000</xdr:colOff>
      <xdr:row>42</xdr:row>
      <xdr:rowOff>153000</xdr:rowOff>
    </xdr:to>
    <xdr:graphicFrame>
      <xdr:nvGraphicFramePr>
        <xdr:cNvPr id="17" name="Chart 2"/>
        <xdr:cNvGraphicFramePr/>
      </xdr:nvGraphicFramePr>
      <xdr:xfrm>
        <a:off x="20385360" y="3438360"/>
        <a:ext cx="584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38</xdr:row>
      <xdr:rowOff>0</xdr:rowOff>
    </xdr:from>
    <xdr:to>
      <xdr:col>21</xdr:col>
      <xdr:colOff>405000</xdr:colOff>
      <xdr:row>61</xdr:row>
      <xdr:rowOff>153360</xdr:rowOff>
    </xdr:to>
    <xdr:graphicFrame>
      <xdr:nvGraphicFramePr>
        <xdr:cNvPr id="18" name="Chart 3"/>
        <xdr:cNvGraphicFramePr/>
      </xdr:nvGraphicFramePr>
      <xdr:xfrm>
        <a:off x="20385360" y="6877080"/>
        <a:ext cx="5845680" cy="431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178200</xdr:rowOff>
    </xdr:to>
    <xdr:graphicFrame>
      <xdr:nvGraphicFramePr>
        <xdr:cNvPr id="19" name="Chart 1"/>
        <xdr:cNvGraphicFramePr/>
      </xdr:nvGraphicFramePr>
      <xdr:xfrm>
        <a:off x="1001124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600120</xdr:colOff>
      <xdr:row>22</xdr:row>
      <xdr:rowOff>114480</xdr:rowOff>
    </xdr:from>
    <xdr:to>
      <xdr:col>21</xdr:col>
      <xdr:colOff>357840</xdr:colOff>
      <xdr:row>46</xdr:row>
      <xdr:rowOff>102240</xdr:rowOff>
    </xdr:to>
    <xdr:graphicFrame>
      <xdr:nvGraphicFramePr>
        <xdr:cNvPr id="20" name="Chart 2"/>
        <xdr:cNvGraphicFramePr/>
      </xdr:nvGraphicFramePr>
      <xdr:xfrm>
        <a:off x="9931320" y="4067280"/>
        <a:ext cx="58784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46</xdr:row>
      <xdr:rowOff>63000</xdr:rowOff>
    </xdr:from>
    <xdr:to>
      <xdr:col>21</xdr:col>
      <xdr:colOff>294120</xdr:colOff>
      <xdr:row>71</xdr:row>
      <xdr:rowOff>3240</xdr:rowOff>
    </xdr:to>
    <xdr:graphicFrame>
      <xdr:nvGraphicFramePr>
        <xdr:cNvPr id="21" name="Chart 3"/>
        <xdr:cNvGraphicFramePr/>
      </xdr:nvGraphicFramePr>
      <xdr:xfrm>
        <a:off x="10011240" y="8340120"/>
        <a:ext cx="5734800" cy="423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14</xdr:row>
      <xdr:rowOff>178200</xdr:rowOff>
    </xdr:to>
    <xdr:graphicFrame>
      <xdr:nvGraphicFramePr>
        <xdr:cNvPr id="22" name="Chart 1"/>
        <xdr:cNvGraphicFramePr/>
      </xdr:nvGraphicFramePr>
      <xdr:xfrm>
        <a:off x="1061208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178200</xdr:rowOff>
    </xdr:to>
    <xdr:graphicFrame>
      <xdr:nvGraphicFramePr>
        <xdr:cNvPr id="23" name="Chart 2"/>
        <xdr:cNvGraphicFramePr/>
      </xdr:nvGraphicFramePr>
      <xdr:xfrm>
        <a:off x="10612080" y="541980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552600</xdr:colOff>
      <xdr:row>43</xdr:row>
      <xdr:rowOff>82080</xdr:rowOff>
    </xdr:from>
    <xdr:to>
      <xdr:col>21</xdr:col>
      <xdr:colOff>199080</xdr:colOff>
      <xdr:row>67</xdr:row>
      <xdr:rowOff>168840</xdr:rowOff>
    </xdr:to>
    <xdr:graphicFrame>
      <xdr:nvGraphicFramePr>
        <xdr:cNvPr id="24" name="Chart 3"/>
        <xdr:cNvGraphicFramePr/>
      </xdr:nvGraphicFramePr>
      <xdr:xfrm>
        <a:off x="10484640" y="9816480"/>
        <a:ext cx="5767200" cy="423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0</xdr:row>
      <xdr:rowOff>0</xdr:rowOff>
    </xdr:from>
    <xdr:to>
      <xdr:col>22</xdr:col>
      <xdr:colOff>408600</xdr:colOff>
      <xdr:row>23</xdr:row>
      <xdr:rowOff>113400</xdr:rowOff>
    </xdr:to>
    <xdr:graphicFrame>
      <xdr:nvGraphicFramePr>
        <xdr:cNvPr id="25" name="Chart 1"/>
        <xdr:cNvGraphicFramePr/>
      </xdr:nvGraphicFramePr>
      <xdr:xfrm>
        <a:off x="11132280" y="0"/>
        <a:ext cx="5849280" cy="424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25</xdr:row>
      <xdr:rowOff>123840</xdr:rowOff>
    </xdr:from>
    <xdr:to>
      <xdr:col>22</xdr:col>
      <xdr:colOff>408600</xdr:colOff>
      <xdr:row>48</xdr:row>
      <xdr:rowOff>56160</xdr:rowOff>
    </xdr:to>
    <xdr:graphicFrame>
      <xdr:nvGraphicFramePr>
        <xdr:cNvPr id="26" name="Chart 2"/>
        <xdr:cNvGraphicFramePr/>
      </xdr:nvGraphicFramePr>
      <xdr:xfrm>
        <a:off x="11132280" y="4600440"/>
        <a:ext cx="5849280" cy="387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48</xdr:row>
      <xdr:rowOff>38160</xdr:rowOff>
    </xdr:from>
    <xdr:to>
      <xdr:col>22</xdr:col>
      <xdr:colOff>408600</xdr:colOff>
      <xdr:row>70</xdr:row>
      <xdr:rowOff>141840</xdr:rowOff>
    </xdr:to>
    <xdr:graphicFrame>
      <xdr:nvGraphicFramePr>
        <xdr:cNvPr id="27" name="Chart 3"/>
        <xdr:cNvGraphicFramePr/>
      </xdr:nvGraphicFramePr>
      <xdr:xfrm>
        <a:off x="11132280" y="8458200"/>
        <a:ext cx="5849280" cy="387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14</xdr:row>
      <xdr:rowOff>158760</xdr:rowOff>
    </xdr:to>
    <xdr:graphicFrame>
      <xdr:nvGraphicFramePr>
        <xdr:cNvPr id="28" name="Chart 1"/>
        <xdr:cNvGraphicFramePr/>
      </xdr:nvGraphicFramePr>
      <xdr:xfrm>
        <a:off x="10662120" y="0"/>
        <a:ext cx="5846040" cy="429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43</xdr:row>
      <xdr:rowOff>96120</xdr:rowOff>
    </xdr:to>
    <xdr:graphicFrame>
      <xdr:nvGraphicFramePr>
        <xdr:cNvPr id="29" name="Chart 2"/>
        <xdr:cNvGraphicFramePr/>
      </xdr:nvGraphicFramePr>
      <xdr:xfrm>
        <a:off x="10662120" y="5419800"/>
        <a:ext cx="5846040" cy="422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36</xdr:row>
      <xdr:rowOff>83880</xdr:rowOff>
    </xdr:from>
    <xdr:to>
      <xdr:col>21</xdr:col>
      <xdr:colOff>405360</xdr:colOff>
      <xdr:row>61</xdr:row>
      <xdr:rowOff>18000</xdr:rowOff>
    </xdr:to>
    <xdr:graphicFrame>
      <xdr:nvGraphicFramePr>
        <xdr:cNvPr id="30" name="Chart 3"/>
        <xdr:cNvGraphicFramePr/>
      </xdr:nvGraphicFramePr>
      <xdr:xfrm>
        <a:off x="10662120" y="8427960"/>
        <a:ext cx="5846040" cy="422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178200</xdr:rowOff>
    </xdr:to>
    <xdr:graphicFrame>
      <xdr:nvGraphicFramePr>
        <xdr:cNvPr id="31" name="Chart 1"/>
        <xdr:cNvGraphicFramePr/>
      </xdr:nvGraphicFramePr>
      <xdr:xfrm>
        <a:off x="888120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178200</xdr:rowOff>
    </xdr:to>
    <xdr:graphicFrame>
      <xdr:nvGraphicFramePr>
        <xdr:cNvPr id="32" name="Chart 2"/>
        <xdr:cNvGraphicFramePr/>
      </xdr:nvGraphicFramePr>
      <xdr:xfrm>
        <a:off x="8881200" y="3419640"/>
        <a:ext cx="584604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167400</xdr:rowOff>
    </xdr:from>
    <xdr:to>
      <xdr:col>21</xdr:col>
      <xdr:colOff>405360</xdr:colOff>
      <xdr:row>62</xdr:row>
      <xdr:rowOff>44640</xdr:rowOff>
    </xdr:to>
    <xdr:graphicFrame>
      <xdr:nvGraphicFramePr>
        <xdr:cNvPr id="33" name="Chart 3"/>
        <xdr:cNvGraphicFramePr/>
      </xdr:nvGraphicFramePr>
      <xdr:xfrm>
        <a:off x="8881200" y="6815880"/>
        <a:ext cx="5846040" cy="425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178200</xdr:rowOff>
    </xdr:to>
    <xdr:graphicFrame>
      <xdr:nvGraphicFramePr>
        <xdr:cNvPr id="34" name="Chart 1"/>
        <xdr:cNvGraphicFramePr/>
      </xdr:nvGraphicFramePr>
      <xdr:xfrm>
        <a:off x="888120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178200</xdr:rowOff>
    </xdr:to>
    <xdr:graphicFrame>
      <xdr:nvGraphicFramePr>
        <xdr:cNvPr id="35" name="Chart 2"/>
        <xdr:cNvGraphicFramePr/>
      </xdr:nvGraphicFramePr>
      <xdr:xfrm>
        <a:off x="8881200" y="3419640"/>
        <a:ext cx="584604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167400</xdr:rowOff>
    </xdr:from>
    <xdr:to>
      <xdr:col>21</xdr:col>
      <xdr:colOff>405360</xdr:colOff>
      <xdr:row>62</xdr:row>
      <xdr:rowOff>44640</xdr:rowOff>
    </xdr:to>
    <xdr:graphicFrame>
      <xdr:nvGraphicFramePr>
        <xdr:cNvPr id="36" name="Chart 3"/>
        <xdr:cNvGraphicFramePr/>
      </xdr:nvGraphicFramePr>
      <xdr:xfrm>
        <a:off x="8881200" y="6815880"/>
        <a:ext cx="5846040" cy="425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149400</xdr:rowOff>
    </xdr:to>
    <xdr:graphicFrame>
      <xdr:nvGraphicFramePr>
        <xdr:cNvPr id="37" name="Chart 1"/>
        <xdr:cNvGraphicFramePr/>
      </xdr:nvGraphicFramePr>
      <xdr:xfrm>
        <a:off x="8881200" y="0"/>
        <a:ext cx="584604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130680</xdr:rowOff>
    </xdr:to>
    <xdr:graphicFrame>
      <xdr:nvGraphicFramePr>
        <xdr:cNvPr id="38" name="Chart 2"/>
        <xdr:cNvGraphicFramePr/>
      </xdr:nvGraphicFramePr>
      <xdr:xfrm>
        <a:off x="8881200" y="341964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167400</xdr:rowOff>
    </xdr:from>
    <xdr:to>
      <xdr:col>21</xdr:col>
      <xdr:colOff>405360</xdr:colOff>
      <xdr:row>62</xdr:row>
      <xdr:rowOff>44640</xdr:rowOff>
    </xdr:to>
    <xdr:graphicFrame>
      <xdr:nvGraphicFramePr>
        <xdr:cNvPr id="39" name="Chart 3"/>
        <xdr:cNvGraphicFramePr/>
      </xdr:nvGraphicFramePr>
      <xdr:xfrm>
        <a:off x="8881200" y="6863400"/>
        <a:ext cx="5846040" cy="425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170280</xdr:rowOff>
    </xdr:to>
    <xdr:graphicFrame>
      <xdr:nvGraphicFramePr>
        <xdr:cNvPr id="40" name="Chart 1"/>
        <xdr:cNvGraphicFramePr/>
      </xdr:nvGraphicFramePr>
      <xdr:xfrm>
        <a:off x="10991880" y="0"/>
        <a:ext cx="5846040" cy="43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43</xdr:row>
      <xdr:rowOff>79200</xdr:rowOff>
    </xdr:to>
    <xdr:graphicFrame>
      <xdr:nvGraphicFramePr>
        <xdr:cNvPr id="41" name="Chart 2"/>
        <xdr:cNvGraphicFramePr/>
      </xdr:nvGraphicFramePr>
      <xdr:xfrm>
        <a:off x="10991880" y="3419640"/>
        <a:ext cx="5846040" cy="423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19080</xdr:colOff>
      <xdr:row>43</xdr:row>
      <xdr:rowOff>95400</xdr:rowOff>
    </xdr:from>
    <xdr:to>
      <xdr:col>21</xdr:col>
      <xdr:colOff>424440</xdr:colOff>
      <xdr:row>68</xdr:row>
      <xdr:rowOff>1080</xdr:rowOff>
    </xdr:to>
    <xdr:graphicFrame>
      <xdr:nvGraphicFramePr>
        <xdr:cNvPr id="42" name="Chart 3"/>
        <xdr:cNvGraphicFramePr/>
      </xdr:nvGraphicFramePr>
      <xdr:xfrm>
        <a:off x="11010960" y="7667640"/>
        <a:ext cx="5846040" cy="422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170280</xdr:rowOff>
    </xdr:to>
    <xdr:graphicFrame>
      <xdr:nvGraphicFramePr>
        <xdr:cNvPr id="43" name="Chart 1"/>
        <xdr:cNvGraphicFramePr/>
      </xdr:nvGraphicFramePr>
      <xdr:xfrm>
        <a:off x="11261880" y="0"/>
        <a:ext cx="5846040" cy="43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43</xdr:row>
      <xdr:rowOff>84960</xdr:rowOff>
    </xdr:to>
    <xdr:graphicFrame>
      <xdr:nvGraphicFramePr>
        <xdr:cNvPr id="44" name="Chart 2"/>
        <xdr:cNvGraphicFramePr/>
      </xdr:nvGraphicFramePr>
      <xdr:xfrm>
        <a:off x="11261880" y="3419640"/>
        <a:ext cx="5846040" cy="422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43</xdr:row>
      <xdr:rowOff>91080</xdr:rowOff>
    </xdr:from>
    <xdr:to>
      <xdr:col>21</xdr:col>
      <xdr:colOff>405360</xdr:colOff>
      <xdr:row>67</xdr:row>
      <xdr:rowOff>177840</xdr:rowOff>
    </xdr:to>
    <xdr:graphicFrame>
      <xdr:nvGraphicFramePr>
        <xdr:cNvPr id="45" name="Chart 3"/>
        <xdr:cNvGraphicFramePr/>
      </xdr:nvGraphicFramePr>
      <xdr:xfrm>
        <a:off x="11261880" y="7653960"/>
        <a:ext cx="5846040" cy="422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170280</xdr:rowOff>
    </xdr:to>
    <xdr:graphicFrame>
      <xdr:nvGraphicFramePr>
        <xdr:cNvPr id="46" name="Chart 1"/>
        <xdr:cNvGraphicFramePr/>
      </xdr:nvGraphicFramePr>
      <xdr:xfrm>
        <a:off x="10611360" y="0"/>
        <a:ext cx="5846040" cy="43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43</xdr:row>
      <xdr:rowOff>84960</xdr:rowOff>
    </xdr:to>
    <xdr:graphicFrame>
      <xdr:nvGraphicFramePr>
        <xdr:cNvPr id="47" name="Chart 2"/>
        <xdr:cNvGraphicFramePr/>
      </xdr:nvGraphicFramePr>
      <xdr:xfrm>
        <a:off x="10611360" y="3419640"/>
        <a:ext cx="5846040" cy="422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466560</xdr:colOff>
      <xdr:row>44</xdr:row>
      <xdr:rowOff>43560</xdr:rowOff>
    </xdr:from>
    <xdr:to>
      <xdr:col>23</xdr:col>
      <xdr:colOff>224280</xdr:colOff>
      <xdr:row>68</xdr:row>
      <xdr:rowOff>120960</xdr:rowOff>
    </xdr:to>
    <xdr:graphicFrame>
      <xdr:nvGraphicFramePr>
        <xdr:cNvPr id="48" name="Chart 3"/>
        <xdr:cNvGraphicFramePr/>
      </xdr:nvGraphicFramePr>
      <xdr:xfrm>
        <a:off x="11757960" y="7777800"/>
        <a:ext cx="5878800" cy="42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159120</xdr:rowOff>
    </xdr:to>
    <xdr:graphicFrame>
      <xdr:nvGraphicFramePr>
        <xdr:cNvPr id="49" name="Chart 1"/>
        <xdr:cNvGraphicFramePr/>
      </xdr:nvGraphicFramePr>
      <xdr:xfrm>
        <a:off x="888120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140040</xdr:rowOff>
    </xdr:to>
    <xdr:graphicFrame>
      <xdr:nvGraphicFramePr>
        <xdr:cNvPr id="50" name="Chart 2"/>
        <xdr:cNvGraphicFramePr/>
      </xdr:nvGraphicFramePr>
      <xdr:xfrm>
        <a:off x="8881200" y="3419640"/>
        <a:ext cx="584604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167760</xdr:rowOff>
    </xdr:from>
    <xdr:to>
      <xdr:col>21</xdr:col>
      <xdr:colOff>405360</xdr:colOff>
      <xdr:row>62</xdr:row>
      <xdr:rowOff>44640</xdr:rowOff>
    </xdr:to>
    <xdr:graphicFrame>
      <xdr:nvGraphicFramePr>
        <xdr:cNvPr id="51" name="Chart 3"/>
        <xdr:cNvGraphicFramePr/>
      </xdr:nvGraphicFramePr>
      <xdr:xfrm>
        <a:off x="8881200" y="6854400"/>
        <a:ext cx="5846040" cy="42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0</xdr:row>
      <xdr:rowOff>0</xdr:rowOff>
    </xdr:from>
    <xdr:to>
      <xdr:col>21</xdr:col>
      <xdr:colOff>405360</xdr:colOff>
      <xdr:row>23</xdr:row>
      <xdr:rowOff>159120</xdr:rowOff>
    </xdr:to>
    <xdr:graphicFrame>
      <xdr:nvGraphicFramePr>
        <xdr:cNvPr id="52" name="Chart 1"/>
        <xdr:cNvGraphicFramePr/>
      </xdr:nvGraphicFramePr>
      <xdr:xfrm>
        <a:off x="8881200" y="0"/>
        <a:ext cx="584604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18</xdr:row>
      <xdr:rowOff>162000</xdr:rowOff>
    </xdr:from>
    <xdr:to>
      <xdr:col>21</xdr:col>
      <xdr:colOff>405360</xdr:colOff>
      <xdr:row>42</xdr:row>
      <xdr:rowOff>140040</xdr:rowOff>
    </xdr:to>
    <xdr:graphicFrame>
      <xdr:nvGraphicFramePr>
        <xdr:cNvPr id="53" name="Chart 2"/>
        <xdr:cNvGraphicFramePr/>
      </xdr:nvGraphicFramePr>
      <xdr:xfrm>
        <a:off x="8881200" y="3419640"/>
        <a:ext cx="5846040" cy="43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37</xdr:row>
      <xdr:rowOff>167760</xdr:rowOff>
    </xdr:from>
    <xdr:to>
      <xdr:col>21</xdr:col>
      <xdr:colOff>405360</xdr:colOff>
      <xdr:row>62</xdr:row>
      <xdr:rowOff>44640</xdr:rowOff>
    </xdr:to>
    <xdr:graphicFrame>
      <xdr:nvGraphicFramePr>
        <xdr:cNvPr id="54" name="Chart 3"/>
        <xdr:cNvGraphicFramePr/>
      </xdr:nvGraphicFramePr>
      <xdr:xfrm>
        <a:off x="8881200" y="6854400"/>
        <a:ext cx="5846040" cy="42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991"/>
  <sheetViews>
    <sheetView showFormulas="false" showGridLines="true" showRowColHeaders="true" showZeros="true" rightToLeft="false" tabSelected="false" showOutlineSymbols="true" defaultGridColor="true" view="normal" topLeftCell="A220" colorId="64" zoomScale="100" zoomScaleNormal="100" zoomScalePageLayoutView="100" workbookViewId="0">
      <selection pane="topLeft" activeCell="J13" activeCellId="1" sqref="B39:F39 J13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10" min="6" style="1" width="14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f aca="false">IFERROR('dens_visc_beta+2m3b2oh'!B22,"")</f>
        <v>20</v>
      </c>
      <c r="G2" s="3" t="n">
        <f aca="false">IFERROR('dens_visc_beta+2m3b2oh'!A23,"")</f>
        <v>0</v>
      </c>
      <c r="H2" s="1" t="n">
        <f aca="false">IFERROR('dens_visc_beta+2m3b2oh'!B23,"")</f>
        <v>0.82388</v>
      </c>
      <c r="I2" s="3" t="n">
        <f aca="false">IFERROR('dens_visc_beta+2m3b2oh'!G23,"")</f>
        <v>0</v>
      </c>
      <c r="J2" s="1" t="n">
        <f aca="false">IFERROR('dens_visc_beta+2m3b2oh'!B37,"")</f>
        <v>2.353</v>
      </c>
      <c r="K2" s="1" t="str">
        <f aca="false">IF(AND(ISNUMBER(H2),ISNUMBER(I2),ISNUMBER(J2)),"✓",COUNTIF(H2:J2,"&gt;-999")&amp;"/3")</f>
        <v>✓</v>
      </c>
    </row>
    <row r="3" customFormat="false" ht="15" hidden="false" customHeight="true" outlineLevel="0" collapsed="false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n">
        <f aca="false">IFERROR('dens_visc_beta+2m3b2oh'!B22,"")</f>
        <v>20</v>
      </c>
      <c r="G3" s="3" t="n">
        <f aca="false">IFERROR('dens_visc_beta+2m3b2oh'!A24,"")</f>
        <v>0.0996094454144295</v>
      </c>
      <c r="H3" s="1" t="n">
        <f aca="false">IFERROR('dens_visc_beta+2m3b2oh'!B24,"")</f>
        <v>0.84735</v>
      </c>
      <c r="I3" s="3" t="n">
        <f aca="false">IFERROR('dens_visc_beta+2m3b2oh'!G24,"")</f>
        <v>-0.271695920032798</v>
      </c>
      <c r="J3" s="1" t="n">
        <f aca="false">IFERROR('dens_visc_beta+2m3b2oh'!B38,"")</f>
        <v>2.826</v>
      </c>
      <c r="K3" s="1" t="str">
        <f aca="false">IF(AND(ISNUMBER(H3),ISNUMBER(I3),ISNUMBER(J3)),"✓",COUNTIF(H3:J3,"&gt;-999")&amp;"/3")</f>
        <v>✓</v>
      </c>
    </row>
    <row r="4" customFormat="false" ht="15" hidden="false" customHeight="true" outlineLevel="0" collapsed="false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n">
        <f aca="false">IFERROR('dens_visc_beta+2m3b2oh'!B22,"")</f>
        <v>20</v>
      </c>
      <c r="G4" s="3" t="n">
        <f aca="false">IFERROR('dens_visc_beta+2m3b2oh'!A25,"")</f>
        <v>0.197283787779712</v>
      </c>
      <c r="H4" s="1" t="n">
        <f aca="false">IFERROR('dens_visc_beta+2m3b2oh'!B25,"")</f>
        <v>0.86523</v>
      </c>
      <c r="I4" s="3" t="n">
        <f aca="false">IFERROR('dens_visc_beta+2m3b2oh'!G25,"")</f>
        <v>-0.310093677581023</v>
      </c>
      <c r="J4" s="1" t="n">
        <f aca="false">IFERROR('dens_visc_beta+2m3b2oh'!B39,"")</f>
        <v>3.278</v>
      </c>
      <c r="K4" s="1" t="str">
        <f aca="false">IF(AND(ISNUMBER(H4),ISNUMBER(I4),ISNUMBER(J4)),"✓",COUNTIF(H4:J4,"&gt;-999")&amp;"/3")</f>
        <v>✓</v>
      </c>
    </row>
    <row r="5" customFormat="false" ht="15" hidden="false" customHeight="true" outlineLevel="0" collapsed="false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n">
        <f aca="false">IFERROR('dens_visc_beta+2m3b2oh'!B22,"")</f>
        <v>20</v>
      </c>
      <c r="G5" s="3" t="n">
        <f aca="false">IFERROR('dens_visc_beta+2m3b2oh'!A26,"")</f>
        <v>0.296041685966012</v>
      </c>
      <c r="H5" s="1" t="n">
        <f aca="false">IFERROR('dens_visc_beta+2m3b2oh'!B26,"")</f>
        <v>0.88031</v>
      </c>
      <c r="I5" s="3" t="n">
        <f aca="false">IFERROR('dens_visc_beta+2m3b2oh'!G26,"")</f>
        <v>-0.29185238996547</v>
      </c>
      <c r="J5" s="1" t="n">
        <f aca="false">IFERROR('dens_visc_beta+2m3b2oh'!B40,"")</f>
        <v>3.764</v>
      </c>
      <c r="K5" s="1" t="str">
        <f aca="false">IF(AND(ISNUMBER(H5),ISNUMBER(I5),ISNUMBER(J5)),"✓",COUNTIF(H5:J5,"&gt;-999")&amp;"/3")</f>
        <v>✓</v>
      </c>
    </row>
    <row r="6" customFormat="false" ht="15" hidden="false" customHeight="tru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n">
        <f aca="false">IFERROR('dens_visc_beta+2m3b2oh'!B22,"")</f>
        <v>20</v>
      </c>
      <c r="G6" s="3" t="n">
        <f aca="false">IFERROR('dens_visc_beta+2m3b2oh'!A27,"")</f>
        <v>0.396419244613166</v>
      </c>
      <c r="H6" s="1" t="n">
        <f aca="false">IFERROR('dens_visc_beta+2m3b2oh'!B27,"")</f>
        <v>0.89316</v>
      </c>
      <c r="I6" s="3" t="n">
        <f aca="false">IFERROR('dens_visc_beta+2m3b2oh'!G27,"")</f>
        <v>-0.214093603273312</v>
      </c>
      <c r="J6" s="1" t="n">
        <f aca="false">IFERROR('dens_visc_beta+2m3b2oh'!B41,"")</f>
        <v>4.321</v>
      </c>
      <c r="K6" s="1" t="str">
        <f aca="false">IF(AND(ISNUMBER(H6),ISNUMBER(I6),ISNUMBER(J6)),"✓",COUNTIF(H6:J6,"&gt;-999")&amp;"/3")</f>
        <v>✓</v>
      </c>
    </row>
    <row r="7" customFormat="false" ht="15" hidden="false" customHeight="true" outlineLevel="0" collapsed="false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n">
        <f aca="false">IFERROR('dens_visc_beta+2m3b2oh'!B22,"")</f>
        <v>20</v>
      </c>
      <c r="G7" s="3" t="n">
        <f aca="false">IFERROR('dens_visc_beta+2m3b2oh'!A28,"")</f>
        <v>0.492444610206307</v>
      </c>
      <c r="H7" s="1" t="n">
        <f aca="false">IFERROR('dens_visc_beta+2m3b2oh'!B28,"")</f>
        <v>0.90411</v>
      </c>
      <c r="I7" s="3" t="n">
        <f aca="false">IFERROR('dens_visc_beta+2m3b2oh'!G28,"")</f>
        <v>-0.178582693303127</v>
      </c>
      <c r="J7" s="1" t="n">
        <f aca="false">IFERROR('dens_visc_beta+2m3b2oh'!B42,"")</f>
        <v>4.948</v>
      </c>
      <c r="K7" s="1" t="str">
        <f aca="false">IF(AND(ISNUMBER(H7),ISNUMBER(I7),ISNUMBER(J7)),"✓",COUNTIF(H7:J7,"&gt;-999")&amp;"/3")</f>
        <v>✓</v>
      </c>
    </row>
    <row r="8" customFormat="false" ht="15" hidden="false" customHeight="true" outlineLevel="0" collapsed="false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n">
        <f aca="false">IFERROR('dens_visc_beta+2m3b2oh'!B22,"")</f>
        <v>20</v>
      </c>
      <c r="G8" s="3" t="n">
        <f aca="false">IFERROR('dens_visc_beta+2m3b2oh'!A29,"")</f>
        <v>0.595292092953273</v>
      </c>
      <c r="H8" s="1" t="n">
        <f aca="false">IFERROR('dens_visc_beta+2m3b2oh'!B29,"")</f>
        <v>0.91437</v>
      </c>
      <c r="I8" s="3" t="n">
        <f aca="false">IFERROR('dens_visc_beta+2m3b2oh'!G29,"")</f>
        <v>-0.131727406842543</v>
      </c>
      <c r="J8" s="1" t="n">
        <f aca="false">IFERROR('dens_visc_beta+2m3b2oh'!B43,"")</f>
        <v>5.757</v>
      </c>
      <c r="K8" s="1" t="str">
        <f aca="false">IF(AND(ISNUMBER(H8),ISNUMBER(I8),ISNUMBER(J8)),"✓",COUNTIF(H8:J8,"&gt;-999")&amp;"/3")</f>
        <v>✓</v>
      </c>
    </row>
    <row r="9" customFormat="false" ht="15" hidden="false" customHeight="true" outlineLevel="0" collapsed="false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n">
        <f aca="false">IFERROR('dens_visc_beta+2m3b2oh'!B22,"")</f>
        <v>20</v>
      </c>
      <c r="G9" s="3" t="n">
        <f aca="false">IFERROR('dens_visc_beta+2m3b2oh'!A30,"")</f>
        <v>0.694045700879001</v>
      </c>
      <c r="H9" s="1" t="n">
        <f aca="false">IFERROR('dens_visc_beta+2m3b2oh'!B30,"")</f>
        <v>0.92296</v>
      </c>
      <c r="I9" s="3" t="n">
        <f aca="false">IFERROR('dens_visc_beta+2m3b2oh'!G30,"")</f>
        <v>-0.0639973048383524</v>
      </c>
      <c r="J9" s="1" t="n">
        <f aca="false">IFERROR('dens_visc_beta+2m3b2oh'!B44,"")</f>
        <v>6.687</v>
      </c>
      <c r="K9" s="1" t="str">
        <f aca="false">IF(AND(ISNUMBER(H9),ISNUMBER(I9),ISNUMBER(J9)),"✓",COUNTIF(H9:J9,"&gt;-999")&amp;"/3")</f>
        <v>✓</v>
      </c>
    </row>
    <row r="10" customFormat="false" ht="15" hidden="false" customHeight="true" outlineLevel="0" collapsed="false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n">
        <f aca="false">IFERROR('dens_visc_beta+2m3b2oh'!B22,"")</f>
        <v>20</v>
      </c>
      <c r="G10" s="3" t="n">
        <f aca="false">IFERROR('dens_visc_beta+2m3b2oh'!A31,"")</f>
        <v>0.797345611911684</v>
      </c>
      <c r="H10" s="1" t="n">
        <f aca="false">IFERROR('dens_visc_beta+2m3b2oh'!B31,"")</f>
        <v>0.93115</v>
      </c>
      <c r="I10" s="3" t="n">
        <f aca="false">IFERROR('dens_visc_beta+2m3b2oh'!G31,"")</f>
        <v>-0.0307102492322997</v>
      </c>
      <c r="J10" s="1" t="n">
        <f aca="false">IFERROR('dens_visc_beta+2m3b2oh'!B45,"")</f>
        <v>7.915</v>
      </c>
      <c r="K10" s="1" t="str">
        <f aca="false">IF(AND(ISNUMBER(H10),ISNUMBER(I10),ISNUMBER(J10)),"✓",COUNTIF(H10:J10,"&gt;-999")&amp;"/3")</f>
        <v>✓</v>
      </c>
    </row>
    <row r="11" customFormat="false" ht="15" hidden="false" customHeight="true" outlineLevel="0" collapsed="false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n">
        <f aca="false">IFERROR('dens_visc_beta+2m3b2oh'!B22,"")</f>
        <v>20</v>
      </c>
      <c r="G11" s="3" t="n">
        <f aca="false">IFERROR('dens_visc_beta+2m3b2oh'!A32,"")</f>
        <v>0.897192362325708</v>
      </c>
      <c r="H11" s="1" t="n">
        <f aca="false">IFERROR('dens_visc_beta+2m3b2oh'!B32,"")</f>
        <v>0.93847</v>
      </c>
      <c r="I11" s="3" t="n">
        <f aca="false">IFERROR('dens_visc_beta+2m3b2oh'!G32,"")</f>
        <v>-0.0458342825775731</v>
      </c>
      <c r="J11" s="1" t="n">
        <f aca="false">IFERROR('dens_visc_beta+2m3b2oh'!B46,"")</f>
        <v>9.388</v>
      </c>
      <c r="K11" s="1" t="str">
        <f aca="false">IF(AND(ISNUMBER(H11),ISNUMBER(I11),ISNUMBER(J11)),"✓",COUNTIF(H11:J11,"&gt;-999")&amp;"/3")</f>
        <v>✓</v>
      </c>
    </row>
    <row r="12" customFormat="false" ht="15" hidden="false" customHeight="true" outlineLevel="0" collapsed="false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n">
        <f aca="false">IFERROR('dens_visc_beta+2m3b2oh'!B22,"")</f>
        <v>20</v>
      </c>
      <c r="G12" s="3" t="n">
        <f aca="false">IFERROR('dens_visc_beta+2m3b2oh'!A33,"")</f>
        <v>1</v>
      </c>
      <c r="H12" s="1" t="n">
        <f aca="false">IFERROR('dens_visc_beta+2m3b2oh'!B33,"")</f>
        <v>0.94498</v>
      </c>
      <c r="I12" s="3" t="n">
        <f aca="false">IFERROR('dens_visc_beta+2m3b2oh'!G33,"")</f>
        <v>0</v>
      </c>
      <c r="J12" s="1" t="n">
        <f aca="false">IFERROR('dens_visc_beta+2m3b2oh'!B47,"")</f>
        <v>11.31</v>
      </c>
      <c r="K12" s="1" t="str">
        <f aca="false">IF(AND(ISNUMBER(H12),ISNUMBER(I12),ISNUMBER(J12)),"✓",COUNTIF(H12:J12,"&gt;-999")&amp;"/3")</f>
        <v>✓</v>
      </c>
    </row>
    <row r="13" customFormat="false" ht="15" hidden="false" customHeight="true" outlineLevel="0" collapsed="false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n">
        <f aca="false">IFERROR('dens_visc_beta+2m3b2oh'!C22,"")</f>
        <v>30</v>
      </c>
      <c r="G13" s="3" t="n">
        <f aca="false">IFERROR('dens_visc_beta+2m3b2oh'!A23,"")</f>
        <v>0</v>
      </c>
      <c r="H13" s="1" t="n">
        <f aca="false">IFERROR('dens_visc_beta+2m3b2oh'!C23,"")</f>
        <v>0.81447</v>
      </c>
      <c r="I13" s="3" t="n">
        <f aca="false">IFERROR('dens_visc_beta+2m3b2oh'!H23,"")</f>
        <v>0</v>
      </c>
      <c r="J13" s="1" t="n">
        <f aca="false">IFERROR('dens_visc_beta+2m3b2oh'!C37,"")</f>
        <v>1.682</v>
      </c>
      <c r="K13" s="1" t="str">
        <f aca="false">IF(AND(ISNUMBER(H13),ISNUMBER(I13),ISNUMBER(J13)),"✓",COUNTIF(H13:J13,"&gt;-999")&amp;"/3")</f>
        <v>✓</v>
      </c>
    </row>
    <row r="14" customFormat="false" ht="15" hidden="false" customHeight="true" outlineLevel="0" collapsed="false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n">
        <f aca="false">IFERROR('dens_visc_beta+2m3b2oh'!C22,"")</f>
        <v>30</v>
      </c>
      <c r="G14" s="3" t="n">
        <f aca="false">IFERROR('dens_visc_beta+2m3b2oh'!A24,"")</f>
        <v>0.0996094454144295</v>
      </c>
      <c r="H14" s="1" t="n">
        <f aca="false">IFERROR('dens_visc_beta+2m3b2oh'!C24,"")</f>
        <v>0.83789</v>
      </c>
      <c r="I14" s="3" t="n">
        <f aca="false">IFERROR('dens_visc_beta+2m3b2oh'!H24,"")</f>
        <v>-0.237649073052296</v>
      </c>
      <c r="J14" s="1" t="n">
        <f aca="false">IFERROR('dens_visc_beta+2m3b2oh'!C38,"")</f>
        <v>2.021</v>
      </c>
      <c r="K14" s="1" t="str">
        <f aca="false">IF(AND(ISNUMBER(H14),ISNUMBER(I14),ISNUMBER(J14)),"✓",COUNTIF(H14:J14,"&gt;-999")&amp;"/3")</f>
        <v>✓</v>
      </c>
    </row>
    <row r="15" customFormat="false" ht="15" hidden="false" customHeight="true" outlineLevel="0" collapsed="false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n">
        <f aca="false">IFERROR('dens_visc_beta+2m3b2oh'!C22,"")</f>
        <v>30</v>
      </c>
      <c r="G15" s="3" t="n">
        <f aca="false">IFERROR('dens_visc_beta+2m3b2oh'!A25,"")</f>
        <v>0.197283787779712</v>
      </c>
      <c r="H15" s="1" t="n">
        <f aca="false">IFERROR('dens_visc_beta+2m3b2oh'!C25,"")</f>
        <v>0.85629</v>
      </c>
      <c r="I15" s="3" t="n">
        <f aca="false">IFERROR('dens_visc_beta+2m3b2oh'!H25,"")</f>
        <v>-0.31827545987629</v>
      </c>
      <c r="J15" s="1" t="n">
        <f aca="false">IFERROR('dens_visc_beta+2m3b2oh'!C39,"")</f>
        <v>2.35</v>
      </c>
      <c r="K15" s="1" t="str">
        <f aca="false">IF(AND(ISNUMBER(H15),ISNUMBER(I15),ISNUMBER(J15)),"✓",COUNTIF(H15:J15,"&gt;-999")&amp;"/3")</f>
        <v>✓</v>
      </c>
    </row>
    <row r="16" customFormat="false" ht="15" hidden="false" customHeight="true" outlineLevel="0" collapsed="false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15</v>
      </c>
      <c r="F16" s="1" t="n">
        <f aca="false">IFERROR('dens_visc_beta+2m3b2oh'!C22,"")</f>
        <v>30</v>
      </c>
      <c r="G16" s="3" t="n">
        <f aca="false">IFERROR('dens_visc_beta+2m3b2oh'!A26,"")</f>
        <v>0.296041685966012</v>
      </c>
      <c r="H16" s="1" t="n">
        <f aca="false">IFERROR('dens_visc_beta+2m3b2oh'!C26,"")</f>
        <v>0.87163</v>
      </c>
      <c r="I16" s="3" t="n">
        <f aca="false">IFERROR('dens_visc_beta+2m3b2oh'!H26,"")</f>
        <v>-0.308438717383467</v>
      </c>
      <c r="J16" s="1" t="n">
        <f aca="false">IFERROR('dens_visc_beta+2m3b2oh'!C40,"")</f>
        <v>2.698</v>
      </c>
      <c r="K16" s="1" t="str">
        <f aca="false">IF(AND(ISNUMBER(H16),ISNUMBER(I16),ISNUMBER(J16)),"✓",COUNTIF(H16:J16,"&gt;-999")&amp;"/3")</f>
        <v>✓</v>
      </c>
    </row>
    <row r="17" customFormat="false" ht="15" hidden="false" customHeight="true" outlineLevel="0" collapsed="false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n">
        <f aca="false">IFERROR('dens_visc_beta+2m3b2oh'!C22,"")</f>
        <v>30</v>
      </c>
      <c r="G17" s="3" t="n">
        <f aca="false">IFERROR('dens_visc_beta+2m3b2oh'!A27,"")</f>
        <v>0.396419244613166</v>
      </c>
      <c r="H17" s="1" t="n">
        <f aca="false">IFERROR('dens_visc_beta+2m3b2oh'!C27,"")</f>
        <v>0.8848</v>
      </c>
      <c r="I17" s="3" t="n">
        <f aca="false">IFERROR('dens_visc_beta+2m3b2oh'!H27,"")</f>
        <v>-0.251198152745076</v>
      </c>
      <c r="J17" s="1" t="n">
        <f aca="false">IFERROR('dens_visc_beta+2m3b2oh'!C41,"")</f>
        <v>3.087</v>
      </c>
      <c r="K17" s="1" t="str">
        <f aca="false">IF(AND(ISNUMBER(H17),ISNUMBER(I17),ISNUMBER(J17)),"✓",COUNTIF(H17:J17,"&gt;-999")&amp;"/3")</f>
        <v>✓</v>
      </c>
    </row>
    <row r="18" customFormat="false" ht="15" hidden="false" customHeight="true" outlineLevel="0" collapsed="false">
      <c r="A18" s="1" t="s">
        <v>11</v>
      </c>
      <c r="B18" s="1" t="s">
        <v>12</v>
      </c>
      <c r="C18" s="1" t="s">
        <v>13</v>
      </c>
      <c r="D18" s="1" t="s">
        <v>14</v>
      </c>
      <c r="E18" s="1" t="s">
        <v>15</v>
      </c>
      <c r="F18" s="1" t="n">
        <f aca="false">IFERROR('dens_visc_beta+2m3b2oh'!C22,"")</f>
        <v>30</v>
      </c>
      <c r="G18" s="3" t="n">
        <f aca="false">IFERROR('dens_visc_beta+2m3b2oh'!A28,"")</f>
        <v>0.492444610206307</v>
      </c>
      <c r="H18" s="1" t="n">
        <f aca="false">IFERROR('dens_visc_beta+2m3b2oh'!C28,"")</f>
        <v>0.89579</v>
      </c>
      <c r="I18" s="3" t="n">
        <f aca="false">IFERROR('dens_visc_beta+2m3b2oh'!H28,"")</f>
        <v>-0.195124719634947</v>
      </c>
      <c r="J18" s="1" t="n">
        <f aca="false">IFERROR('dens_visc_beta+2m3b2oh'!C42,"")</f>
        <v>3.51</v>
      </c>
      <c r="K18" s="1" t="str">
        <f aca="false">IF(AND(ISNUMBER(H18),ISNUMBER(I18),ISNUMBER(J18)),"✓",COUNTIF(H18:J18,"&gt;-999")&amp;"/3")</f>
        <v>✓</v>
      </c>
    </row>
    <row r="19" customFormat="false" ht="15" hidden="false" customHeight="true" outlineLevel="0" collapsed="false">
      <c r="A19" s="1" t="s">
        <v>11</v>
      </c>
      <c r="B19" s="1" t="s">
        <v>12</v>
      </c>
      <c r="C19" s="1" t="s">
        <v>13</v>
      </c>
      <c r="D19" s="1" t="s">
        <v>14</v>
      </c>
      <c r="E19" s="1" t="s">
        <v>15</v>
      </c>
      <c r="F19" s="1" t="n">
        <f aca="false">IFERROR('dens_visc_beta+2m3b2oh'!C22,"")</f>
        <v>30</v>
      </c>
      <c r="G19" s="3" t="n">
        <f aca="false">IFERROR('dens_visc_beta+2m3b2oh'!A29,"")</f>
        <v>0.595292092953273</v>
      </c>
      <c r="H19" s="1" t="n">
        <f aca="false">IFERROR('dens_visc_beta+2m3b2oh'!C29,"")</f>
        <v>0.90623</v>
      </c>
      <c r="I19" s="3" t="n">
        <f aca="false">IFERROR('dens_visc_beta+2m3b2oh'!H29,"")</f>
        <v>-0.151389116825783</v>
      </c>
      <c r="J19" s="1" t="n">
        <f aca="false">IFERROR('dens_visc_beta+2m3b2oh'!C43,"")</f>
        <v>4.038</v>
      </c>
      <c r="K19" s="1" t="str">
        <f aca="false">IF(AND(ISNUMBER(H19),ISNUMBER(I19),ISNUMBER(J19)),"✓",COUNTIF(H19:J19,"&gt;-999")&amp;"/3")</f>
        <v>✓</v>
      </c>
    </row>
    <row r="20" customFormat="false" ht="15" hidden="false" customHeight="true" outlineLevel="0" collapsed="false">
      <c r="A20" s="1" t="s">
        <v>11</v>
      </c>
      <c r="B20" s="1" t="s">
        <v>12</v>
      </c>
      <c r="C20" s="1" t="s">
        <v>13</v>
      </c>
      <c r="D20" s="1" t="s">
        <v>14</v>
      </c>
      <c r="E20" s="1" t="s">
        <v>15</v>
      </c>
      <c r="F20" s="1" t="n">
        <f aca="false">IFERROR('dens_visc_beta+2m3b2oh'!C22,"")</f>
        <v>30</v>
      </c>
      <c r="G20" s="3" t="n">
        <f aca="false">IFERROR('dens_visc_beta+2m3b2oh'!A30,"")</f>
        <v>0.694045700879001</v>
      </c>
      <c r="H20" s="1" t="n">
        <f aca="false">IFERROR('dens_visc_beta+2m3b2oh'!C30,"")</f>
        <v>0.91494</v>
      </c>
      <c r="I20" s="3" t="n">
        <f aca="false">IFERROR('dens_visc_beta+2m3b2oh'!H30,"")</f>
        <v>-0.079040883626476</v>
      </c>
      <c r="J20" s="1" t="n">
        <f aca="false">IFERROR('dens_visc_beta+2m3b2oh'!C44,"")</f>
        <v>4.636</v>
      </c>
      <c r="K20" s="1" t="str">
        <f aca="false">IF(AND(ISNUMBER(H20),ISNUMBER(I20),ISNUMBER(J20)),"✓",COUNTIF(H20:J20,"&gt;-999")&amp;"/3")</f>
        <v>✓</v>
      </c>
    </row>
    <row r="21" customFormat="false" ht="15" hidden="false" customHeight="true" outlineLevel="0" collapsed="false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15</v>
      </c>
      <c r="F21" s="1" t="n">
        <f aca="false">IFERROR('dens_visc_beta+2m3b2oh'!C22,"")</f>
        <v>30</v>
      </c>
      <c r="G21" s="3" t="n">
        <f aca="false">IFERROR('dens_visc_beta+2m3b2oh'!A31,"")</f>
        <v>0.797345611911684</v>
      </c>
      <c r="H21" s="1" t="n">
        <f aca="false">IFERROR('dens_visc_beta+2m3b2oh'!C31,"")</f>
        <v>0.92328</v>
      </c>
      <c r="I21" s="3" t="n">
        <f aca="false">IFERROR('dens_visc_beta+2m3b2oh'!H31,"")</f>
        <v>-0.0485586764441734</v>
      </c>
      <c r="J21" s="1" t="n">
        <f aca="false">IFERROR('dens_visc_beta+2m3b2oh'!C45,"")</f>
        <v>5.372</v>
      </c>
      <c r="K21" s="1" t="str">
        <f aca="false">IF(AND(ISNUMBER(H21),ISNUMBER(I21),ISNUMBER(J21)),"✓",COUNTIF(H21:J21,"&gt;-999")&amp;"/3")</f>
        <v>✓</v>
      </c>
    </row>
    <row r="22" customFormat="false" ht="15" hidden="false" customHeight="true" outlineLevel="0" collapsed="false">
      <c r="A22" s="1" t="s">
        <v>11</v>
      </c>
      <c r="B22" s="1" t="s">
        <v>12</v>
      </c>
      <c r="C22" s="1" t="s">
        <v>13</v>
      </c>
      <c r="D22" s="1" t="s">
        <v>14</v>
      </c>
      <c r="E22" s="1" t="s">
        <v>15</v>
      </c>
      <c r="F22" s="1" t="n">
        <f aca="false">IFERROR('dens_visc_beta+2m3b2oh'!C22,"")</f>
        <v>30</v>
      </c>
      <c r="G22" s="3" t="n">
        <f aca="false">IFERROR('dens_visc_beta+2m3b2oh'!A32,"")</f>
        <v>0.897192362325708</v>
      </c>
      <c r="H22" s="1" t="n">
        <f aca="false">IFERROR('dens_visc_beta+2m3b2oh'!C32,"")</f>
        <v>0.93065</v>
      </c>
      <c r="I22" s="3" t="n">
        <f aca="false">IFERROR('dens_visc_beta+2m3b2oh'!H32,"")</f>
        <v>-0.0497841401461301</v>
      </c>
      <c r="J22" s="1" t="n">
        <f aca="false">IFERROR('dens_visc_beta+2m3b2oh'!C46,"")</f>
        <v>6.239</v>
      </c>
      <c r="K22" s="1" t="str">
        <f aca="false">IF(AND(ISNUMBER(H22),ISNUMBER(I22),ISNUMBER(J22)),"✓",COUNTIF(H22:J22,"&gt;-999")&amp;"/3")</f>
        <v>✓</v>
      </c>
    </row>
    <row r="23" customFormat="false" ht="15" hidden="false" customHeight="true" outlineLevel="0" collapsed="false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15</v>
      </c>
      <c r="F23" s="1" t="n">
        <f aca="false">IFERROR('dens_visc_beta+2m3b2oh'!C22,"")</f>
        <v>30</v>
      </c>
      <c r="G23" s="3" t="n">
        <f aca="false">IFERROR('dens_visc_beta+2m3b2oh'!A33,"")</f>
        <v>1</v>
      </c>
      <c r="H23" s="1" t="n">
        <f aca="false">IFERROR('dens_visc_beta+2m3b2oh'!C33,"")</f>
        <v>0.93726</v>
      </c>
      <c r="I23" s="3" t="n">
        <f aca="false">IFERROR('dens_visc_beta+2m3b2oh'!H33,"")</f>
        <v>0</v>
      </c>
      <c r="J23" s="1" t="n">
        <f aca="false">IFERROR('dens_visc_beta+2m3b2oh'!C47,"")</f>
        <v>7.323</v>
      </c>
      <c r="K23" s="1" t="str">
        <f aca="false">IF(AND(ISNUMBER(H23),ISNUMBER(I23),ISNUMBER(J23)),"✓",COUNTIF(H23:J23,"&gt;-999")&amp;"/3")</f>
        <v>✓</v>
      </c>
    </row>
    <row r="24" customFormat="false" ht="15" hidden="false" customHeight="true" outlineLevel="0" collapsed="false">
      <c r="A24" s="1" t="s">
        <v>11</v>
      </c>
      <c r="B24" s="1" t="s">
        <v>12</v>
      </c>
      <c r="C24" s="1" t="s">
        <v>13</v>
      </c>
      <c r="D24" s="1" t="s">
        <v>14</v>
      </c>
      <c r="E24" s="1" t="s">
        <v>15</v>
      </c>
      <c r="F24" s="1" t="n">
        <f aca="false">IFERROR('dens_visc_beta+2m3b2oh'!D22,"")</f>
        <v>40</v>
      </c>
      <c r="G24" s="3" t="n">
        <f aca="false">IFERROR('dens_visc_beta+2m3b2oh'!A23,"")</f>
        <v>0</v>
      </c>
      <c r="H24" s="1" t="n">
        <f aca="false">IFERROR('dens_visc_beta+2m3b2oh'!D23,"")</f>
        <v>0.8047</v>
      </c>
      <c r="I24" s="3" t="n">
        <f aca="false">IFERROR('dens_visc_beta+2m3b2oh'!I23,"")</f>
        <v>0</v>
      </c>
      <c r="J24" s="1" t="n">
        <f aca="false">IFERROR('dens_visc_beta+2m3b2oh'!D37,"")</f>
        <v>1.247</v>
      </c>
      <c r="K24" s="1" t="str">
        <f aca="false">IF(AND(ISNUMBER(H24),ISNUMBER(I24),ISNUMBER(J24)),"✓",COUNTIF(H24:J24,"&gt;-999")&amp;"/3")</f>
        <v>✓</v>
      </c>
    </row>
    <row r="25" customFormat="false" ht="15" hidden="false" customHeight="true" outlineLevel="0" collapsed="false">
      <c r="A25" s="1" t="s">
        <v>11</v>
      </c>
      <c r="B25" s="1" t="s">
        <v>12</v>
      </c>
      <c r="C25" s="1" t="s">
        <v>13</v>
      </c>
      <c r="D25" s="1" t="s">
        <v>14</v>
      </c>
      <c r="E25" s="1" t="s">
        <v>15</v>
      </c>
      <c r="F25" s="1" t="n">
        <f aca="false">IFERROR('dens_visc_beta+2m3b2oh'!D22,"")</f>
        <v>40</v>
      </c>
      <c r="G25" s="3" t="n">
        <f aca="false">IFERROR('dens_visc_beta+2m3b2oh'!A24,"")</f>
        <v>0.0996094454144295</v>
      </c>
      <c r="H25" s="1" t="n">
        <f aca="false">IFERROR('dens_visc_beta+2m3b2oh'!D24,"")</f>
        <v>0.8284</v>
      </c>
      <c r="I25" s="3" t="n">
        <f aca="false">IFERROR('dens_visc_beta+2m3b2oh'!I24,"")</f>
        <v>-0.242124962065844</v>
      </c>
      <c r="J25" s="1" t="n">
        <f aca="false">IFERROR('dens_visc_beta+2m3b2oh'!D38,"")</f>
        <v>1.502</v>
      </c>
      <c r="K25" s="1" t="str">
        <f aca="false">IF(AND(ISNUMBER(H25),ISNUMBER(I25),ISNUMBER(J25)),"✓",COUNTIF(H25:J25,"&gt;-999")&amp;"/3")</f>
        <v>✓</v>
      </c>
    </row>
    <row r="26" customFormat="false" ht="15" hidden="false" customHeight="true" outlineLevel="0" collapsed="false">
      <c r="A26" s="1" t="s">
        <v>11</v>
      </c>
      <c r="B26" s="1" t="s">
        <v>12</v>
      </c>
      <c r="C26" s="1" t="s">
        <v>13</v>
      </c>
      <c r="D26" s="1" t="s">
        <v>14</v>
      </c>
      <c r="E26" s="1" t="s">
        <v>15</v>
      </c>
      <c r="F26" s="1" t="n">
        <f aca="false">IFERROR('dens_visc_beta+2m3b2oh'!D22,"")</f>
        <v>40</v>
      </c>
      <c r="G26" s="3" t="n">
        <f aca="false">IFERROR('dens_visc_beta+2m3b2oh'!A25,"")</f>
        <v>0.197283787779712</v>
      </c>
      <c r="H26" s="1" t="n">
        <f aca="false">IFERROR('dens_visc_beta+2m3b2oh'!D25,"")</f>
        <v>0.84711</v>
      </c>
      <c r="I26" s="3" t="n">
        <f aca="false">IFERROR('dens_visc_beta+2m3b2oh'!I25,"")</f>
        <v>-0.331726614344674</v>
      </c>
      <c r="J26" s="1" t="n">
        <f aca="false">IFERROR('dens_visc_beta+2m3b2oh'!D39,"")</f>
        <v>1.753</v>
      </c>
      <c r="K26" s="1" t="str">
        <f aca="false">IF(AND(ISNUMBER(H26),ISNUMBER(I26),ISNUMBER(J26)),"✓",COUNTIF(H26:J26,"&gt;-999")&amp;"/3")</f>
        <v>✓</v>
      </c>
    </row>
    <row r="27" customFormat="false" ht="15" hidden="false" customHeight="true" outlineLevel="0" collapsed="false">
      <c r="A27" s="1" t="s">
        <v>11</v>
      </c>
      <c r="B27" s="1" t="s">
        <v>12</v>
      </c>
      <c r="C27" s="1" t="s">
        <v>13</v>
      </c>
      <c r="D27" s="1" t="s">
        <v>14</v>
      </c>
      <c r="E27" s="1" t="s">
        <v>15</v>
      </c>
      <c r="F27" s="1" t="n">
        <f aca="false">IFERROR('dens_visc_beta+2m3b2oh'!D22,"")</f>
        <v>40</v>
      </c>
      <c r="G27" s="3" t="n">
        <f aca="false">IFERROR('dens_visc_beta+2m3b2oh'!A26,"")</f>
        <v>0.296041685966012</v>
      </c>
      <c r="H27" s="1" t="n">
        <f aca="false">IFERROR('dens_visc_beta+2m3b2oh'!D26,"")</f>
        <v>0.86274</v>
      </c>
      <c r="I27" s="3" t="n">
        <f aca="false">IFERROR('dens_visc_beta+2m3b2oh'!I26,"")</f>
        <v>-0.329559199415002</v>
      </c>
      <c r="J27" s="1" t="n">
        <f aca="false">IFERROR('dens_visc_beta+2m3b2oh'!D40,"")</f>
        <v>2.016</v>
      </c>
      <c r="K27" s="1" t="str">
        <f aca="false">IF(AND(ISNUMBER(H27),ISNUMBER(I27),ISNUMBER(J27)),"✓",COUNTIF(H27:J27,"&gt;-999")&amp;"/3")</f>
        <v>✓</v>
      </c>
    </row>
    <row r="28" customFormat="false" ht="15" hidden="false" customHeight="true" outlineLevel="0" collapsed="false">
      <c r="A28" s="1" t="s">
        <v>11</v>
      </c>
      <c r="B28" s="1" t="s">
        <v>12</v>
      </c>
      <c r="C28" s="1" t="s">
        <v>13</v>
      </c>
      <c r="D28" s="1" t="s">
        <v>14</v>
      </c>
      <c r="E28" s="1" t="s">
        <v>15</v>
      </c>
      <c r="F28" s="1" t="n">
        <f aca="false">IFERROR('dens_visc_beta+2m3b2oh'!D22,"")</f>
        <v>40</v>
      </c>
      <c r="G28" s="3" t="n">
        <f aca="false">IFERROR('dens_visc_beta+2m3b2oh'!A27,"")</f>
        <v>0.396419244613166</v>
      </c>
      <c r="H28" s="1" t="n">
        <f aca="false">IFERROR('dens_visc_beta+2m3b2oh'!D27,"")</f>
        <v>0.87617</v>
      </c>
      <c r="I28" s="3" t="n">
        <f aca="false">IFERROR('dens_visc_beta+2m3b2oh'!I27,"")</f>
        <v>-0.277842425258569</v>
      </c>
      <c r="J28" s="1" t="n">
        <f aca="false">IFERROR('dens_visc_beta+2m3b2oh'!D41,"")</f>
        <v>2.304</v>
      </c>
      <c r="K28" s="1" t="str">
        <f aca="false">IF(AND(ISNUMBER(H28),ISNUMBER(I28),ISNUMBER(J28)),"✓",COUNTIF(H28:J28,"&gt;-999")&amp;"/3")</f>
        <v>✓</v>
      </c>
    </row>
    <row r="29" customFormat="false" ht="15" hidden="false" customHeight="true" outlineLevel="0" collapsed="false">
      <c r="A29" s="1" t="s">
        <v>11</v>
      </c>
      <c r="B29" s="1" t="s">
        <v>12</v>
      </c>
      <c r="C29" s="1" t="s">
        <v>13</v>
      </c>
      <c r="D29" s="1" t="s">
        <v>14</v>
      </c>
      <c r="E29" s="1" t="s">
        <v>15</v>
      </c>
      <c r="F29" s="1" t="n">
        <f aca="false">IFERROR('dens_visc_beta+2m3b2oh'!D22,"")</f>
        <v>40</v>
      </c>
      <c r="G29" s="3" t="n">
        <f aca="false">IFERROR('dens_visc_beta+2m3b2oh'!A28,"")</f>
        <v>0.492444610206307</v>
      </c>
      <c r="H29" s="1" t="n">
        <f aca="false">IFERROR('dens_visc_beta+2m3b2oh'!D28,"")</f>
        <v>0.88735</v>
      </c>
      <c r="I29" s="3" t="n">
        <f aca="false">IFERROR('dens_visc_beta+2m3b2oh'!I28,"")</f>
        <v>-0.22063289151447</v>
      </c>
      <c r="J29" s="1" t="n">
        <f aca="false">IFERROR('dens_visc_beta+2m3b2oh'!D42,"")</f>
        <v>2.61</v>
      </c>
      <c r="K29" s="1" t="str">
        <f aca="false">IF(AND(ISNUMBER(H29),ISNUMBER(I29),ISNUMBER(J29)),"✓",COUNTIF(H29:J29,"&gt;-999")&amp;"/3")</f>
        <v>✓</v>
      </c>
    </row>
    <row r="30" customFormat="false" ht="15" hidden="false" customHeight="true" outlineLevel="0" collapsed="false">
      <c r="A30" s="1" t="s">
        <v>11</v>
      </c>
      <c r="B30" s="1" t="s">
        <v>12</v>
      </c>
      <c r="C30" s="1" t="s">
        <v>13</v>
      </c>
      <c r="D30" s="1" t="s">
        <v>14</v>
      </c>
      <c r="E30" s="1" t="s">
        <v>15</v>
      </c>
      <c r="F30" s="1" t="n">
        <f aca="false">IFERROR('dens_visc_beta+2m3b2oh'!D22,"")</f>
        <v>40</v>
      </c>
      <c r="G30" s="3" t="n">
        <f aca="false">IFERROR('dens_visc_beta+2m3b2oh'!A29,"")</f>
        <v>0.595292092953273</v>
      </c>
      <c r="H30" s="1" t="n">
        <f aca="false">IFERROR('dens_visc_beta+2m3b2oh'!D29,"")</f>
        <v>0.89798</v>
      </c>
      <c r="I30" s="3" t="n">
        <f aca="false">IFERROR('dens_visc_beta+2m3b2oh'!I29,"")</f>
        <v>-0.176761256552794</v>
      </c>
      <c r="J30" s="1" t="n">
        <f aca="false">IFERROR('dens_visc_beta+2m3b2oh'!D43,"")</f>
        <v>2.986</v>
      </c>
      <c r="K30" s="1" t="str">
        <f aca="false">IF(AND(ISNUMBER(H30),ISNUMBER(I30),ISNUMBER(J30)),"✓",COUNTIF(H30:J30,"&gt;-999")&amp;"/3")</f>
        <v>✓</v>
      </c>
    </row>
    <row r="31" customFormat="false" ht="15" hidden="false" customHeight="true" outlineLevel="0" collapsed="false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15</v>
      </c>
      <c r="F31" s="1" t="n">
        <f aca="false">IFERROR('dens_visc_beta+2m3b2oh'!D22,"")</f>
        <v>40</v>
      </c>
      <c r="G31" s="3" t="n">
        <f aca="false">IFERROR('dens_visc_beta+2m3b2oh'!A30,"")</f>
        <v>0.694045700879001</v>
      </c>
      <c r="H31" s="1" t="n">
        <f aca="false">IFERROR('dens_visc_beta+2m3b2oh'!D30,"")</f>
        <v>0.90684</v>
      </c>
      <c r="I31" s="3" t="n">
        <f aca="false">IFERROR('dens_visc_beta+2m3b2oh'!I30,"")</f>
        <v>-0.100478761194978</v>
      </c>
      <c r="J31" s="1" t="n">
        <f aca="false">IFERROR('dens_visc_beta+2m3b2oh'!D44,"")</f>
        <v>3.396</v>
      </c>
      <c r="K31" s="1" t="str">
        <f aca="false">IF(AND(ISNUMBER(H31),ISNUMBER(I31),ISNUMBER(J31)),"✓",COUNTIF(H31:J31,"&gt;-999")&amp;"/3")</f>
        <v>✓</v>
      </c>
    </row>
    <row r="32" customFormat="false" ht="15" hidden="false" customHeight="true" outlineLevel="0" collapsed="false">
      <c r="A32" s="1" t="s">
        <v>11</v>
      </c>
      <c r="B32" s="1" t="s">
        <v>12</v>
      </c>
      <c r="C32" s="1" t="s">
        <v>13</v>
      </c>
      <c r="D32" s="1" t="s">
        <v>14</v>
      </c>
      <c r="E32" s="1" t="s">
        <v>15</v>
      </c>
      <c r="F32" s="1" t="n">
        <f aca="false">IFERROR('dens_visc_beta+2m3b2oh'!D22,"")</f>
        <v>40</v>
      </c>
      <c r="G32" s="3" t="n">
        <f aca="false">IFERROR('dens_visc_beta+2m3b2oh'!A31,"")</f>
        <v>0.797345611911684</v>
      </c>
      <c r="H32" s="1" t="n">
        <f aca="false">IFERROR('dens_visc_beta+2m3b2oh'!D31,"")</f>
        <v>0.91532</v>
      </c>
      <c r="I32" s="3" t="n">
        <f aca="false">IFERROR('dens_visc_beta+2m3b2oh'!I31,"")</f>
        <v>-0.0659004260798213</v>
      </c>
      <c r="J32" s="1" t="n">
        <f aca="false">IFERROR('dens_visc_beta+2m3b2oh'!D45,"")</f>
        <v>3.883</v>
      </c>
      <c r="K32" s="1" t="str">
        <f aca="false">IF(AND(ISNUMBER(H32),ISNUMBER(I32),ISNUMBER(J32)),"✓",COUNTIF(H32:J32,"&gt;-999")&amp;"/3")</f>
        <v>✓</v>
      </c>
    </row>
    <row r="33" customFormat="false" ht="15" hidden="false" customHeight="true" outlineLevel="0" collapsed="false">
      <c r="A33" s="1" t="s">
        <v>11</v>
      </c>
      <c r="B33" s="1" t="s">
        <v>12</v>
      </c>
      <c r="C33" s="1" t="s">
        <v>13</v>
      </c>
      <c r="D33" s="1" t="s">
        <v>14</v>
      </c>
      <c r="E33" s="1" t="s">
        <v>15</v>
      </c>
      <c r="F33" s="1" t="n">
        <f aca="false">IFERROR('dens_visc_beta+2m3b2oh'!D22,"")</f>
        <v>40</v>
      </c>
      <c r="G33" s="3" t="n">
        <f aca="false">IFERROR('dens_visc_beta+2m3b2oh'!A32,"")</f>
        <v>0.897192362325708</v>
      </c>
      <c r="H33" s="1" t="n">
        <f aca="false">IFERROR('dens_visc_beta+2m3b2oh'!D32,"")</f>
        <v>0.92277</v>
      </c>
      <c r="I33" s="3" t="n">
        <f aca="false">IFERROR('dens_visc_beta+2m3b2oh'!I32,"")</f>
        <v>-0.0542196136540838</v>
      </c>
      <c r="J33" s="1" t="n">
        <f aca="false">IFERROR('dens_visc_beta+2m3b2oh'!D46,"")</f>
        <v>4.443</v>
      </c>
      <c r="K33" s="1" t="str">
        <f aca="false">IF(AND(ISNUMBER(H33),ISNUMBER(I33),ISNUMBER(J33)),"✓",COUNTIF(H33:J33,"&gt;-999")&amp;"/3")</f>
        <v>✓</v>
      </c>
    </row>
    <row r="34" customFormat="false" ht="15" hidden="false" customHeight="true" outlineLevel="0" collapsed="false">
      <c r="A34" s="1" t="s">
        <v>11</v>
      </c>
      <c r="B34" s="1" t="s">
        <v>12</v>
      </c>
      <c r="C34" s="1" t="s">
        <v>13</v>
      </c>
      <c r="D34" s="1" t="s">
        <v>14</v>
      </c>
      <c r="E34" s="1" t="s">
        <v>15</v>
      </c>
      <c r="F34" s="1" t="n">
        <f aca="false">IFERROR('dens_visc_beta+2m3b2oh'!D22,"")</f>
        <v>40</v>
      </c>
      <c r="G34" s="3" t="n">
        <f aca="false">IFERROR('dens_visc_beta+2m3b2oh'!A33,"")</f>
        <v>1</v>
      </c>
      <c r="H34" s="1" t="n">
        <f aca="false">IFERROR('dens_visc_beta+2m3b2oh'!D33,"")</f>
        <v>0.9295</v>
      </c>
      <c r="I34" s="3" t="n">
        <f aca="false">IFERROR('dens_visc_beta+2m3b2oh'!I33,"")</f>
        <v>0</v>
      </c>
      <c r="J34" s="1" t="n">
        <f aca="false">IFERROR('dens_visc_beta+2m3b2oh'!D47,"")</f>
        <v>5.121</v>
      </c>
      <c r="K34" s="1" t="str">
        <f aca="false">IF(AND(ISNUMBER(H34),ISNUMBER(I34),ISNUMBER(J34)),"✓",COUNTIF(H34:J34,"&gt;-999")&amp;"/3")</f>
        <v>✓</v>
      </c>
    </row>
    <row r="35" customFormat="false" ht="15" hidden="false" customHeight="true" outlineLevel="0" collapsed="false">
      <c r="A35" s="1" t="s">
        <v>11</v>
      </c>
      <c r="B35" s="1" t="s">
        <v>12</v>
      </c>
      <c r="C35" s="1" t="s">
        <v>13</v>
      </c>
      <c r="D35" s="1" t="s">
        <v>14</v>
      </c>
      <c r="E35" s="1" t="s">
        <v>15</v>
      </c>
      <c r="F35" s="1" t="n">
        <f aca="false">IFERROR('dens_visc_beta+2m3b2oh'!E22,"")</f>
        <v>50</v>
      </c>
      <c r="G35" s="3" t="n">
        <f aca="false">IFERROR('dens_visc_beta+2m3b2oh'!A23,"")</f>
        <v>0</v>
      </c>
      <c r="H35" s="1" t="n">
        <f aca="false">IFERROR('dens_visc_beta+2m3b2oh'!E23,"")</f>
        <v>0.79458</v>
      </c>
      <c r="I35" s="3" t="n">
        <f aca="false">IFERROR('dens_visc_beta+2m3b2oh'!J23,"")</f>
        <v>0</v>
      </c>
      <c r="J35" s="1" t="n">
        <f aca="false">IFERROR('dens_visc_beta+2m3b2oh'!E37,"")</f>
        <v>0.964</v>
      </c>
      <c r="K35" s="1" t="str">
        <f aca="false">IF(AND(ISNUMBER(H35),ISNUMBER(I35),ISNUMBER(J35)),"✓",COUNTIF(H35:J35,"&gt;-999")&amp;"/3")</f>
        <v>✓</v>
      </c>
    </row>
    <row r="36" customFormat="false" ht="15" hidden="false" customHeight="true" outlineLevel="0" collapsed="false">
      <c r="A36" s="1" t="s">
        <v>11</v>
      </c>
      <c r="B36" s="1" t="s">
        <v>12</v>
      </c>
      <c r="C36" s="1" t="s">
        <v>13</v>
      </c>
      <c r="D36" s="1" t="s">
        <v>14</v>
      </c>
      <c r="E36" s="1" t="s">
        <v>15</v>
      </c>
      <c r="F36" s="1" t="n">
        <f aca="false">IFERROR('dens_visc_beta+2m3b2oh'!E22,"")</f>
        <v>50</v>
      </c>
      <c r="G36" s="3" t="n">
        <f aca="false">IFERROR('dens_visc_beta+2m3b2oh'!A24,"")</f>
        <v>0.0996094454144295</v>
      </c>
      <c r="H36" s="1" t="n">
        <f aca="false">IFERROR('dens_visc_beta+2m3b2oh'!E24,"")</f>
        <v>0.81866</v>
      </c>
      <c r="I36" s="3" t="n">
        <f aca="false">IFERROR('dens_visc_beta+2m3b2oh'!J24,"")</f>
        <v>-0.25460650333325</v>
      </c>
      <c r="J36" s="1" t="n">
        <f aca="false">IFERROR('dens_visc_beta+2m3b2oh'!E38,"")</f>
        <v>1.154</v>
      </c>
      <c r="K36" s="1" t="str">
        <f aca="false">IF(AND(ISNUMBER(H36),ISNUMBER(I36),ISNUMBER(J36)),"✓",COUNTIF(H36:J36,"&gt;-999")&amp;"/3")</f>
        <v>✓</v>
      </c>
    </row>
    <row r="37" customFormat="false" ht="15" hidden="false" customHeight="true" outlineLevel="0" collapsed="false">
      <c r="A37" s="1" t="s">
        <v>11</v>
      </c>
      <c r="B37" s="1" t="s">
        <v>12</v>
      </c>
      <c r="C37" s="1" t="s">
        <v>13</v>
      </c>
      <c r="D37" s="1" t="s">
        <v>14</v>
      </c>
      <c r="E37" s="1" t="s">
        <v>15</v>
      </c>
      <c r="F37" s="1" t="n">
        <f aca="false">IFERROR('dens_visc_beta+2m3b2oh'!E22,"")</f>
        <v>50</v>
      </c>
      <c r="G37" s="3" t="n">
        <f aca="false">IFERROR('dens_visc_beta+2m3b2oh'!A25,"")</f>
        <v>0.197283787779712</v>
      </c>
      <c r="H37" s="1" t="n">
        <f aca="false">IFERROR('dens_visc_beta+2m3b2oh'!E25,"")</f>
        <v>0.83774</v>
      </c>
      <c r="I37" s="3" t="n">
        <f aca="false">IFERROR('dens_visc_beta+2m3b2oh'!J25,"")</f>
        <v>-0.356731141322058</v>
      </c>
      <c r="J37" s="1" t="n">
        <f aca="false">IFERROR('dens_visc_beta+2m3b2oh'!E39,"")</f>
        <v>1.352</v>
      </c>
      <c r="K37" s="1" t="str">
        <f aca="false">IF(AND(ISNUMBER(H37),ISNUMBER(I37),ISNUMBER(J37)),"✓",COUNTIF(H37:J37,"&gt;-999")&amp;"/3")</f>
        <v>✓</v>
      </c>
    </row>
    <row r="38" customFormat="false" ht="15" hidden="false" customHeight="true" outlineLevel="0" collapsed="false">
      <c r="A38" s="1" t="s">
        <v>11</v>
      </c>
      <c r="B38" s="1" t="s">
        <v>12</v>
      </c>
      <c r="C38" s="1" t="s">
        <v>13</v>
      </c>
      <c r="D38" s="1" t="s">
        <v>14</v>
      </c>
      <c r="E38" s="1" t="s">
        <v>15</v>
      </c>
      <c r="F38" s="1" t="n">
        <f aca="false">IFERROR('dens_visc_beta+2m3b2oh'!E22,"")</f>
        <v>50</v>
      </c>
      <c r="G38" s="3" t="n">
        <f aca="false">IFERROR('dens_visc_beta+2m3b2oh'!A26,"")</f>
        <v>0.296041685966012</v>
      </c>
      <c r="H38" s="1" t="n">
        <f aca="false">IFERROR('dens_visc_beta+2m3b2oh'!E26,"")</f>
        <v>0.8537</v>
      </c>
      <c r="I38" s="3" t="n">
        <f aca="false">IFERROR('dens_visc_beta+2m3b2oh'!J26,"")</f>
        <v>-0.363240140418014</v>
      </c>
      <c r="J38" s="1" t="n">
        <f aca="false">IFERROR('dens_visc_beta+2m3b2oh'!E40,"")</f>
        <v>1.56</v>
      </c>
      <c r="K38" s="1" t="str">
        <f aca="false">IF(AND(ISNUMBER(H38),ISNUMBER(I38),ISNUMBER(J38)),"✓",COUNTIF(H38:J38,"&gt;-999")&amp;"/3")</f>
        <v>✓</v>
      </c>
    </row>
    <row r="39" customFormat="false" ht="15" hidden="false" customHeight="true" outlineLevel="0" collapsed="false">
      <c r="A39" s="1" t="s">
        <v>11</v>
      </c>
      <c r="B39" s="1" t="s">
        <v>12</v>
      </c>
      <c r="C39" s="1" t="s">
        <v>13</v>
      </c>
      <c r="D39" s="1" t="s">
        <v>14</v>
      </c>
      <c r="E39" s="1" t="s">
        <v>15</v>
      </c>
      <c r="F39" s="1" t="n">
        <f aca="false">IFERROR('dens_visc_beta+2m3b2oh'!E22,"")</f>
        <v>50</v>
      </c>
      <c r="G39" s="3" t="n">
        <f aca="false">IFERROR('dens_visc_beta+2m3b2oh'!A27,"")</f>
        <v>0.396419244613166</v>
      </c>
      <c r="H39" s="1" t="n">
        <f aca="false">IFERROR('dens_visc_beta+2m3b2oh'!E27,"")</f>
        <v>0.86742</v>
      </c>
      <c r="I39" s="3" t="n">
        <f aca="false">IFERROR('dens_visc_beta+2m3b2oh'!J27,"")</f>
        <v>-0.316726592596581</v>
      </c>
      <c r="J39" s="1" t="n">
        <f aca="false">IFERROR('dens_visc_beta+2m3b2oh'!E41,"")</f>
        <v>1.783</v>
      </c>
      <c r="K39" s="1" t="str">
        <f aca="false">IF(AND(ISNUMBER(H39),ISNUMBER(I39),ISNUMBER(J39)),"✓",COUNTIF(H39:J39,"&gt;-999")&amp;"/3")</f>
        <v>✓</v>
      </c>
    </row>
    <row r="40" customFormat="false" ht="15" hidden="false" customHeight="true" outlineLevel="0" collapsed="false">
      <c r="A40" s="1" t="s">
        <v>11</v>
      </c>
      <c r="B40" s="1" t="s">
        <v>12</v>
      </c>
      <c r="C40" s="1" t="s">
        <v>13</v>
      </c>
      <c r="D40" s="1" t="s">
        <v>14</v>
      </c>
      <c r="E40" s="1" t="s">
        <v>15</v>
      </c>
      <c r="F40" s="1" t="n">
        <f aca="false">IFERROR('dens_visc_beta+2m3b2oh'!E22,"")</f>
        <v>50</v>
      </c>
      <c r="G40" s="3" t="n">
        <f aca="false">IFERROR('dens_visc_beta+2m3b2oh'!A28,"")</f>
        <v>0.492444610206307</v>
      </c>
      <c r="H40" s="1" t="n">
        <f aca="false">IFERROR('dens_visc_beta+2m3b2oh'!E28,"")</f>
        <v>0.87883</v>
      </c>
      <c r="I40" s="3" t="n">
        <f aca="false">IFERROR('dens_visc_beta+2m3b2oh'!J28,"")</f>
        <v>-0.260253689968096</v>
      </c>
      <c r="J40" s="1" t="n">
        <f aca="false">IFERROR('dens_visc_beta+2m3b2oh'!E42,"")</f>
        <v>2.016</v>
      </c>
      <c r="K40" s="1" t="str">
        <f aca="false">IF(AND(ISNUMBER(H40),ISNUMBER(I40),ISNUMBER(J40)),"✓",COUNTIF(H40:J40,"&gt;-999")&amp;"/3")</f>
        <v>✓</v>
      </c>
    </row>
    <row r="41" customFormat="false" ht="15" hidden="false" customHeight="true" outlineLevel="0" collapsed="false">
      <c r="A41" s="1" t="s">
        <v>11</v>
      </c>
      <c r="B41" s="1" t="s">
        <v>12</v>
      </c>
      <c r="C41" s="1" t="s">
        <v>13</v>
      </c>
      <c r="D41" s="1" t="s">
        <v>14</v>
      </c>
      <c r="E41" s="1" t="s">
        <v>15</v>
      </c>
      <c r="F41" s="1" t="n">
        <f aca="false">IFERROR('dens_visc_beta+2m3b2oh'!E22,"")</f>
        <v>50</v>
      </c>
      <c r="G41" s="3" t="n">
        <f aca="false">IFERROR('dens_visc_beta+2m3b2oh'!A29,"")</f>
        <v>0.595292092953273</v>
      </c>
      <c r="H41" s="1" t="n">
        <f aca="false">IFERROR('dens_visc_beta+2m3b2oh'!E29,"")</f>
        <v>0.88967</v>
      </c>
      <c r="I41" s="3" t="n">
        <f aca="false">IFERROR('dens_visc_beta+2m3b2oh'!J29,"")</f>
        <v>-0.214690127805056</v>
      </c>
      <c r="J41" s="1" t="n">
        <f aca="false">IFERROR('dens_visc_beta+2m3b2oh'!E43,"")</f>
        <v>2.296</v>
      </c>
      <c r="K41" s="1" t="str">
        <f aca="false">IF(AND(ISNUMBER(H41),ISNUMBER(I41),ISNUMBER(J41)),"✓",COUNTIF(H41:J41,"&gt;-999")&amp;"/3")</f>
        <v>✓</v>
      </c>
    </row>
    <row r="42" customFormat="false" ht="15" hidden="false" customHeight="true" outlineLevel="0" collapsed="false">
      <c r="A42" s="1" t="s">
        <v>11</v>
      </c>
      <c r="B42" s="1" t="s">
        <v>12</v>
      </c>
      <c r="C42" s="1" t="s">
        <v>13</v>
      </c>
      <c r="D42" s="1" t="s">
        <v>14</v>
      </c>
      <c r="E42" s="1" t="s">
        <v>15</v>
      </c>
      <c r="F42" s="1" t="n">
        <f aca="false">IFERROR('dens_visc_beta+2m3b2oh'!E22,"")</f>
        <v>50</v>
      </c>
      <c r="G42" s="3" t="n">
        <f aca="false">IFERROR('dens_visc_beta+2m3b2oh'!A30,"")</f>
        <v>0.694045700879001</v>
      </c>
      <c r="H42" s="1" t="n">
        <f aca="false">IFERROR('dens_visc_beta+2m3b2oh'!E30,"")</f>
        <v>0.89866</v>
      </c>
      <c r="I42" s="3" t="n">
        <f aca="false">IFERROR('dens_visc_beta+2m3b2oh'!J30,"")</f>
        <v>-0.125380286462644</v>
      </c>
      <c r="J42" s="1" t="n">
        <f aca="false">IFERROR('dens_visc_beta+2m3b2oh'!E44,"")</f>
        <v>2.59</v>
      </c>
      <c r="K42" s="1" t="str">
        <f aca="false">IF(AND(ISNUMBER(H42),ISNUMBER(I42),ISNUMBER(J42)),"✓",COUNTIF(H42:J42,"&gt;-999")&amp;"/3")</f>
        <v>✓</v>
      </c>
    </row>
    <row r="43" customFormat="false" ht="15" hidden="false" customHeight="true" outlineLevel="0" collapsed="false">
      <c r="A43" s="1" t="s">
        <v>11</v>
      </c>
      <c r="B43" s="1" t="s">
        <v>12</v>
      </c>
      <c r="C43" s="1" t="s">
        <v>13</v>
      </c>
      <c r="D43" s="1" t="s">
        <v>14</v>
      </c>
      <c r="E43" s="1" t="s">
        <v>15</v>
      </c>
      <c r="F43" s="1" t="n">
        <f aca="false">IFERROR('dens_visc_beta+2m3b2oh'!E22,"")</f>
        <v>50</v>
      </c>
      <c r="G43" s="3" t="n">
        <f aca="false">IFERROR('dens_visc_beta+2m3b2oh'!A31,"")</f>
        <v>0.797345611911684</v>
      </c>
      <c r="H43" s="1" t="n">
        <f aca="false">IFERROR('dens_visc_beta+2m3b2oh'!E31,"")</f>
        <v>0.90733</v>
      </c>
      <c r="I43" s="3" t="n">
        <f aca="false">IFERROR('dens_visc_beta+2m3b2oh'!J31,"")</f>
        <v>-0.0914685310370658</v>
      </c>
      <c r="J43" s="1" t="n">
        <f aca="false">IFERROR('dens_visc_beta+2m3b2oh'!E45,"")</f>
        <v>2.945</v>
      </c>
      <c r="K43" s="1" t="str">
        <f aca="false">IF(AND(ISNUMBER(H43),ISNUMBER(I43),ISNUMBER(J43)),"✓",COUNTIF(H43:J43,"&gt;-999")&amp;"/3")</f>
        <v>✓</v>
      </c>
    </row>
    <row r="44" customFormat="false" ht="15" hidden="false" customHeight="true" outlineLevel="0" collapsed="false">
      <c r="A44" s="1" t="s">
        <v>11</v>
      </c>
      <c r="B44" s="1" t="s">
        <v>12</v>
      </c>
      <c r="C44" s="1" t="s">
        <v>13</v>
      </c>
      <c r="D44" s="1" t="s">
        <v>14</v>
      </c>
      <c r="E44" s="1" t="s">
        <v>15</v>
      </c>
      <c r="F44" s="1" t="n">
        <f aca="false">IFERROR('dens_visc_beta+2m3b2oh'!E22,"")</f>
        <v>50</v>
      </c>
      <c r="G44" s="3" t="n">
        <f aca="false">IFERROR('dens_visc_beta+2m3b2oh'!A32,"")</f>
        <v>0.897192362325708</v>
      </c>
      <c r="H44" s="1" t="n">
        <f aca="false">IFERROR('dens_visc_beta+2m3b2oh'!E32,"")</f>
        <v>0.91489</v>
      </c>
      <c r="I44" s="3" t="n">
        <f aca="false">IFERROR('dens_visc_beta+2m3b2oh'!J32,"")</f>
        <v>-0.0680735219575865</v>
      </c>
      <c r="J44" s="1" t="n">
        <f aca="false">IFERROR('dens_visc_beta+2m3b2oh'!E46,"")</f>
        <v>3.334</v>
      </c>
      <c r="K44" s="1" t="str">
        <f aca="false">IF(AND(ISNUMBER(H44),ISNUMBER(I44),ISNUMBER(J44)),"✓",COUNTIF(H44:J44,"&gt;-999")&amp;"/3")</f>
        <v>✓</v>
      </c>
    </row>
    <row r="45" customFormat="false" ht="15" hidden="false" customHeight="true" outlineLevel="0" collapsed="false">
      <c r="A45" s="1" t="s">
        <v>11</v>
      </c>
      <c r="B45" s="1" t="s">
        <v>12</v>
      </c>
      <c r="C45" s="1" t="s">
        <v>13</v>
      </c>
      <c r="D45" s="1" t="s">
        <v>14</v>
      </c>
      <c r="E45" s="1" t="s">
        <v>15</v>
      </c>
      <c r="F45" s="1" t="n">
        <f aca="false">IFERROR('dens_visc_beta+2m3b2oh'!E22,"")</f>
        <v>50</v>
      </c>
      <c r="G45" s="3" t="n">
        <f aca="false">IFERROR('dens_visc_beta+2m3b2oh'!A33,"")</f>
        <v>1</v>
      </c>
      <c r="H45" s="1" t="n">
        <f aca="false">IFERROR('dens_visc_beta+2m3b2oh'!E33,"")</f>
        <v>0.92172</v>
      </c>
      <c r="I45" s="3" t="n">
        <f aca="false">IFERROR('dens_visc_beta+2m3b2oh'!J33,"")</f>
        <v>0</v>
      </c>
      <c r="J45" s="1" t="n">
        <f aca="false">IFERROR('dens_visc_beta+2m3b2oh'!E47,"")</f>
        <v>3.792</v>
      </c>
      <c r="K45" s="1" t="str">
        <f aca="false">IF(AND(ISNUMBER(H45),ISNUMBER(I45),ISNUMBER(J45)),"✓",COUNTIF(H45:J45,"&gt;-999")&amp;"/3")</f>
        <v>✓</v>
      </c>
    </row>
    <row r="46" customFormat="false" ht="15" hidden="false" customHeight="true" outlineLevel="0" collapsed="false">
      <c r="A46" s="1" t="s">
        <v>11</v>
      </c>
      <c r="B46" s="1" t="s">
        <v>12</v>
      </c>
      <c r="C46" s="1" t="s">
        <v>13</v>
      </c>
      <c r="D46" s="1" t="s">
        <v>14</v>
      </c>
      <c r="E46" s="1" t="s">
        <v>15</v>
      </c>
      <c r="F46" s="1" t="n">
        <f aca="false">IFERROR('dens_visc_beta+2m3b2oh'!F22,"")</f>
        <v>60</v>
      </c>
      <c r="G46" s="3" t="n">
        <f aca="false">IFERROR('dens_visc_beta+2m3b2oh'!A23,"")</f>
        <v>0</v>
      </c>
      <c r="H46" s="1" t="n">
        <f aca="false">IFERROR('dens_visc_beta+2m3b2oh'!F23,"")</f>
        <v>0.7841</v>
      </c>
      <c r="I46" s="3" t="n">
        <f aca="false">IFERROR('dens_visc_beta+2m3b2oh'!K23,"")</f>
        <v>0</v>
      </c>
      <c r="J46" s="1" t="n">
        <f aca="false">IFERROR('dens_visc_beta+2m3b2oh'!F37,"")</f>
        <v>0.757</v>
      </c>
      <c r="K46" s="1" t="str">
        <f aca="false">IF(AND(ISNUMBER(H46),ISNUMBER(I46),ISNUMBER(J46)),"✓",COUNTIF(H46:J46,"&gt;-999")&amp;"/3")</f>
        <v>✓</v>
      </c>
    </row>
    <row r="47" customFormat="false" ht="15" hidden="false" customHeight="true" outlineLevel="0" collapsed="false">
      <c r="A47" s="1" t="s">
        <v>11</v>
      </c>
      <c r="B47" s="1" t="s">
        <v>12</v>
      </c>
      <c r="C47" s="1" t="s">
        <v>13</v>
      </c>
      <c r="D47" s="1" t="s">
        <v>14</v>
      </c>
      <c r="E47" s="1" t="s">
        <v>15</v>
      </c>
      <c r="F47" s="1" t="n">
        <f aca="false">IFERROR('dens_visc_beta+2m3b2oh'!F22,"")</f>
        <v>60</v>
      </c>
      <c r="G47" s="3" t="n">
        <f aca="false">IFERROR('dens_visc_beta+2m3b2oh'!A24,"")</f>
        <v>0.0996094454144295</v>
      </c>
      <c r="H47" s="1" t="n">
        <f aca="false">IFERROR('dens_visc_beta+2m3b2oh'!F24,"")</f>
        <v>0.80867</v>
      </c>
      <c r="I47" s="3" t="n">
        <f aca="false">IFERROR('dens_visc_beta+2m3b2oh'!K24,"")</f>
        <v>-0.276243345136024</v>
      </c>
      <c r="J47" s="1" t="n">
        <f aca="false">IFERROR('dens_visc_beta+2m3b2oh'!F38,"")</f>
        <v>0.912</v>
      </c>
      <c r="K47" s="1" t="str">
        <f aca="false">IF(AND(ISNUMBER(H47),ISNUMBER(I47),ISNUMBER(J47)),"✓",COUNTIF(H47:J47,"&gt;-999")&amp;"/3")</f>
        <v>✓</v>
      </c>
    </row>
    <row r="48" customFormat="false" ht="15" hidden="false" customHeight="true" outlineLevel="0" collapsed="false">
      <c r="A48" s="1" t="s">
        <v>11</v>
      </c>
      <c r="B48" s="1" t="s">
        <v>12</v>
      </c>
      <c r="C48" s="1" t="s">
        <v>13</v>
      </c>
      <c r="D48" s="1" t="s">
        <v>14</v>
      </c>
      <c r="E48" s="1" t="s">
        <v>15</v>
      </c>
      <c r="F48" s="1" t="n">
        <f aca="false">IFERROR('dens_visc_beta+2m3b2oh'!F22,"")</f>
        <v>60</v>
      </c>
      <c r="G48" s="3" t="n">
        <f aca="false">IFERROR('dens_visc_beta+2m3b2oh'!A25,"")</f>
        <v>0.197283787779712</v>
      </c>
      <c r="H48" s="1" t="n">
        <f aca="false">IFERROR('dens_visc_beta+2m3b2oh'!F25,"")</f>
        <v>0.82815</v>
      </c>
      <c r="I48" s="3" t="n">
        <f aca="false">IFERROR('dens_visc_beta+2m3b2oh'!K25,"")</f>
        <v>-0.38906900556222</v>
      </c>
      <c r="J48" s="1" t="n">
        <f aca="false">IFERROR('dens_visc_beta+2m3b2oh'!F39,"")</f>
        <v>1.073</v>
      </c>
      <c r="K48" s="1" t="str">
        <f aca="false">IF(AND(ISNUMBER(H48),ISNUMBER(I48),ISNUMBER(J48)),"✓",COUNTIF(H48:J48,"&gt;-999")&amp;"/3")</f>
        <v>✓</v>
      </c>
    </row>
    <row r="49" customFormat="false" ht="15" hidden="false" customHeight="true" outlineLevel="0" collapsed="false">
      <c r="A49" s="1" t="s">
        <v>11</v>
      </c>
      <c r="B49" s="1" t="s">
        <v>12</v>
      </c>
      <c r="C49" s="1" t="s">
        <v>13</v>
      </c>
      <c r="D49" s="1" t="s">
        <v>14</v>
      </c>
      <c r="E49" s="1" t="s">
        <v>15</v>
      </c>
      <c r="F49" s="1" t="n">
        <f aca="false">IFERROR('dens_visc_beta+2m3b2oh'!F22,"")</f>
        <v>60</v>
      </c>
      <c r="G49" s="3" t="n">
        <f aca="false">IFERROR('dens_visc_beta+2m3b2oh'!A26,"")</f>
        <v>0.296041685966012</v>
      </c>
      <c r="H49" s="1" t="n">
        <f aca="false">IFERROR('dens_visc_beta+2m3b2oh'!F26,"")</f>
        <v>0.84448</v>
      </c>
      <c r="I49" s="3" t="n">
        <f aca="false">IFERROR('dens_visc_beta+2m3b2oh'!K26,"")</f>
        <v>-0.404053484113803</v>
      </c>
      <c r="J49" s="1" t="n">
        <f aca="false">IFERROR('dens_visc_beta+2m3b2oh'!F40,"")</f>
        <v>1.241</v>
      </c>
      <c r="K49" s="1" t="str">
        <f aca="false">IF(AND(ISNUMBER(H49),ISNUMBER(I49),ISNUMBER(J49)),"✓",COUNTIF(H49:J49,"&gt;-999")&amp;"/3")</f>
        <v>✓</v>
      </c>
    </row>
    <row r="50" customFormat="false" ht="15" hidden="false" customHeight="true" outlineLevel="0" collapsed="false">
      <c r="A50" s="1" t="s">
        <v>11</v>
      </c>
      <c r="B50" s="1" t="s">
        <v>12</v>
      </c>
      <c r="C50" s="1" t="s">
        <v>13</v>
      </c>
      <c r="D50" s="1" t="s">
        <v>14</v>
      </c>
      <c r="E50" s="1" t="s">
        <v>15</v>
      </c>
      <c r="F50" s="1" t="n">
        <f aca="false">IFERROR('dens_visc_beta+2m3b2oh'!F22,"")</f>
        <v>60</v>
      </c>
      <c r="G50" s="3" t="n">
        <f aca="false">IFERROR('dens_visc_beta+2m3b2oh'!A27,"")</f>
        <v>0.396419244613166</v>
      </c>
      <c r="H50" s="1" t="n">
        <f aca="false">IFERROR('dens_visc_beta+2m3b2oh'!F27,"")</f>
        <v>0.85853</v>
      </c>
      <c r="I50" s="3" t="n">
        <f aca="false">IFERROR('dens_visc_beta+2m3b2oh'!K27,"")</f>
        <v>-0.362792280611387</v>
      </c>
      <c r="J50" s="1" t="n">
        <f aca="false">IFERROR('dens_visc_beta+2m3b2oh'!F41,"")</f>
        <v>1.42</v>
      </c>
      <c r="K50" s="1" t="str">
        <f aca="false">IF(AND(ISNUMBER(H50),ISNUMBER(I50),ISNUMBER(J50)),"✓",COUNTIF(H50:J50,"&gt;-999")&amp;"/3")</f>
        <v>✓</v>
      </c>
    </row>
    <row r="51" customFormat="false" ht="15" hidden="false" customHeight="true" outlineLevel="0" collapsed="false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15</v>
      </c>
      <c r="F51" s="1" t="n">
        <f aca="false">IFERROR('dens_visc_beta+2m3b2oh'!F22,"")</f>
        <v>60</v>
      </c>
      <c r="G51" s="3" t="n">
        <f aca="false">IFERROR('dens_visc_beta+2m3b2oh'!A28,"")</f>
        <v>0.492444610206307</v>
      </c>
      <c r="H51" s="1" t="n">
        <f aca="false">IFERROR('dens_visc_beta+2m3b2oh'!F28,"")</f>
        <v>0.8702</v>
      </c>
      <c r="I51" s="3" t="n">
        <f aca="false">IFERROR('dens_visc_beta+2m3b2oh'!K28,"")</f>
        <v>-0.305973598424629</v>
      </c>
      <c r="J51" s="1" t="n">
        <f aca="false">IFERROR('dens_visc_beta+2m3b2oh'!F42,"")</f>
        <v>1.605</v>
      </c>
      <c r="K51" s="1" t="str">
        <f aca="false">IF(AND(ISNUMBER(H51),ISNUMBER(I51),ISNUMBER(J51)),"✓",COUNTIF(H51:J51,"&gt;-999")&amp;"/3")</f>
        <v>✓</v>
      </c>
    </row>
    <row r="52" customFormat="false" ht="15" hidden="false" customHeight="true" outlineLevel="0" collapsed="false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15</v>
      </c>
      <c r="F52" s="1" t="n">
        <f aca="false">IFERROR('dens_visc_beta+2m3b2oh'!F22,"")</f>
        <v>60</v>
      </c>
      <c r="G52" s="3" t="n">
        <f aca="false">IFERROR('dens_visc_beta+2m3b2oh'!A29,"")</f>
        <v>0.595292092953273</v>
      </c>
      <c r="H52" s="1" t="n">
        <f aca="false">IFERROR('dens_visc_beta+2m3b2oh'!F29,"")</f>
        <v>0.88128</v>
      </c>
      <c r="I52" s="3" t="n">
        <f aca="false">IFERROR('dens_visc_beta+2m3b2oh'!K29,"")</f>
        <v>-0.257540391443229</v>
      </c>
      <c r="J52" s="1" t="n">
        <f aca="false">IFERROR('dens_visc_beta+2m3b2oh'!F43,"")</f>
        <v>1.824</v>
      </c>
      <c r="K52" s="1" t="str">
        <f aca="false">IF(AND(ISNUMBER(H52),ISNUMBER(I52),ISNUMBER(J52)),"✓",COUNTIF(H52:J52,"&gt;-999")&amp;"/3")</f>
        <v>✓</v>
      </c>
    </row>
    <row r="53" customFormat="false" ht="15" hidden="false" customHeight="true" outlineLevel="0" collapsed="false">
      <c r="A53" s="1" t="s">
        <v>11</v>
      </c>
      <c r="B53" s="1" t="s">
        <v>12</v>
      </c>
      <c r="C53" s="1" t="s">
        <v>13</v>
      </c>
      <c r="D53" s="1" t="s">
        <v>14</v>
      </c>
      <c r="E53" s="1" t="s">
        <v>15</v>
      </c>
      <c r="F53" s="1" t="n">
        <f aca="false">IFERROR('dens_visc_beta+2m3b2oh'!F22,"")</f>
        <v>60</v>
      </c>
      <c r="G53" s="3" t="n">
        <f aca="false">IFERROR('dens_visc_beta+2m3b2oh'!A30,"")</f>
        <v>0.694045700879001</v>
      </c>
      <c r="H53" s="1" t="n">
        <f aca="false">IFERROR('dens_visc_beta+2m3b2oh'!F30,"")</f>
        <v>0.89054</v>
      </c>
      <c r="I53" s="3" t="n">
        <f aca="false">IFERROR('dens_visc_beta+2m3b2oh'!K30,"")</f>
        <v>-0.176524797668776</v>
      </c>
      <c r="J53" s="1" t="n">
        <f aca="false">IFERROR('dens_visc_beta+2m3b2oh'!F44,"")</f>
        <v>2.051</v>
      </c>
      <c r="K53" s="1" t="str">
        <f aca="false">IF(AND(ISNUMBER(H53),ISNUMBER(I53),ISNUMBER(J53)),"✓",COUNTIF(H53:J53,"&gt;-999")&amp;"/3")</f>
        <v>✓</v>
      </c>
    </row>
    <row r="54" customFormat="false" ht="15" hidden="false" customHeight="true" outlineLevel="0" collapsed="false">
      <c r="A54" s="1" t="s">
        <v>11</v>
      </c>
      <c r="B54" s="1" t="s">
        <v>12</v>
      </c>
      <c r="C54" s="1" t="s">
        <v>13</v>
      </c>
      <c r="D54" s="1" t="s">
        <v>14</v>
      </c>
      <c r="E54" s="1" t="s">
        <v>15</v>
      </c>
      <c r="F54" s="1" t="n">
        <f aca="false">IFERROR('dens_visc_beta+2m3b2oh'!F22,"")</f>
        <v>60</v>
      </c>
      <c r="G54" s="3" t="n">
        <f aca="false">IFERROR('dens_visc_beta+2m3b2oh'!A31,"")</f>
        <v>0.797345611911684</v>
      </c>
      <c r="H54" s="1" t="n">
        <f aca="false">IFERROR('dens_visc_beta+2m3b2oh'!F31,"")</f>
        <v>0.8993</v>
      </c>
      <c r="I54" s="3" t="n">
        <f aca="false">IFERROR('dens_visc_beta+2m3b2oh'!K31,"")</f>
        <v>-0.11677293712458</v>
      </c>
      <c r="J54" s="1" t="n">
        <f aca="false">IFERROR('dens_visc_beta+2m3b2oh'!F45,"")</f>
        <v>2.317</v>
      </c>
      <c r="K54" s="1" t="str">
        <f aca="false">IF(AND(ISNUMBER(H54),ISNUMBER(I54),ISNUMBER(J54)),"✓",COUNTIF(H54:J54,"&gt;-999")&amp;"/3")</f>
        <v>✓</v>
      </c>
    </row>
    <row r="55" customFormat="false" ht="15" hidden="false" customHeight="true" outlineLevel="0" collapsed="false">
      <c r="A55" s="1" t="s">
        <v>11</v>
      </c>
      <c r="B55" s="1" t="s">
        <v>12</v>
      </c>
      <c r="C55" s="1" t="s">
        <v>13</v>
      </c>
      <c r="D55" s="1" t="s">
        <v>14</v>
      </c>
      <c r="E55" s="1" t="s">
        <v>15</v>
      </c>
      <c r="F55" s="1" t="n">
        <f aca="false">IFERROR('dens_visc_beta+2m3b2oh'!F22,"")</f>
        <v>60</v>
      </c>
      <c r="G55" s="3" t="n">
        <f aca="false">IFERROR('dens_visc_beta+2m3b2oh'!A32,"")</f>
        <v>0.897192362325708</v>
      </c>
      <c r="H55" s="1" t="n">
        <f aca="false">IFERROR('dens_visc_beta+2m3b2oh'!F32,"")</f>
        <v>0.90704</v>
      </c>
      <c r="I55" s="3" t="n">
        <f aca="false">IFERROR('dens_visc_beta+2m3b2oh'!K32,"")</f>
        <v>-0.0904655463076267</v>
      </c>
      <c r="J55" s="1" t="n">
        <f aca="false">IFERROR('dens_visc_beta+2m3b2oh'!F46,"")</f>
        <v>2.6</v>
      </c>
      <c r="K55" s="1" t="str">
        <f aca="false">IF(AND(ISNUMBER(H55),ISNUMBER(I55),ISNUMBER(J55)),"✓",COUNTIF(H55:J55,"&gt;-999")&amp;"/3")</f>
        <v>✓</v>
      </c>
    </row>
    <row r="56" customFormat="false" ht="15" hidden="false" customHeight="true" outlineLevel="0" collapsed="false">
      <c r="A56" s="1" t="s">
        <v>11</v>
      </c>
      <c r="B56" s="1" t="s">
        <v>12</v>
      </c>
      <c r="C56" s="1" t="s">
        <v>13</v>
      </c>
      <c r="D56" s="1" t="s">
        <v>14</v>
      </c>
      <c r="E56" s="1" t="s">
        <v>15</v>
      </c>
      <c r="F56" s="1" t="n">
        <f aca="false">IFERROR('dens_visc_beta+2m3b2oh'!F22,"")</f>
        <v>60</v>
      </c>
      <c r="G56" s="3" t="n">
        <f aca="false">IFERROR('dens_visc_beta+2m3b2oh'!A33,"")</f>
        <v>1</v>
      </c>
      <c r="H56" s="1" t="n">
        <f aca="false">IFERROR('dens_visc_beta+2m3b2oh'!F33,"")</f>
        <v>0.91396</v>
      </c>
      <c r="I56" s="3" t="n">
        <f aca="false">IFERROR('dens_visc_beta+2m3b2oh'!K33,"")</f>
        <v>0</v>
      </c>
      <c r="J56" s="1" t="n">
        <f aca="false">IFERROR('dens_visc_beta+2m3b2oh'!F47,"")</f>
        <v>2.938</v>
      </c>
      <c r="K56" s="1" t="str">
        <f aca="false">IF(AND(ISNUMBER(H56),ISNUMBER(I56),ISNUMBER(J56)),"✓",COUNTIF(H56:J56,"&gt;-999")&amp;"/3")</f>
        <v>✓</v>
      </c>
    </row>
    <row r="57" customFormat="false" ht="15" hidden="false" customHeight="true" outlineLevel="0" collapsed="false">
      <c r="A57" s="1" t="s">
        <v>16</v>
      </c>
      <c r="B57" s="1" t="s">
        <v>12</v>
      </c>
      <c r="C57" s="1" t="s">
        <v>13</v>
      </c>
      <c r="D57" s="1" t="s">
        <v>17</v>
      </c>
      <c r="E57" s="1" t="s">
        <v>18</v>
      </c>
      <c r="F57" s="1" t="n">
        <f aca="false">IFERROR('dens_visc_beta+2m2boh'!B22,"")</f>
        <v>20</v>
      </c>
      <c r="G57" s="1" t="n">
        <f aca="false">IFERROR('dens_visc_beta+2m2boh'!A23,"")</f>
        <v>0</v>
      </c>
      <c r="H57" s="1" t="n">
        <f aca="false">IFERROR('dens_visc_beta+2m2boh'!B23,"")</f>
        <v>0.80899</v>
      </c>
      <c r="I57" s="1" t="n">
        <f aca="false">IFERROR('dens_visc_beta+2m2boh'!G23,"")</f>
        <v>0</v>
      </c>
      <c r="J57" s="1" t="n">
        <f aca="false">IFERROR('dens_visc_beta+2m2boh'!B37,"")</f>
        <v>4.244</v>
      </c>
      <c r="K57" s="1" t="str">
        <f aca="false">IF(AND(ISNUMBER(H57),ISNUMBER(I57),ISNUMBER(J57)),"✓",COUNTIF(H57:J57,"&gt;-999")&amp;"/3")</f>
        <v>✓</v>
      </c>
    </row>
    <row r="58" customFormat="false" ht="15" hidden="false" customHeight="true" outlineLevel="0" collapsed="false">
      <c r="A58" s="1" t="s">
        <v>16</v>
      </c>
      <c r="B58" s="1" t="s">
        <v>12</v>
      </c>
      <c r="C58" s="1" t="s">
        <v>13</v>
      </c>
      <c r="D58" s="1" t="s">
        <v>17</v>
      </c>
      <c r="E58" s="1" t="s">
        <v>18</v>
      </c>
      <c r="F58" s="1" t="n">
        <f aca="false">IFERROR('dens_visc_beta+2m2boh'!B22,"")</f>
        <v>20</v>
      </c>
      <c r="G58" s="3" t="str">
        <f aca="false">IFERROR('dens_visc_beta+2m2boh'!A24,"")</f>
        <v/>
      </c>
      <c r="H58" s="1" t="n">
        <f aca="false">IFERROR('dens_visc_beta+2m2boh'!B24,"")</f>
        <v>0</v>
      </c>
      <c r="I58" s="1" t="str">
        <f aca="false">IFERROR('dens_visc_beta+2m2boh'!G24,"")</f>
        <v/>
      </c>
      <c r="J58" s="1" t="n">
        <f aca="false">IFERROR('dens_visc_beta+2m2boh'!B38,"")</f>
        <v>0</v>
      </c>
      <c r="K58" s="1" t="str">
        <f aca="false">IF(AND(ISNUMBER(H58),ISNUMBER(I58),ISNUMBER(J58)),"✓",COUNTIF(H58:J58,"&gt;-999")&amp;"/3")</f>
        <v>2/3</v>
      </c>
    </row>
    <row r="59" customFormat="false" ht="15" hidden="false" customHeight="true" outlineLevel="0" collapsed="false">
      <c r="A59" s="1" t="s">
        <v>16</v>
      </c>
      <c r="B59" s="1" t="s">
        <v>12</v>
      </c>
      <c r="C59" s="1" t="s">
        <v>13</v>
      </c>
      <c r="D59" s="1" t="s">
        <v>17</v>
      </c>
      <c r="E59" s="1" t="s">
        <v>18</v>
      </c>
      <c r="F59" s="1" t="n">
        <f aca="false">IFERROR('dens_visc_beta+2m2boh'!B22,"")</f>
        <v>20</v>
      </c>
      <c r="G59" s="3" t="str">
        <f aca="false">IFERROR('dens_visc_beta+2m2boh'!A25,"")</f>
        <v/>
      </c>
      <c r="H59" s="1" t="n">
        <f aca="false">IFERROR('dens_visc_beta+2m2boh'!B25,"")</f>
        <v>0</v>
      </c>
      <c r="I59" s="1" t="str">
        <f aca="false">IFERROR('dens_visc_beta+2m2boh'!G25,"")</f>
        <v/>
      </c>
      <c r="J59" s="1" t="n">
        <f aca="false">IFERROR('dens_visc_beta+2m2boh'!B39,"")</f>
        <v>0</v>
      </c>
      <c r="K59" s="1" t="str">
        <f aca="false">IF(AND(ISNUMBER(H59),ISNUMBER(I59),ISNUMBER(J59)),"✓",COUNTIF(H59:J59,"&gt;-999")&amp;"/3")</f>
        <v>2/3</v>
      </c>
    </row>
    <row r="60" customFormat="false" ht="15" hidden="false" customHeight="true" outlineLevel="0" collapsed="false">
      <c r="A60" s="1" t="s">
        <v>16</v>
      </c>
      <c r="B60" s="1" t="s">
        <v>12</v>
      </c>
      <c r="C60" s="1" t="s">
        <v>13</v>
      </c>
      <c r="D60" s="1" t="s">
        <v>17</v>
      </c>
      <c r="E60" s="1" t="s">
        <v>18</v>
      </c>
      <c r="F60" s="1" t="n">
        <f aca="false">IFERROR('dens_visc_beta+2m2boh'!B22,"")</f>
        <v>20</v>
      </c>
      <c r="G60" s="3" t="str">
        <f aca="false">IFERROR('dens_visc_beta+2m2boh'!A26,"")</f>
        <v/>
      </c>
      <c r="H60" s="1" t="n">
        <f aca="false">IFERROR('dens_visc_beta+2m2boh'!B26,"")</f>
        <v>0</v>
      </c>
      <c r="I60" s="1" t="str">
        <f aca="false">IFERROR('dens_visc_beta+2m2boh'!G26,"")</f>
        <v/>
      </c>
      <c r="J60" s="1" t="n">
        <f aca="false">IFERROR('dens_visc_beta+2m2boh'!B40,"")</f>
        <v>0</v>
      </c>
      <c r="K60" s="1" t="str">
        <f aca="false">IF(AND(ISNUMBER(H60),ISNUMBER(I60),ISNUMBER(J60)),"✓",COUNTIF(H60:J60,"&gt;-999")&amp;"/3")</f>
        <v>2/3</v>
      </c>
    </row>
    <row r="61" customFormat="false" ht="15" hidden="false" customHeight="true" outlineLevel="0" collapsed="false">
      <c r="A61" s="1" t="s">
        <v>16</v>
      </c>
      <c r="B61" s="1" t="s">
        <v>12</v>
      </c>
      <c r="C61" s="1" t="s">
        <v>13</v>
      </c>
      <c r="D61" s="1" t="s">
        <v>17</v>
      </c>
      <c r="E61" s="1" t="s">
        <v>18</v>
      </c>
      <c r="F61" s="1" t="n">
        <f aca="false">IFERROR('dens_visc_beta+2m2boh'!B22,"")</f>
        <v>20</v>
      </c>
      <c r="G61" s="3" t="str">
        <f aca="false">IFERROR('dens_visc_beta+2m2boh'!A27,"")</f>
        <v/>
      </c>
      <c r="H61" s="1" t="n">
        <f aca="false">IFERROR('dens_visc_beta+2m2boh'!B27,"")</f>
        <v>0</v>
      </c>
      <c r="I61" s="1" t="str">
        <f aca="false">IFERROR('dens_visc_beta+2m2boh'!G27,"")</f>
        <v/>
      </c>
      <c r="J61" s="1" t="n">
        <f aca="false">IFERROR('dens_visc_beta+2m2boh'!B41,"")</f>
        <v>0</v>
      </c>
      <c r="K61" s="1" t="str">
        <f aca="false">IF(AND(ISNUMBER(H61),ISNUMBER(I61),ISNUMBER(J61)),"✓",COUNTIF(H61:J61,"&gt;-999")&amp;"/3")</f>
        <v>2/3</v>
      </c>
    </row>
    <row r="62" customFormat="false" ht="15" hidden="false" customHeight="true" outlineLevel="0" collapsed="false">
      <c r="A62" s="1" t="s">
        <v>16</v>
      </c>
      <c r="B62" s="1" t="s">
        <v>12</v>
      </c>
      <c r="C62" s="1" t="s">
        <v>13</v>
      </c>
      <c r="D62" s="1" t="s">
        <v>17</v>
      </c>
      <c r="E62" s="1" t="s">
        <v>18</v>
      </c>
      <c r="F62" s="1" t="n">
        <f aca="false">IFERROR('dens_visc_beta+2m2boh'!B22,"")</f>
        <v>20</v>
      </c>
      <c r="G62" s="3" t="str">
        <f aca="false">IFERROR('dens_visc_beta+2m2boh'!A28,"")</f>
        <v/>
      </c>
      <c r="H62" s="1" t="n">
        <f aca="false">IFERROR('dens_visc_beta+2m2boh'!B28,"")</f>
        <v>0</v>
      </c>
      <c r="I62" s="1" t="str">
        <f aca="false">IFERROR('dens_visc_beta+2m2boh'!G28,"")</f>
        <v/>
      </c>
      <c r="J62" s="1" t="n">
        <f aca="false">IFERROR('dens_visc_beta+2m2boh'!B42,"")</f>
        <v>0</v>
      </c>
      <c r="K62" s="1" t="str">
        <f aca="false">IF(AND(ISNUMBER(H62),ISNUMBER(I62),ISNUMBER(J62)),"✓",COUNTIF(H62:J62,"&gt;-999")&amp;"/3")</f>
        <v>2/3</v>
      </c>
    </row>
    <row r="63" customFormat="false" ht="15" hidden="false" customHeight="true" outlineLevel="0" collapsed="false">
      <c r="A63" s="1" t="s">
        <v>16</v>
      </c>
      <c r="B63" s="1" t="s">
        <v>12</v>
      </c>
      <c r="C63" s="1" t="s">
        <v>13</v>
      </c>
      <c r="D63" s="1" t="s">
        <v>17</v>
      </c>
      <c r="E63" s="1" t="s">
        <v>18</v>
      </c>
      <c r="F63" s="1" t="n">
        <f aca="false">IFERROR('dens_visc_beta+2m2boh'!B22,"")</f>
        <v>20</v>
      </c>
      <c r="G63" s="3" t="str">
        <f aca="false">IFERROR('dens_visc_beta+2m2boh'!A29,"")</f>
        <v/>
      </c>
      <c r="H63" s="1" t="n">
        <f aca="false">IFERROR('dens_visc_beta+2m2boh'!B29,"")</f>
        <v>0</v>
      </c>
      <c r="I63" s="1" t="str">
        <f aca="false">IFERROR('dens_visc_beta+2m2boh'!G29,"")</f>
        <v/>
      </c>
      <c r="J63" s="1" t="n">
        <f aca="false">IFERROR('dens_visc_beta+2m2boh'!B43,"")</f>
        <v>0</v>
      </c>
      <c r="K63" s="1" t="str">
        <f aca="false">IF(AND(ISNUMBER(H63),ISNUMBER(I63),ISNUMBER(J63)),"✓",COUNTIF(H63:J63,"&gt;-999")&amp;"/3")</f>
        <v>2/3</v>
      </c>
    </row>
    <row r="64" customFormat="false" ht="15" hidden="false" customHeight="true" outlineLevel="0" collapsed="false">
      <c r="A64" s="1" t="s">
        <v>16</v>
      </c>
      <c r="B64" s="1" t="s">
        <v>12</v>
      </c>
      <c r="C64" s="1" t="s">
        <v>13</v>
      </c>
      <c r="D64" s="1" t="s">
        <v>17</v>
      </c>
      <c r="E64" s="1" t="s">
        <v>18</v>
      </c>
      <c r="F64" s="1" t="n">
        <f aca="false">IFERROR('dens_visc_beta+2m2boh'!B22,"")</f>
        <v>20</v>
      </c>
      <c r="G64" s="3" t="str">
        <f aca="false">IFERROR('dens_visc_beta+2m2boh'!A30,"")</f>
        <v/>
      </c>
      <c r="H64" s="1" t="n">
        <f aca="false">IFERROR('dens_visc_beta+2m2boh'!B30,"")</f>
        <v>0</v>
      </c>
      <c r="I64" s="1" t="str">
        <f aca="false">IFERROR('dens_visc_beta+2m2boh'!G30,"")</f>
        <v/>
      </c>
      <c r="J64" s="1" t="n">
        <f aca="false">IFERROR('dens_visc_beta+2m2boh'!B44,"")</f>
        <v>0</v>
      </c>
      <c r="K64" s="1" t="str">
        <f aca="false">IF(AND(ISNUMBER(H64),ISNUMBER(I64),ISNUMBER(J64)),"✓",COUNTIF(H64:J64,"&gt;-999")&amp;"/3")</f>
        <v>2/3</v>
      </c>
    </row>
    <row r="65" customFormat="false" ht="15" hidden="false" customHeight="true" outlineLevel="0" collapsed="false">
      <c r="A65" s="1" t="s">
        <v>16</v>
      </c>
      <c r="B65" s="1" t="s">
        <v>12</v>
      </c>
      <c r="C65" s="1" t="s">
        <v>13</v>
      </c>
      <c r="D65" s="1" t="s">
        <v>17</v>
      </c>
      <c r="E65" s="1" t="s">
        <v>18</v>
      </c>
      <c r="F65" s="1" t="n">
        <f aca="false">IFERROR('dens_visc_beta+2m2boh'!B22,"")</f>
        <v>20</v>
      </c>
      <c r="G65" s="3" t="str">
        <f aca="false">IFERROR('dens_visc_beta+2m2boh'!A31,"")</f>
        <v/>
      </c>
      <c r="H65" s="1" t="n">
        <f aca="false">IFERROR('dens_visc_beta+2m2boh'!B31,"")</f>
        <v>0</v>
      </c>
      <c r="I65" s="1" t="str">
        <f aca="false">IFERROR('dens_visc_beta+2m2boh'!G31,"")</f>
        <v/>
      </c>
      <c r="J65" s="1" t="n">
        <f aca="false">IFERROR('dens_visc_beta+2m2boh'!B45,"")</f>
        <v>0</v>
      </c>
      <c r="K65" s="1" t="str">
        <f aca="false">IF(AND(ISNUMBER(H65),ISNUMBER(I65),ISNUMBER(J65)),"✓",COUNTIF(H65:J65,"&gt;-999")&amp;"/3")</f>
        <v>2/3</v>
      </c>
    </row>
    <row r="66" customFormat="false" ht="15" hidden="false" customHeight="true" outlineLevel="0" collapsed="false">
      <c r="A66" s="1" t="s">
        <v>16</v>
      </c>
      <c r="B66" s="1" t="s">
        <v>12</v>
      </c>
      <c r="C66" s="1" t="s">
        <v>13</v>
      </c>
      <c r="D66" s="1" t="s">
        <v>17</v>
      </c>
      <c r="E66" s="1" t="s">
        <v>18</v>
      </c>
      <c r="F66" s="1" t="n">
        <f aca="false">IFERROR('dens_visc_beta+2m2boh'!B22,"")</f>
        <v>20</v>
      </c>
      <c r="G66" s="3" t="str">
        <f aca="false">IFERROR('dens_visc_beta+2m2boh'!A32,"")</f>
        <v/>
      </c>
      <c r="H66" s="1" t="n">
        <f aca="false">IFERROR('dens_visc_beta+2m2boh'!B32,"")</f>
        <v>0</v>
      </c>
      <c r="I66" s="1" t="str">
        <f aca="false">IFERROR('dens_visc_beta+2m2boh'!G32,"")</f>
        <v/>
      </c>
      <c r="J66" s="1" t="n">
        <f aca="false">IFERROR('dens_visc_beta+2m2boh'!B46,"")</f>
        <v>0</v>
      </c>
      <c r="K66" s="1" t="str">
        <f aca="false">IF(AND(ISNUMBER(H66),ISNUMBER(I66),ISNUMBER(J66)),"✓",COUNTIF(H66:J66,"&gt;-999")&amp;"/3")</f>
        <v>2/3</v>
      </c>
    </row>
    <row r="67" customFormat="false" ht="15" hidden="false" customHeight="true" outlineLevel="0" collapsed="false">
      <c r="A67" s="1" t="s">
        <v>16</v>
      </c>
      <c r="B67" s="1" t="s">
        <v>12</v>
      </c>
      <c r="C67" s="1" t="s">
        <v>13</v>
      </c>
      <c r="D67" s="1" t="s">
        <v>17</v>
      </c>
      <c r="E67" s="1" t="s">
        <v>18</v>
      </c>
      <c r="F67" s="1" t="n">
        <f aca="false">IFERROR('dens_visc_beta+2m2boh'!B22,"")</f>
        <v>20</v>
      </c>
      <c r="G67" s="1" t="n">
        <f aca="false">IFERROR('dens_visc_beta+2m2boh'!A33,"")</f>
        <v>1</v>
      </c>
      <c r="H67" s="1" t="n">
        <f aca="false">IFERROR('dens_visc_beta+2m2boh'!B33,"")</f>
        <v>0.94498</v>
      </c>
      <c r="I67" s="1" t="n">
        <f aca="false">IFERROR('dens_visc_beta+2m2boh'!G33,"")</f>
        <v>0</v>
      </c>
      <c r="J67" s="1" t="n">
        <f aca="false">IFERROR('dens_visc_beta+2m2boh'!B47,"")</f>
        <v>11.31</v>
      </c>
      <c r="K67" s="1" t="str">
        <f aca="false">IF(AND(ISNUMBER(H67),ISNUMBER(I67),ISNUMBER(J67)),"✓",COUNTIF(H67:J67,"&gt;-999")&amp;"/3")</f>
        <v>✓</v>
      </c>
    </row>
    <row r="68" customFormat="false" ht="15" hidden="false" customHeight="true" outlineLevel="0" collapsed="false">
      <c r="A68" s="1" t="s">
        <v>16</v>
      </c>
      <c r="B68" s="1" t="s">
        <v>12</v>
      </c>
      <c r="C68" s="1" t="s">
        <v>13</v>
      </c>
      <c r="D68" s="1" t="s">
        <v>17</v>
      </c>
      <c r="E68" s="1" t="s">
        <v>18</v>
      </c>
      <c r="F68" s="1" t="n">
        <f aca="false">IFERROR('dens_visc_beta+2m2boh'!C22,"")</f>
        <v>30</v>
      </c>
      <c r="G68" s="1" t="n">
        <f aca="false">IFERROR('dens_visc_beta+2m2boh'!A23,"")</f>
        <v>0</v>
      </c>
      <c r="H68" s="1" t="n">
        <f aca="false">IFERROR('dens_visc_beta+2m2boh'!C23,"")</f>
        <v>0.79979</v>
      </c>
      <c r="I68" s="1" t="n">
        <f aca="false">IFERROR('dens_visc_beta+2m2boh'!H23,"")</f>
        <v>0</v>
      </c>
      <c r="J68" s="1" t="n">
        <f aca="false">IFERROR('dens_visc_beta+2m2boh'!C37,"")</f>
        <v>2.776</v>
      </c>
      <c r="K68" s="1" t="str">
        <f aca="false">IF(AND(ISNUMBER(H68),ISNUMBER(I68),ISNUMBER(J68)),"✓",COUNTIF(H68:J68,"&gt;-999")&amp;"/3")</f>
        <v>✓</v>
      </c>
    </row>
    <row r="69" customFormat="false" ht="15" hidden="false" customHeight="true" outlineLevel="0" collapsed="false">
      <c r="A69" s="1" t="s">
        <v>16</v>
      </c>
      <c r="B69" s="1" t="s">
        <v>12</v>
      </c>
      <c r="C69" s="1" t="s">
        <v>13</v>
      </c>
      <c r="D69" s="1" t="s">
        <v>17</v>
      </c>
      <c r="E69" s="1" t="s">
        <v>18</v>
      </c>
      <c r="F69" s="1" t="n">
        <f aca="false">IFERROR('dens_visc_beta+2m2boh'!C22,"")</f>
        <v>30</v>
      </c>
      <c r="G69" s="3" t="str">
        <f aca="false">IFERROR('dens_visc_beta+2m2boh'!A24,"")</f>
        <v/>
      </c>
      <c r="H69" s="1" t="n">
        <f aca="false">IFERROR('dens_visc_beta+2m2boh'!C24,"")</f>
        <v>0</v>
      </c>
      <c r="I69" s="1" t="str">
        <f aca="false">IFERROR('dens_visc_beta+2m2boh'!H24,"")</f>
        <v/>
      </c>
      <c r="J69" s="1" t="n">
        <f aca="false">IFERROR('dens_visc_beta+2m2boh'!C38,"")</f>
        <v>0</v>
      </c>
      <c r="K69" s="1" t="str">
        <f aca="false">IF(AND(ISNUMBER(H69),ISNUMBER(I69),ISNUMBER(J69)),"✓",COUNTIF(H69:J69,"&gt;-999")&amp;"/3")</f>
        <v>2/3</v>
      </c>
    </row>
    <row r="70" customFormat="false" ht="15" hidden="false" customHeight="true" outlineLevel="0" collapsed="false">
      <c r="A70" s="1" t="s">
        <v>16</v>
      </c>
      <c r="B70" s="1" t="s">
        <v>12</v>
      </c>
      <c r="C70" s="1" t="s">
        <v>13</v>
      </c>
      <c r="D70" s="1" t="s">
        <v>17</v>
      </c>
      <c r="E70" s="1" t="s">
        <v>18</v>
      </c>
      <c r="F70" s="1" t="n">
        <f aca="false">IFERROR('dens_visc_beta+2m2boh'!C22,"")</f>
        <v>30</v>
      </c>
      <c r="G70" s="3" t="str">
        <f aca="false">IFERROR('dens_visc_beta+2m2boh'!A25,"")</f>
        <v/>
      </c>
      <c r="H70" s="1" t="n">
        <f aca="false">IFERROR('dens_visc_beta+2m2boh'!C25,"")</f>
        <v>0</v>
      </c>
      <c r="I70" s="1" t="str">
        <f aca="false">IFERROR('dens_visc_beta+2m2boh'!H25,"")</f>
        <v/>
      </c>
      <c r="J70" s="1" t="n">
        <f aca="false">IFERROR('dens_visc_beta+2m2boh'!C39,"")</f>
        <v>0</v>
      </c>
      <c r="K70" s="1" t="str">
        <f aca="false">IF(AND(ISNUMBER(H70),ISNUMBER(I70),ISNUMBER(J70)),"✓",COUNTIF(H70:J70,"&gt;-999")&amp;"/3")</f>
        <v>2/3</v>
      </c>
    </row>
    <row r="71" customFormat="false" ht="15" hidden="false" customHeight="true" outlineLevel="0" collapsed="false">
      <c r="A71" s="1" t="s">
        <v>16</v>
      </c>
      <c r="B71" s="1" t="s">
        <v>12</v>
      </c>
      <c r="C71" s="1" t="s">
        <v>13</v>
      </c>
      <c r="D71" s="1" t="s">
        <v>17</v>
      </c>
      <c r="E71" s="1" t="s">
        <v>18</v>
      </c>
      <c r="F71" s="1" t="n">
        <f aca="false">IFERROR('dens_visc_beta+2m2boh'!C22,"")</f>
        <v>30</v>
      </c>
      <c r="G71" s="3" t="str">
        <f aca="false">IFERROR('dens_visc_beta+2m2boh'!A26,"")</f>
        <v/>
      </c>
      <c r="H71" s="1" t="n">
        <f aca="false">IFERROR('dens_visc_beta+2m2boh'!C26,"")</f>
        <v>0</v>
      </c>
      <c r="I71" s="1" t="str">
        <f aca="false">IFERROR('dens_visc_beta+2m2boh'!H26,"")</f>
        <v/>
      </c>
      <c r="J71" s="1" t="n">
        <f aca="false">IFERROR('dens_visc_beta+2m2boh'!C40,"")</f>
        <v>0</v>
      </c>
      <c r="K71" s="1" t="str">
        <f aca="false">IF(AND(ISNUMBER(H71),ISNUMBER(I71),ISNUMBER(J71)),"✓",COUNTIF(H71:J71,"&gt;-999")&amp;"/3")</f>
        <v>2/3</v>
      </c>
    </row>
    <row r="72" customFormat="false" ht="15" hidden="false" customHeight="true" outlineLevel="0" collapsed="false">
      <c r="A72" s="1" t="s">
        <v>16</v>
      </c>
      <c r="B72" s="1" t="s">
        <v>12</v>
      </c>
      <c r="C72" s="1" t="s">
        <v>13</v>
      </c>
      <c r="D72" s="1" t="s">
        <v>17</v>
      </c>
      <c r="E72" s="1" t="s">
        <v>18</v>
      </c>
      <c r="F72" s="1" t="n">
        <f aca="false">IFERROR('dens_visc_beta+2m2boh'!C22,"")</f>
        <v>30</v>
      </c>
      <c r="G72" s="3" t="str">
        <f aca="false">IFERROR('dens_visc_beta+2m2boh'!A27,"")</f>
        <v/>
      </c>
      <c r="H72" s="1" t="n">
        <f aca="false">IFERROR('dens_visc_beta+2m2boh'!C27,"")</f>
        <v>0</v>
      </c>
      <c r="I72" s="1" t="str">
        <f aca="false">IFERROR('dens_visc_beta+2m2boh'!H27,"")</f>
        <v/>
      </c>
      <c r="J72" s="1" t="n">
        <f aca="false">IFERROR('dens_visc_beta+2m2boh'!C41,"")</f>
        <v>0</v>
      </c>
      <c r="K72" s="1" t="str">
        <f aca="false">IF(AND(ISNUMBER(H72),ISNUMBER(I72),ISNUMBER(J72)),"✓",COUNTIF(H72:J72,"&gt;-999")&amp;"/3")</f>
        <v>2/3</v>
      </c>
    </row>
    <row r="73" customFormat="false" ht="15" hidden="false" customHeight="true" outlineLevel="0" collapsed="false">
      <c r="A73" s="1" t="s">
        <v>16</v>
      </c>
      <c r="B73" s="1" t="s">
        <v>12</v>
      </c>
      <c r="C73" s="1" t="s">
        <v>13</v>
      </c>
      <c r="D73" s="1" t="s">
        <v>17</v>
      </c>
      <c r="E73" s="1" t="s">
        <v>18</v>
      </c>
      <c r="F73" s="1" t="n">
        <f aca="false">IFERROR('dens_visc_beta+2m2boh'!C22,"")</f>
        <v>30</v>
      </c>
      <c r="G73" s="3" t="str">
        <f aca="false">IFERROR('dens_visc_beta+2m2boh'!A28,"")</f>
        <v/>
      </c>
      <c r="H73" s="1" t="n">
        <f aca="false">IFERROR('dens_visc_beta+2m2boh'!C28,"")</f>
        <v>0</v>
      </c>
      <c r="I73" s="1" t="str">
        <f aca="false">IFERROR('dens_visc_beta+2m2boh'!H28,"")</f>
        <v/>
      </c>
      <c r="J73" s="1" t="n">
        <f aca="false">IFERROR('dens_visc_beta+2m2boh'!C42,"")</f>
        <v>0</v>
      </c>
      <c r="K73" s="1" t="str">
        <f aca="false">IF(AND(ISNUMBER(H73),ISNUMBER(I73),ISNUMBER(J73)),"✓",COUNTIF(H73:J73,"&gt;-999")&amp;"/3")</f>
        <v>2/3</v>
      </c>
    </row>
    <row r="74" customFormat="false" ht="15" hidden="false" customHeight="true" outlineLevel="0" collapsed="false">
      <c r="A74" s="1" t="s">
        <v>16</v>
      </c>
      <c r="B74" s="1" t="s">
        <v>12</v>
      </c>
      <c r="C74" s="1" t="s">
        <v>13</v>
      </c>
      <c r="D74" s="1" t="s">
        <v>17</v>
      </c>
      <c r="E74" s="1" t="s">
        <v>18</v>
      </c>
      <c r="F74" s="1" t="n">
        <f aca="false">IFERROR('dens_visc_beta+2m2boh'!C22,"")</f>
        <v>30</v>
      </c>
      <c r="G74" s="3" t="str">
        <f aca="false">IFERROR('dens_visc_beta+2m2boh'!A29,"")</f>
        <v/>
      </c>
      <c r="H74" s="1" t="n">
        <f aca="false">IFERROR('dens_visc_beta+2m2boh'!C29,"")</f>
        <v>0</v>
      </c>
      <c r="I74" s="1" t="str">
        <f aca="false">IFERROR('dens_visc_beta+2m2boh'!H29,"")</f>
        <v/>
      </c>
      <c r="J74" s="1" t="n">
        <f aca="false">IFERROR('dens_visc_beta+2m2boh'!C43,"")</f>
        <v>0</v>
      </c>
      <c r="K74" s="1" t="str">
        <f aca="false">IF(AND(ISNUMBER(H74),ISNUMBER(I74),ISNUMBER(J74)),"✓",COUNTIF(H74:J74,"&gt;-999")&amp;"/3")</f>
        <v>2/3</v>
      </c>
    </row>
    <row r="75" customFormat="false" ht="15" hidden="false" customHeight="true" outlineLevel="0" collapsed="false">
      <c r="A75" s="1" t="s">
        <v>16</v>
      </c>
      <c r="B75" s="1" t="s">
        <v>12</v>
      </c>
      <c r="C75" s="1" t="s">
        <v>13</v>
      </c>
      <c r="D75" s="1" t="s">
        <v>17</v>
      </c>
      <c r="E75" s="1" t="s">
        <v>18</v>
      </c>
      <c r="F75" s="1" t="n">
        <f aca="false">IFERROR('dens_visc_beta+2m2boh'!C22,"")</f>
        <v>30</v>
      </c>
      <c r="G75" s="3" t="str">
        <f aca="false">IFERROR('dens_visc_beta+2m2boh'!A30,"")</f>
        <v/>
      </c>
      <c r="H75" s="1" t="n">
        <f aca="false">IFERROR('dens_visc_beta+2m2boh'!C30,"")</f>
        <v>0</v>
      </c>
      <c r="I75" s="1" t="str">
        <f aca="false">IFERROR('dens_visc_beta+2m2boh'!H30,"")</f>
        <v/>
      </c>
      <c r="J75" s="1" t="n">
        <f aca="false">IFERROR('dens_visc_beta+2m2boh'!C44,"")</f>
        <v>0</v>
      </c>
      <c r="K75" s="1" t="str">
        <f aca="false">IF(AND(ISNUMBER(H75),ISNUMBER(I75),ISNUMBER(J75)),"✓",COUNTIF(H75:J75,"&gt;-999")&amp;"/3")</f>
        <v>2/3</v>
      </c>
    </row>
    <row r="76" customFormat="false" ht="15" hidden="false" customHeight="true" outlineLevel="0" collapsed="false">
      <c r="A76" s="1" t="s">
        <v>16</v>
      </c>
      <c r="B76" s="1" t="s">
        <v>12</v>
      </c>
      <c r="C76" s="1" t="s">
        <v>13</v>
      </c>
      <c r="D76" s="1" t="s">
        <v>17</v>
      </c>
      <c r="E76" s="1" t="s">
        <v>18</v>
      </c>
      <c r="F76" s="1" t="n">
        <f aca="false">IFERROR('dens_visc_beta+2m2boh'!C22,"")</f>
        <v>30</v>
      </c>
      <c r="G76" s="3" t="str">
        <f aca="false">IFERROR('dens_visc_beta+2m2boh'!A31,"")</f>
        <v/>
      </c>
      <c r="H76" s="1" t="n">
        <f aca="false">IFERROR('dens_visc_beta+2m2boh'!C31,"")</f>
        <v>0</v>
      </c>
      <c r="I76" s="1" t="str">
        <f aca="false">IFERROR('dens_visc_beta+2m2boh'!H31,"")</f>
        <v/>
      </c>
      <c r="J76" s="1" t="n">
        <f aca="false">IFERROR('dens_visc_beta+2m2boh'!C45,"")</f>
        <v>0</v>
      </c>
      <c r="K76" s="1" t="str">
        <f aca="false">IF(AND(ISNUMBER(H76),ISNUMBER(I76),ISNUMBER(J76)),"✓",COUNTIF(H76:J76,"&gt;-999")&amp;"/3")</f>
        <v>2/3</v>
      </c>
    </row>
    <row r="77" customFormat="false" ht="15" hidden="false" customHeight="true" outlineLevel="0" collapsed="false">
      <c r="A77" s="1" t="s">
        <v>16</v>
      </c>
      <c r="B77" s="1" t="s">
        <v>12</v>
      </c>
      <c r="C77" s="1" t="s">
        <v>13</v>
      </c>
      <c r="D77" s="1" t="s">
        <v>17</v>
      </c>
      <c r="E77" s="1" t="s">
        <v>18</v>
      </c>
      <c r="F77" s="1" t="n">
        <f aca="false">IFERROR('dens_visc_beta+2m2boh'!C22,"")</f>
        <v>30</v>
      </c>
      <c r="G77" s="3" t="str">
        <f aca="false">IFERROR('dens_visc_beta+2m2boh'!A32,"")</f>
        <v/>
      </c>
      <c r="H77" s="1" t="n">
        <f aca="false">IFERROR('dens_visc_beta+2m2boh'!C32,"")</f>
        <v>0</v>
      </c>
      <c r="I77" s="1" t="str">
        <f aca="false">IFERROR('dens_visc_beta+2m2boh'!H32,"")</f>
        <v/>
      </c>
      <c r="J77" s="1" t="n">
        <f aca="false">IFERROR('dens_visc_beta+2m2boh'!C46,"")</f>
        <v>0</v>
      </c>
      <c r="K77" s="1" t="str">
        <f aca="false">IF(AND(ISNUMBER(H77),ISNUMBER(I77),ISNUMBER(J77)),"✓",COUNTIF(H77:J77,"&gt;-999")&amp;"/3")</f>
        <v>2/3</v>
      </c>
    </row>
    <row r="78" customFormat="false" ht="15" hidden="false" customHeight="true" outlineLevel="0" collapsed="false">
      <c r="A78" s="1" t="s">
        <v>16</v>
      </c>
      <c r="B78" s="1" t="s">
        <v>12</v>
      </c>
      <c r="C78" s="1" t="s">
        <v>13</v>
      </c>
      <c r="D78" s="1" t="s">
        <v>17</v>
      </c>
      <c r="E78" s="1" t="s">
        <v>18</v>
      </c>
      <c r="F78" s="1" t="n">
        <f aca="false">IFERROR('dens_visc_beta+2m2boh'!C22,"")</f>
        <v>30</v>
      </c>
      <c r="G78" s="1" t="n">
        <f aca="false">IFERROR('dens_visc_beta+2m2boh'!A33,"")</f>
        <v>1</v>
      </c>
      <c r="H78" s="1" t="n">
        <f aca="false">IFERROR('dens_visc_beta+2m2boh'!C33,"")</f>
        <v>0.93726</v>
      </c>
      <c r="I78" s="1" t="n">
        <f aca="false">IFERROR('dens_visc_beta+2m2boh'!H33,"")</f>
        <v>0</v>
      </c>
      <c r="J78" s="1" t="n">
        <f aca="false">IFERROR('dens_visc_beta+2m2boh'!C47,"")</f>
        <v>7.323</v>
      </c>
      <c r="K78" s="1" t="str">
        <f aca="false">IF(AND(ISNUMBER(H78),ISNUMBER(I78),ISNUMBER(J78)),"✓",COUNTIF(H78:J78,"&gt;-999")&amp;"/3")</f>
        <v>✓</v>
      </c>
    </row>
    <row r="79" customFormat="false" ht="15" hidden="false" customHeight="true" outlineLevel="0" collapsed="false">
      <c r="A79" s="1" t="s">
        <v>16</v>
      </c>
      <c r="B79" s="1" t="s">
        <v>12</v>
      </c>
      <c r="C79" s="1" t="s">
        <v>13</v>
      </c>
      <c r="D79" s="1" t="s">
        <v>17</v>
      </c>
      <c r="E79" s="1" t="s">
        <v>18</v>
      </c>
      <c r="F79" s="1" t="n">
        <f aca="false">IFERROR('dens_visc_beta+2m2boh'!D22,"")</f>
        <v>40</v>
      </c>
      <c r="G79" s="1" t="n">
        <f aca="false">IFERROR('dens_visc_beta+2m2boh'!A23,"")</f>
        <v>0</v>
      </c>
      <c r="H79" s="1" t="n">
        <f aca="false">IFERROR('dens_visc_beta+2m2boh'!D23,"")</f>
        <v>0.79035</v>
      </c>
      <c r="I79" s="1" t="n">
        <f aca="false">IFERROR('dens_visc_beta+2m2boh'!I23,"")</f>
        <v>0</v>
      </c>
      <c r="J79" s="1" t="n">
        <f aca="false">IFERROR('dens_visc_beta+2m2boh'!D37,"")</f>
        <v>1.918</v>
      </c>
      <c r="K79" s="1" t="str">
        <f aca="false">IF(AND(ISNUMBER(H79),ISNUMBER(I79),ISNUMBER(J79)),"✓",COUNTIF(H79:J79,"&gt;-999")&amp;"/3")</f>
        <v>✓</v>
      </c>
    </row>
    <row r="80" customFormat="false" ht="15" hidden="false" customHeight="true" outlineLevel="0" collapsed="false">
      <c r="A80" s="1" t="s">
        <v>16</v>
      </c>
      <c r="B80" s="1" t="s">
        <v>12</v>
      </c>
      <c r="C80" s="1" t="s">
        <v>13</v>
      </c>
      <c r="D80" s="1" t="s">
        <v>17</v>
      </c>
      <c r="E80" s="1" t="s">
        <v>18</v>
      </c>
      <c r="F80" s="1" t="n">
        <f aca="false">IFERROR('dens_visc_beta+2m2boh'!D22,"")</f>
        <v>40</v>
      </c>
      <c r="G80" s="3" t="str">
        <f aca="false">IFERROR('dens_visc_beta+2m2boh'!A24,"")</f>
        <v/>
      </c>
      <c r="H80" s="1" t="n">
        <f aca="false">IFERROR('dens_visc_beta+2m2boh'!D24,"")</f>
        <v>0</v>
      </c>
      <c r="I80" s="1" t="str">
        <f aca="false">IFERROR('dens_visc_beta+2m2boh'!I24,"")</f>
        <v/>
      </c>
      <c r="J80" s="1" t="n">
        <f aca="false">IFERROR('dens_visc_beta+2m2boh'!D38,"")</f>
        <v>0</v>
      </c>
      <c r="K80" s="1" t="str">
        <f aca="false">IF(AND(ISNUMBER(H80),ISNUMBER(I80),ISNUMBER(J80)),"✓",COUNTIF(H80:J80,"&gt;-999")&amp;"/3")</f>
        <v>2/3</v>
      </c>
    </row>
    <row r="81" customFormat="false" ht="15" hidden="false" customHeight="true" outlineLevel="0" collapsed="false">
      <c r="A81" s="1" t="s">
        <v>16</v>
      </c>
      <c r="B81" s="1" t="s">
        <v>12</v>
      </c>
      <c r="C81" s="1" t="s">
        <v>13</v>
      </c>
      <c r="D81" s="1" t="s">
        <v>17</v>
      </c>
      <c r="E81" s="1" t="s">
        <v>18</v>
      </c>
      <c r="F81" s="1" t="n">
        <f aca="false">IFERROR('dens_visc_beta+2m2boh'!D22,"")</f>
        <v>40</v>
      </c>
      <c r="G81" s="3" t="str">
        <f aca="false">IFERROR('dens_visc_beta+2m2boh'!A25,"")</f>
        <v/>
      </c>
      <c r="H81" s="1" t="n">
        <f aca="false">IFERROR('dens_visc_beta+2m2boh'!D25,"")</f>
        <v>0</v>
      </c>
      <c r="I81" s="1" t="str">
        <f aca="false">IFERROR('dens_visc_beta+2m2boh'!I25,"")</f>
        <v/>
      </c>
      <c r="J81" s="1" t="n">
        <f aca="false">IFERROR('dens_visc_beta+2m2boh'!D39,"")</f>
        <v>0</v>
      </c>
      <c r="K81" s="1" t="str">
        <f aca="false">IF(AND(ISNUMBER(H81),ISNUMBER(I81),ISNUMBER(J81)),"✓",COUNTIF(H81:J81,"&gt;-999")&amp;"/3")</f>
        <v>2/3</v>
      </c>
    </row>
    <row r="82" customFormat="false" ht="15" hidden="false" customHeight="true" outlineLevel="0" collapsed="false">
      <c r="A82" s="1" t="s">
        <v>16</v>
      </c>
      <c r="B82" s="1" t="s">
        <v>12</v>
      </c>
      <c r="C82" s="1" t="s">
        <v>13</v>
      </c>
      <c r="D82" s="1" t="s">
        <v>17</v>
      </c>
      <c r="E82" s="1" t="s">
        <v>18</v>
      </c>
      <c r="F82" s="1" t="n">
        <f aca="false">IFERROR('dens_visc_beta+2m2boh'!D22,"")</f>
        <v>40</v>
      </c>
      <c r="G82" s="3" t="str">
        <f aca="false">IFERROR('dens_visc_beta+2m2boh'!A26,"")</f>
        <v/>
      </c>
      <c r="H82" s="1" t="n">
        <f aca="false">IFERROR('dens_visc_beta+2m2boh'!D26,"")</f>
        <v>0</v>
      </c>
      <c r="I82" s="1" t="str">
        <f aca="false">IFERROR('dens_visc_beta+2m2boh'!I26,"")</f>
        <v/>
      </c>
      <c r="J82" s="1" t="n">
        <f aca="false">IFERROR('dens_visc_beta+2m2boh'!D40,"")</f>
        <v>0</v>
      </c>
      <c r="K82" s="1" t="str">
        <f aca="false">IF(AND(ISNUMBER(H82),ISNUMBER(I82),ISNUMBER(J82)),"✓",COUNTIF(H82:J82,"&gt;-999")&amp;"/3")</f>
        <v>2/3</v>
      </c>
    </row>
    <row r="83" customFormat="false" ht="15" hidden="false" customHeight="true" outlineLevel="0" collapsed="false">
      <c r="A83" s="1" t="s">
        <v>16</v>
      </c>
      <c r="B83" s="1" t="s">
        <v>12</v>
      </c>
      <c r="C83" s="1" t="s">
        <v>13</v>
      </c>
      <c r="D83" s="1" t="s">
        <v>17</v>
      </c>
      <c r="E83" s="1" t="s">
        <v>18</v>
      </c>
      <c r="F83" s="1" t="n">
        <f aca="false">IFERROR('dens_visc_beta+2m2boh'!D22,"")</f>
        <v>40</v>
      </c>
      <c r="G83" s="3" t="str">
        <f aca="false">IFERROR('dens_visc_beta+2m2boh'!A27,"")</f>
        <v/>
      </c>
      <c r="H83" s="1" t="n">
        <f aca="false">IFERROR('dens_visc_beta+2m2boh'!D27,"")</f>
        <v>0</v>
      </c>
      <c r="I83" s="1" t="str">
        <f aca="false">IFERROR('dens_visc_beta+2m2boh'!I27,"")</f>
        <v/>
      </c>
      <c r="J83" s="1" t="n">
        <f aca="false">IFERROR('dens_visc_beta+2m2boh'!D41,"")</f>
        <v>0</v>
      </c>
      <c r="K83" s="1" t="str">
        <f aca="false">IF(AND(ISNUMBER(H83),ISNUMBER(I83),ISNUMBER(J83)),"✓",COUNTIF(H83:J83,"&gt;-999")&amp;"/3")</f>
        <v>2/3</v>
      </c>
    </row>
    <row r="84" customFormat="false" ht="15" hidden="false" customHeight="true" outlineLevel="0" collapsed="false">
      <c r="A84" s="1" t="s">
        <v>16</v>
      </c>
      <c r="B84" s="1" t="s">
        <v>12</v>
      </c>
      <c r="C84" s="1" t="s">
        <v>13</v>
      </c>
      <c r="D84" s="1" t="s">
        <v>17</v>
      </c>
      <c r="E84" s="1" t="s">
        <v>18</v>
      </c>
      <c r="F84" s="1" t="n">
        <f aca="false">IFERROR('dens_visc_beta+2m2boh'!D22,"")</f>
        <v>40</v>
      </c>
      <c r="G84" s="3" t="str">
        <f aca="false">IFERROR('dens_visc_beta+2m2boh'!A28,"")</f>
        <v/>
      </c>
      <c r="H84" s="1" t="n">
        <f aca="false">IFERROR('dens_visc_beta+2m2boh'!D28,"")</f>
        <v>0</v>
      </c>
      <c r="I84" s="1" t="str">
        <f aca="false">IFERROR('dens_visc_beta+2m2boh'!I28,"")</f>
        <v/>
      </c>
      <c r="J84" s="1" t="n">
        <f aca="false">IFERROR('dens_visc_beta+2m2boh'!D42,"")</f>
        <v>0</v>
      </c>
      <c r="K84" s="1" t="str">
        <f aca="false">IF(AND(ISNUMBER(H84),ISNUMBER(I84),ISNUMBER(J84)),"✓",COUNTIF(H84:J84,"&gt;-999")&amp;"/3")</f>
        <v>2/3</v>
      </c>
    </row>
    <row r="85" customFormat="false" ht="15" hidden="false" customHeight="true" outlineLevel="0" collapsed="false">
      <c r="A85" s="1" t="s">
        <v>16</v>
      </c>
      <c r="B85" s="1" t="s">
        <v>12</v>
      </c>
      <c r="C85" s="1" t="s">
        <v>13</v>
      </c>
      <c r="D85" s="1" t="s">
        <v>17</v>
      </c>
      <c r="E85" s="1" t="s">
        <v>18</v>
      </c>
      <c r="F85" s="1" t="n">
        <f aca="false">IFERROR('dens_visc_beta+2m2boh'!D22,"")</f>
        <v>40</v>
      </c>
      <c r="G85" s="3" t="str">
        <f aca="false">IFERROR('dens_visc_beta+2m2boh'!A29,"")</f>
        <v/>
      </c>
      <c r="H85" s="1" t="n">
        <f aca="false">IFERROR('dens_visc_beta+2m2boh'!D29,"")</f>
        <v>0</v>
      </c>
      <c r="I85" s="1" t="str">
        <f aca="false">IFERROR('dens_visc_beta+2m2boh'!I29,"")</f>
        <v/>
      </c>
      <c r="J85" s="1" t="n">
        <f aca="false">IFERROR('dens_visc_beta+2m2boh'!D43,"")</f>
        <v>0</v>
      </c>
      <c r="K85" s="1" t="str">
        <f aca="false">IF(AND(ISNUMBER(H85),ISNUMBER(I85),ISNUMBER(J85)),"✓",COUNTIF(H85:J85,"&gt;-999")&amp;"/3")</f>
        <v>2/3</v>
      </c>
    </row>
    <row r="86" customFormat="false" ht="15" hidden="false" customHeight="true" outlineLevel="0" collapsed="false">
      <c r="A86" s="1" t="s">
        <v>16</v>
      </c>
      <c r="B86" s="1" t="s">
        <v>12</v>
      </c>
      <c r="C86" s="1" t="s">
        <v>13</v>
      </c>
      <c r="D86" s="1" t="s">
        <v>17</v>
      </c>
      <c r="E86" s="1" t="s">
        <v>18</v>
      </c>
      <c r="F86" s="1" t="n">
        <f aca="false">IFERROR('dens_visc_beta+2m2boh'!D22,"")</f>
        <v>40</v>
      </c>
      <c r="G86" s="3" t="str">
        <f aca="false">IFERROR('dens_visc_beta+2m2boh'!A30,"")</f>
        <v/>
      </c>
      <c r="H86" s="1" t="n">
        <f aca="false">IFERROR('dens_visc_beta+2m2boh'!D30,"")</f>
        <v>0</v>
      </c>
      <c r="I86" s="1" t="str">
        <f aca="false">IFERROR('dens_visc_beta+2m2boh'!I30,"")</f>
        <v/>
      </c>
      <c r="J86" s="1" t="n">
        <f aca="false">IFERROR('dens_visc_beta+2m2boh'!D44,"")</f>
        <v>0</v>
      </c>
      <c r="K86" s="1" t="str">
        <f aca="false">IF(AND(ISNUMBER(H86),ISNUMBER(I86),ISNUMBER(J86)),"✓",COUNTIF(H86:J86,"&gt;-999")&amp;"/3")</f>
        <v>2/3</v>
      </c>
    </row>
    <row r="87" customFormat="false" ht="15" hidden="false" customHeight="true" outlineLevel="0" collapsed="false">
      <c r="A87" s="1" t="s">
        <v>16</v>
      </c>
      <c r="B87" s="1" t="s">
        <v>12</v>
      </c>
      <c r="C87" s="1" t="s">
        <v>13</v>
      </c>
      <c r="D87" s="1" t="s">
        <v>17</v>
      </c>
      <c r="E87" s="1" t="s">
        <v>18</v>
      </c>
      <c r="F87" s="1" t="n">
        <f aca="false">IFERROR('dens_visc_beta+2m2boh'!D22,"")</f>
        <v>40</v>
      </c>
      <c r="G87" s="3" t="str">
        <f aca="false">IFERROR('dens_visc_beta+2m2boh'!A31,"")</f>
        <v/>
      </c>
      <c r="H87" s="1" t="n">
        <f aca="false">IFERROR('dens_visc_beta+2m2boh'!D31,"")</f>
        <v>0</v>
      </c>
      <c r="I87" s="1" t="str">
        <f aca="false">IFERROR('dens_visc_beta+2m2boh'!I31,"")</f>
        <v/>
      </c>
      <c r="J87" s="1" t="n">
        <f aca="false">IFERROR('dens_visc_beta+2m2boh'!D45,"")</f>
        <v>0</v>
      </c>
      <c r="K87" s="1" t="str">
        <f aca="false">IF(AND(ISNUMBER(H87),ISNUMBER(I87),ISNUMBER(J87)),"✓",COUNTIF(H87:J87,"&gt;-999")&amp;"/3")</f>
        <v>2/3</v>
      </c>
    </row>
    <row r="88" customFormat="false" ht="15" hidden="false" customHeight="true" outlineLevel="0" collapsed="false">
      <c r="A88" s="1" t="s">
        <v>16</v>
      </c>
      <c r="B88" s="1" t="s">
        <v>12</v>
      </c>
      <c r="C88" s="1" t="s">
        <v>13</v>
      </c>
      <c r="D88" s="1" t="s">
        <v>17</v>
      </c>
      <c r="E88" s="1" t="s">
        <v>18</v>
      </c>
      <c r="F88" s="1" t="n">
        <f aca="false">IFERROR('dens_visc_beta+2m2boh'!D22,"")</f>
        <v>40</v>
      </c>
      <c r="G88" s="3" t="str">
        <f aca="false">IFERROR('dens_visc_beta+2m2boh'!A32,"")</f>
        <v/>
      </c>
      <c r="H88" s="1" t="n">
        <f aca="false">IFERROR('dens_visc_beta+2m2boh'!D32,"")</f>
        <v>0</v>
      </c>
      <c r="I88" s="1" t="str">
        <f aca="false">IFERROR('dens_visc_beta+2m2boh'!I32,"")</f>
        <v/>
      </c>
      <c r="J88" s="1" t="n">
        <f aca="false">IFERROR('dens_visc_beta+2m2boh'!D46,"")</f>
        <v>0</v>
      </c>
      <c r="K88" s="1" t="str">
        <f aca="false">IF(AND(ISNUMBER(H88),ISNUMBER(I88),ISNUMBER(J88)),"✓",COUNTIF(H88:J88,"&gt;-999")&amp;"/3")</f>
        <v>2/3</v>
      </c>
    </row>
    <row r="89" customFormat="false" ht="15" hidden="false" customHeight="true" outlineLevel="0" collapsed="false">
      <c r="A89" s="1" t="s">
        <v>16</v>
      </c>
      <c r="B89" s="1" t="s">
        <v>12</v>
      </c>
      <c r="C89" s="1" t="s">
        <v>13</v>
      </c>
      <c r="D89" s="1" t="s">
        <v>17</v>
      </c>
      <c r="E89" s="1" t="s">
        <v>18</v>
      </c>
      <c r="F89" s="1" t="n">
        <f aca="false">IFERROR('dens_visc_beta+2m2boh'!D22,"")</f>
        <v>40</v>
      </c>
      <c r="G89" s="1" t="n">
        <f aca="false">IFERROR('dens_visc_beta+2m2boh'!A33,"")</f>
        <v>1</v>
      </c>
      <c r="H89" s="1" t="n">
        <f aca="false">IFERROR('dens_visc_beta+2m2boh'!D33,"")</f>
        <v>0.9295</v>
      </c>
      <c r="I89" s="1" t="n">
        <f aca="false">IFERROR('dens_visc_beta+2m2boh'!I33,"")</f>
        <v>0</v>
      </c>
      <c r="J89" s="1" t="n">
        <f aca="false">IFERROR('dens_visc_beta+2m2boh'!D47,"")</f>
        <v>5.121</v>
      </c>
      <c r="K89" s="1" t="str">
        <f aca="false">IF(AND(ISNUMBER(H89),ISNUMBER(I89),ISNUMBER(J89)),"✓",COUNTIF(H89:J89,"&gt;-999")&amp;"/3")</f>
        <v>✓</v>
      </c>
    </row>
    <row r="90" customFormat="false" ht="15" hidden="false" customHeight="true" outlineLevel="0" collapsed="false">
      <c r="A90" s="1" t="s">
        <v>16</v>
      </c>
      <c r="B90" s="1" t="s">
        <v>12</v>
      </c>
      <c r="C90" s="1" t="s">
        <v>13</v>
      </c>
      <c r="D90" s="1" t="s">
        <v>17</v>
      </c>
      <c r="E90" s="1" t="s">
        <v>18</v>
      </c>
      <c r="F90" s="1" t="n">
        <f aca="false">IFERROR('dens_visc_beta+2m2boh'!E22,"")</f>
        <v>50</v>
      </c>
      <c r="G90" s="1" t="n">
        <f aca="false">IFERROR('dens_visc_beta+2m2boh'!A23,"")</f>
        <v>0</v>
      </c>
      <c r="H90" s="1" t="n">
        <f aca="false">IFERROR('dens_visc_beta+2m2boh'!E23,"")</f>
        <v>0.7806</v>
      </c>
      <c r="I90" s="1" t="n">
        <f aca="false">IFERROR('dens_visc_beta+2m2boh'!J23,"")</f>
        <v>0</v>
      </c>
      <c r="J90" s="1" t="n">
        <f aca="false">IFERROR('dens_visc_beta+2m2boh'!E37,"")</f>
        <v>1.397</v>
      </c>
      <c r="K90" s="1" t="str">
        <f aca="false">IF(AND(ISNUMBER(H90),ISNUMBER(I90),ISNUMBER(J90)),"✓",COUNTIF(H90:J90,"&gt;-999")&amp;"/3")</f>
        <v>✓</v>
      </c>
    </row>
    <row r="91" customFormat="false" ht="15" hidden="false" customHeight="true" outlineLevel="0" collapsed="false">
      <c r="A91" s="1" t="s">
        <v>16</v>
      </c>
      <c r="B91" s="1" t="s">
        <v>12</v>
      </c>
      <c r="C91" s="1" t="s">
        <v>13</v>
      </c>
      <c r="D91" s="1" t="s">
        <v>17</v>
      </c>
      <c r="E91" s="1" t="s">
        <v>18</v>
      </c>
      <c r="F91" s="1" t="n">
        <f aca="false">IFERROR('dens_visc_beta+2m2boh'!E22,"")</f>
        <v>50</v>
      </c>
      <c r="G91" s="3" t="str">
        <f aca="false">IFERROR('dens_visc_beta+2m2boh'!A24,"")</f>
        <v/>
      </c>
      <c r="H91" s="1" t="n">
        <f aca="false">IFERROR('dens_visc_beta+2m2boh'!E24,"")</f>
        <v>0</v>
      </c>
      <c r="I91" s="1" t="str">
        <f aca="false">IFERROR('dens_visc_beta+2m2boh'!J24,"")</f>
        <v/>
      </c>
      <c r="J91" s="1" t="n">
        <f aca="false">IFERROR('dens_visc_beta+2m2boh'!E38,"")</f>
        <v>0</v>
      </c>
      <c r="K91" s="1" t="str">
        <f aca="false">IF(AND(ISNUMBER(H91),ISNUMBER(I91),ISNUMBER(J91)),"✓",COUNTIF(H91:J91,"&gt;-999")&amp;"/3")</f>
        <v>2/3</v>
      </c>
    </row>
    <row r="92" customFormat="false" ht="15" hidden="false" customHeight="true" outlineLevel="0" collapsed="false">
      <c r="A92" s="1" t="s">
        <v>16</v>
      </c>
      <c r="B92" s="1" t="s">
        <v>12</v>
      </c>
      <c r="C92" s="1" t="s">
        <v>13</v>
      </c>
      <c r="D92" s="1" t="s">
        <v>17</v>
      </c>
      <c r="E92" s="1" t="s">
        <v>18</v>
      </c>
      <c r="F92" s="1" t="n">
        <f aca="false">IFERROR('dens_visc_beta+2m2boh'!E22,"")</f>
        <v>50</v>
      </c>
      <c r="G92" s="3" t="str">
        <f aca="false">IFERROR('dens_visc_beta+2m2boh'!A25,"")</f>
        <v/>
      </c>
      <c r="H92" s="1" t="n">
        <f aca="false">IFERROR('dens_visc_beta+2m2boh'!E25,"")</f>
        <v>0</v>
      </c>
      <c r="I92" s="1" t="str">
        <f aca="false">IFERROR('dens_visc_beta+2m2boh'!J25,"")</f>
        <v/>
      </c>
      <c r="J92" s="1" t="n">
        <f aca="false">IFERROR('dens_visc_beta+2m2boh'!E39,"")</f>
        <v>0</v>
      </c>
      <c r="K92" s="1" t="str">
        <f aca="false">IF(AND(ISNUMBER(H92),ISNUMBER(I92),ISNUMBER(J92)),"✓",COUNTIF(H92:J92,"&gt;-999")&amp;"/3")</f>
        <v>2/3</v>
      </c>
    </row>
    <row r="93" customFormat="false" ht="15" hidden="false" customHeight="true" outlineLevel="0" collapsed="false">
      <c r="A93" s="1" t="s">
        <v>16</v>
      </c>
      <c r="B93" s="1" t="s">
        <v>12</v>
      </c>
      <c r="C93" s="1" t="s">
        <v>13</v>
      </c>
      <c r="D93" s="1" t="s">
        <v>17</v>
      </c>
      <c r="E93" s="1" t="s">
        <v>18</v>
      </c>
      <c r="F93" s="1" t="n">
        <f aca="false">IFERROR('dens_visc_beta+2m2boh'!E22,"")</f>
        <v>50</v>
      </c>
      <c r="G93" s="3" t="str">
        <f aca="false">IFERROR('dens_visc_beta+2m2boh'!A26,"")</f>
        <v/>
      </c>
      <c r="H93" s="1" t="n">
        <f aca="false">IFERROR('dens_visc_beta+2m2boh'!E26,"")</f>
        <v>0</v>
      </c>
      <c r="I93" s="1" t="str">
        <f aca="false">IFERROR('dens_visc_beta+2m2boh'!J26,"")</f>
        <v/>
      </c>
      <c r="J93" s="1" t="n">
        <f aca="false">IFERROR('dens_visc_beta+2m2boh'!E40,"")</f>
        <v>0</v>
      </c>
      <c r="K93" s="1" t="str">
        <f aca="false">IF(AND(ISNUMBER(H93),ISNUMBER(I93),ISNUMBER(J93)),"✓",COUNTIF(H93:J93,"&gt;-999")&amp;"/3")</f>
        <v>2/3</v>
      </c>
    </row>
    <row r="94" customFormat="false" ht="15" hidden="false" customHeight="true" outlineLevel="0" collapsed="false">
      <c r="A94" s="1" t="s">
        <v>16</v>
      </c>
      <c r="B94" s="1" t="s">
        <v>12</v>
      </c>
      <c r="C94" s="1" t="s">
        <v>13</v>
      </c>
      <c r="D94" s="1" t="s">
        <v>17</v>
      </c>
      <c r="E94" s="1" t="s">
        <v>18</v>
      </c>
      <c r="F94" s="1" t="n">
        <f aca="false">IFERROR('dens_visc_beta+2m2boh'!E22,"")</f>
        <v>50</v>
      </c>
      <c r="G94" s="3" t="str">
        <f aca="false">IFERROR('dens_visc_beta+2m2boh'!A27,"")</f>
        <v/>
      </c>
      <c r="H94" s="1" t="n">
        <f aca="false">IFERROR('dens_visc_beta+2m2boh'!E27,"")</f>
        <v>0</v>
      </c>
      <c r="I94" s="1" t="str">
        <f aca="false">IFERROR('dens_visc_beta+2m2boh'!J27,"")</f>
        <v/>
      </c>
      <c r="J94" s="1" t="n">
        <f aca="false">IFERROR('dens_visc_beta+2m2boh'!E41,"")</f>
        <v>0</v>
      </c>
      <c r="K94" s="1" t="str">
        <f aca="false">IF(AND(ISNUMBER(H94),ISNUMBER(I94),ISNUMBER(J94)),"✓",COUNTIF(H94:J94,"&gt;-999")&amp;"/3")</f>
        <v>2/3</v>
      </c>
    </row>
    <row r="95" customFormat="false" ht="15" hidden="false" customHeight="true" outlineLevel="0" collapsed="false">
      <c r="A95" s="1" t="s">
        <v>16</v>
      </c>
      <c r="B95" s="1" t="s">
        <v>12</v>
      </c>
      <c r="C95" s="1" t="s">
        <v>13</v>
      </c>
      <c r="D95" s="1" t="s">
        <v>17</v>
      </c>
      <c r="E95" s="1" t="s">
        <v>18</v>
      </c>
      <c r="F95" s="1" t="n">
        <f aca="false">IFERROR('dens_visc_beta+2m2boh'!E22,"")</f>
        <v>50</v>
      </c>
      <c r="G95" s="3" t="str">
        <f aca="false">IFERROR('dens_visc_beta+2m2boh'!A28,"")</f>
        <v/>
      </c>
      <c r="H95" s="1" t="n">
        <f aca="false">IFERROR('dens_visc_beta+2m2boh'!E28,"")</f>
        <v>0</v>
      </c>
      <c r="I95" s="1" t="str">
        <f aca="false">IFERROR('dens_visc_beta+2m2boh'!J28,"")</f>
        <v/>
      </c>
      <c r="J95" s="1" t="n">
        <f aca="false">IFERROR('dens_visc_beta+2m2boh'!E42,"")</f>
        <v>0</v>
      </c>
      <c r="K95" s="1" t="str">
        <f aca="false">IF(AND(ISNUMBER(H95),ISNUMBER(I95),ISNUMBER(J95)),"✓",COUNTIF(H95:J95,"&gt;-999")&amp;"/3")</f>
        <v>2/3</v>
      </c>
    </row>
    <row r="96" customFormat="false" ht="15" hidden="false" customHeight="true" outlineLevel="0" collapsed="false">
      <c r="A96" s="1" t="s">
        <v>16</v>
      </c>
      <c r="B96" s="1" t="s">
        <v>12</v>
      </c>
      <c r="C96" s="1" t="s">
        <v>13</v>
      </c>
      <c r="D96" s="1" t="s">
        <v>17</v>
      </c>
      <c r="E96" s="1" t="s">
        <v>18</v>
      </c>
      <c r="F96" s="1" t="n">
        <f aca="false">IFERROR('dens_visc_beta+2m2boh'!E22,"")</f>
        <v>50</v>
      </c>
      <c r="G96" s="3" t="str">
        <f aca="false">IFERROR('dens_visc_beta+2m2boh'!A29,"")</f>
        <v/>
      </c>
      <c r="H96" s="1" t="n">
        <f aca="false">IFERROR('dens_visc_beta+2m2boh'!E29,"")</f>
        <v>0</v>
      </c>
      <c r="I96" s="1" t="str">
        <f aca="false">IFERROR('dens_visc_beta+2m2boh'!J29,"")</f>
        <v/>
      </c>
      <c r="J96" s="1" t="n">
        <f aca="false">IFERROR('dens_visc_beta+2m2boh'!E43,"")</f>
        <v>0</v>
      </c>
      <c r="K96" s="1" t="str">
        <f aca="false">IF(AND(ISNUMBER(H96),ISNUMBER(I96),ISNUMBER(J96)),"✓",COUNTIF(H96:J96,"&gt;-999")&amp;"/3")</f>
        <v>2/3</v>
      </c>
    </row>
    <row r="97" customFormat="false" ht="15" hidden="false" customHeight="true" outlineLevel="0" collapsed="false">
      <c r="A97" s="1" t="s">
        <v>16</v>
      </c>
      <c r="B97" s="1" t="s">
        <v>12</v>
      </c>
      <c r="C97" s="1" t="s">
        <v>13</v>
      </c>
      <c r="D97" s="1" t="s">
        <v>17</v>
      </c>
      <c r="E97" s="1" t="s">
        <v>18</v>
      </c>
      <c r="F97" s="1" t="n">
        <f aca="false">IFERROR('dens_visc_beta+2m2boh'!E22,"")</f>
        <v>50</v>
      </c>
      <c r="G97" s="3" t="str">
        <f aca="false">IFERROR('dens_visc_beta+2m2boh'!A30,"")</f>
        <v/>
      </c>
      <c r="H97" s="1" t="n">
        <f aca="false">IFERROR('dens_visc_beta+2m2boh'!E30,"")</f>
        <v>0</v>
      </c>
      <c r="I97" s="1" t="str">
        <f aca="false">IFERROR('dens_visc_beta+2m2boh'!J30,"")</f>
        <v/>
      </c>
      <c r="J97" s="1" t="n">
        <f aca="false">IFERROR('dens_visc_beta+2m2boh'!E44,"")</f>
        <v>0</v>
      </c>
      <c r="K97" s="1" t="str">
        <f aca="false">IF(AND(ISNUMBER(H97),ISNUMBER(I97),ISNUMBER(J97)),"✓",COUNTIF(H97:J97,"&gt;-999")&amp;"/3")</f>
        <v>2/3</v>
      </c>
    </row>
    <row r="98" customFormat="false" ht="15" hidden="false" customHeight="true" outlineLevel="0" collapsed="false">
      <c r="A98" s="1" t="s">
        <v>16</v>
      </c>
      <c r="B98" s="1" t="s">
        <v>12</v>
      </c>
      <c r="C98" s="1" t="s">
        <v>13</v>
      </c>
      <c r="D98" s="1" t="s">
        <v>17</v>
      </c>
      <c r="E98" s="1" t="s">
        <v>18</v>
      </c>
      <c r="F98" s="1" t="n">
        <f aca="false">IFERROR('dens_visc_beta+2m2boh'!E22,"")</f>
        <v>50</v>
      </c>
      <c r="G98" s="3" t="str">
        <f aca="false">IFERROR('dens_visc_beta+2m2boh'!A31,"")</f>
        <v/>
      </c>
      <c r="H98" s="1" t="n">
        <f aca="false">IFERROR('dens_visc_beta+2m2boh'!E31,"")</f>
        <v>0</v>
      </c>
      <c r="I98" s="1" t="str">
        <f aca="false">IFERROR('dens_visc_beta+2m2boh'!J31,"")</f>
        <v/>
      </c>
      <c r="J98" s="1" t="n">
        <f aca="false">IFERROR('dens_visc_beta+2m2boh'!E45,"")</f>
        <v>0</v>
      </c>
      <c r="K98" s="1" t="str">
        <f aca="false">IF(AND(ISNUMBER(H98),ISNUMBER(I98),ISNUMBER(J98)),"✓",COUNTIF(H98:J98,"&gt;-999")&amp;"/3")</f>
        <v>2/3</v>
      </c>
    </row>
    <row r="99" customFormat="false" ht="15" hidden="false" customHeight="true" outlineLevel="0" collapsed="false">
      <c r="A99" s="1" t="s">
        <v>16</v>
      </c>
      <c r="B99" s="1" t="s">
        <v>12</v>
      </c>
      <c r="C99" s="1" t="s">
        <v>13</v>
      </c>
      <c r="D99" s="1" t="s">
        <v>17</v>
      </c>
      <c r="E99" s="1" t="s">
        <v>18</v>
      </c>
      <c r="F99" s="1" t="n">
        <f aca="false">IFERROR('dens_visc_beta+2m2boh'!E22,"")</f>
        <v>50</v>
      </c>
      <c r="G99" s="3" t="str">
        <f aca="false">IFERROR('dens_visc_beta+2m2boh'!A32,"")</f>
        <v/>
      </c>
      <c r="H99" s="1" t="n">
        <f aca="false">IFERROR('dens_visc_beta+2m2boh'!E32,"")</f>
        <v>0</v>
      </c>
      <c r="I99" s="1" t="str">
        <f aca="false">IFERROR('dens_visc_beta+2m2boh'!J32,"")</f>
        <v/>
      </c>
      <c r="J99" s="1" t="n">
        <f aca="false">IFERROR('dens_visc_beta+2m2boh'!E46,"")</f>
        <v>0</v>
      </c>
      <c r="K99" s="1" t="str">
        <f aca="false">IF(AND(ISNUMBER(H99),ISNUMBER(I99),ISNUMBER(J99)),"✓",COUNTIF(H99:J99,"&gt;-999")&amp;"/3")</f>
        <v>2/3</v>
      </c>
    </row>
    <row r="100" customFormat="false" ht="15" hidden="false" customHeight="true" outlineLevel="0" collapsed="false">
      <c r="A100" s="1" t="s">
        <v>16</v>
      </c>
      <c r="B100" s="1" t="s">
        <v>12</v>
      </c>
      <c r="C100" s="1" t="s">
        <v>13</v>
      </c>
      <c r="D100" s="1" t="s">
        <v>17</v>
      </c>
      <c r="E100" s="1" t="s">
        <v>18</v>
      </c>
      <c r="F100" s="1" t="n">
        <f aca="false">IFERROR('dens_visc_beta+2m2boh'!E22,"")</f>
        <v>50</v>
      </c>
      <c r="G100" s="1" t="n">
        <f aca="false">IFERROR('dens_visc_beta+2m2boh'!A33,"")</f>
        <v>1</v>
      </c>
      <c r="H100" s="1" t="n">
        <f aca="false">IFERROR('dens_visc_beta+2m2boh'!E33,"")</f>
        <v>0.92172</v>
      </c>
      <c r="I100" s="1" t="n">
        <f aca="false">IFERROR('dens_visc_beta+2m2boh'!J33,"")</f>
        <v>0</v>
      </c>
      <c r="J100" s="1" t="n">
        <f aca="false">IFERROR('dens_visc_beta+2m2boh'!E47,"")</f>
        <v>3.792</v>
      </c>
      <c r="K100" s="1" t="str">
        <f aca="false">IF(AND(ISNUMBER(H100),ISNUMBER(I100),ISNUMBER(J100)),"✓",COUNTIF(H100:J100,"&gt;-999")&amp;"/3")</f>
        <v>✓</v>
      </c>
    </row>
    <row r="101" customFormat="false" ht="15" hidden="false" customHeight="true" outlineLevel="0" collapsed="false">
      <c r="A101" s="1" t="s">
        <v>16</v>
      </c>
      <c r="B101" s="1" t="s">
        <v>12</v>
      </c>
      <c r="C101" s="1" t="s">
        <v>13</v>
      </c>
      <c r="D101" s="1" t="s">
        <v>17</v>
      </c>
      <c r="E101" s="1" t="s">
        <v>18</v>
      </c>
      <c r="F101" s="1" t="n">
        <f aca="false">IFERROR('dens_visc_beta+2m2boh'!F22,"")</f>
        <v>60</v>
      </c>
      <c r="G101" s="1" t="n">
        <f aca="false">IFERROR('dens_visc_beta+2m2boh'!A23,"")</f>
        <v>0</v>
      </c>
      <c r="H101" s="1" t="n">
        <f aca="false">IFERROR('dens_visc_beta+2m2boh'!F23,"")</f>
        <v>0.77049</v>
      </c>
      <c r="I101" s="1" t="n">
        <f aca="false">IFERROR('dens_visc_beta+2m2boh'!K23,"")</f>
        <v>0</v>
      </c>
      <c r="J101" s="1" t="n">
        <f aca="false">IFERROR('dens_visc_beta+2m2boh'!F37,"")</f>
        <v>1.036</v>
      </c>
      <c r="K101" s="1" t="str">
        <f aca="false">IF(AND(ISNUMBER(H101),ISNUMBER(I101),ISNUMBER(J101)),"✓",COUNTIF(H101:J101,"&gt;-999")&amp;"/3")</f>
        <v>✓</v>
      </c>
    </row>
    <row r="102" customFormat="false" ht="15" hidden="false" customHeight="true" outlineLevel="0" collapsed="false">
      <c r="A102" s="1" t="s">
        <v>16</v>
      </c>
      <c r="B102" s="1" t="s">
        <v>12</v>
      </c>
      <c r="C102" s="1" t="s">
        <v>13</v>
      </c>
      <c r="D102" s="1" t="s">
        <v>17</v>
      </c>
      <c r="E102" s="1" t="s">
        <v>18</v>
      </c>
      <c r="F102" s="1" t="n">
        <f aca="false">IFERROR('dens_visc_beta+2m2boh'!F22,"")</f>
        <v>60</v>
      </c>
      <c r="G102" s="3" t="str">
        <f aca="false">IFERROR('dens_visc_beta+2m2boh'!A24,"")</f>
        <v/>
      </c>
      <c r="H102" s="1" t="n">
        <f aca="false">IFERROR('dens_visc_beta+2m2boh'!F24,"")</f>
        <v>0</v>
      </c>
      <c r="I102" s="1" t="str">
        <f aca="false">IFERROR('dens_visc_beta+2m2boh'!K24,"")</f>
        <v/>
      </c>
      <c r="J102" s="1" t="n">
        <f aca="false">IFERROR('dens_visc_beta+2m2boh'!F38,"")</f>
        <v>0</v>
      </c>
      <c r="K102" s="1" t="str">
        <f aca="false">IF(AND(ISNUMBER(H102),ISNUMBER(I102),ISNUMBER(J102)),"✓",COUNTIF(H102:J102,"&gt;-999")&amp;"/3")</f>
        <v>2/3</v>
      </c>
    </row>
    <row r="103" customFormat="false" ht="15" hidden="false" customHeight="true" outlineLevel="0" collapsed="false">
      <c r="A103" s="1" t="s">
        <v>16</v>
      </c>
      <c r="B103" s="1" t="s">
        <v>12</v>
      </c>
      <c r="C103" s="1" t="s">
        <v>13</v>
      </c>
      <c r="D103" s="1" t="s">
        <v>17</v>
      </c>
      <c r="E103" s="1" t="s">
        <v>18</v>
      </c>
      <c r="F103" s="1" t="n">
        <f aca="false">IFERROR('dens_visc_beta+2m2boh'!F22,"")</f>
        <v>60</v>
      </c>
      <c r="G103" s="3" t="str">
        <f aca="false">IFERROR('dens_visc_beta+2m2boh'!A25,"")</f>
        <v/>
      </c>
      <c r="H103" s="1" t="n">
        <f aca="false">IFERROR('dens_visc_beta+2m2boh'!F25,"")</f>
        <v>0</v>
      </c>
      <c r="I103" s="1" t="str">
        <f aca="false">IFERROR('dens_visc_beta+2m2boh'!K25,"")</f>
        <v/>
      </c>
      <c r="J103" s="1" t="n">
        <f aca="false">IFERROR('dens_visc_beta+2m2boh'!F39,"")</f>
        <v>0</v>
      </c>
      <c r="K103" s="1" t="str">
        <f aca="false">IF(AND(ISNUMBER(H103),ISNUMBER(I103),ISNUMBER(J103)),"✓",COUNTIF(H103:J103,"&gt;-999")&amp;"/3")</f>
        <v>2/3</v>
      </c>
    </row>
    <row r="104" customFormat="false" ht="15" hidden="false" customHeight="true" outlineLevel="0" collapsed="false">
      <c r="A104" s="1" t="s">
        <v>16</v>
      </c>
      <c r="B104" s="1" t="s">
        <v>12</v>
      </c>
      <c r="C104" s="1" t="s">
        <v>13</v>
      </c>
      <c r="D104" s="1" t="s">
        <v>17</v>
      </c>
      <c r="E104" s="1" t="s">
        <v>18</v>
      </c>
      <c r="F104" s="1" t="n">
        <f aca="false">IFERROR('dens_visc_beta+2m2boh'!F22,"")</f>
        <v>60</v>
      </c>
      <c r="G104" s="3" t="str">
        <f aca="false">IFERROR('dens_visc_beta+2m2boh'!A26,"")</f>
        <v/>
      </c>
      <c r="H104" s="1" t="n">
        <f aca="false">IFERROR('dens_visc_beta+2m2boh'!F26,"")</f>
        <v>0</v>
      </c>
      <c r="I104" s="1" t="str">
        <f aca="false">IFERROR('dens_visc_beta+2m2boh'!K26,"")</f>
        <v/>
      </c>
      <c r="J104" s="1" t="n">
        <f aca="false">IFERROR('dens_visc_beta+2m2boh'!F40,"")</f>
        <v>0</v>
      </c>
      <c r="K104" s="1" t="str">
        <f aca="false">IF(AND(ISNUMBER(H104),ISNUMBER(I104),ISNUMBER(J104)),"✓",COUNTIF(H104:J104,"&gt;-999")&amp;"/3")</f>
        <v>2/3</v>
      </c>
    </row>
    <row r="105" customFormat="false" ht="15" hidden="false" customHeight="true" outlineLevel="0" collapsed="false">
      <c r="A105" s="1" t="s">
        <v>16</v>
      </c>
      <c r="B105" s="1" t="s">
        <v>12</v>
      </c>
      <c r="C105" s="1" t="s">
        <v>13</v>
      </c>
      <c r="D105" s="1" t="s">
        <v>17</v>
      </c>
      <c r="E105" s="1" t="s">
        <v>18</v>
      </c>
      <c r="F105" s="1" t="n">
        <f aca="false">IFERROR('dens_visc_beta+2m2boh'!F22,"")</f>
        <v>60</v>
      </c>
      <c r="G105" s="3" t="str">
        <f aca="false">IFERROR('dens_visc_beta+2m2boh'!A27,"")</f>
        <v/>
      </c>
      <c r="H105" s="1" t="n">
        <f aca="false">IFERROR('dens_visc_beta+2m2boh'!F27,"")</f>
        <v>0</v>
      </c>
      <c r="I105" s="1" t="str">
        <f aca="false">IFERROR('dens_visc_beta+2m2boh'!K27,"")</f>
        <v/>
      </c>
      <c r="J105" s="1" t="n">
        <f aca="false">IFERROR('dens_visc_beta+2m2boh'!F41,"")</f>
        <v>0</v>
      </c>
      <c r="K105" s="1" t="str">
        <f aca="false">IF(AND(ISNUMBER(H105),ISNUMBER(I105),ISNUMBER(J105)),"✓",COUNTIF(H105:J105,"&gt;-999")&amp;"/3")</f>
        <v>2/3</v>
      </c>
    </row>
    <row r="106" customFormat="false" ht="15" hidden="false" customHeight="true" outlineLevel="0" collapsed="false">
      <c r="A106" s="1" t="s">
        <v>16</v>
      </c>
      <c r="B106" s="1" t="s">
        <v>12</v>
      </c>
      <c r="C106" s="1" t="s">
        <v>13</v>
      </c>
      <c r="D106" s="1" t="s">
        <v>17</v>
      </c>
      <c r="E106" s="1" t="s">
        <v>18</v>
      </c>
      <c r="F106" s="1" t="n">
        <f aca="false">IFERROR('dens_visc_beta+2m2boh'!F22,"")</f>
        <v>60</v>
      </c>
      <c r="G106" s="3" t="str">
        <f aca="false">IFERROR('dens_visc_beta+2m2boh'!A28,"")</f>
        <v/>
      </c>
      <c r="H106" s="1" t="n">
        <f aca="false">IFERROR('dens_visc_beta+2m2boh'!F28,"")</f>
        <v>0</v>
      </c>
      <c r="I106" s="1" t="str">
        <f aca="false">IFERROR('dens_visc_beta+2m2boh'!K28,"")</f>
        <v/>
      </c>
      <c r="J106" s="1" t="n">
        <f aca="false">IFERROR('dens_visc_beta+2m2boh'!F42,"")</f>
        <v>0</v>
      </c>
      <c r="K106" s="1" t="str">
        <f aca="false">IF(AND(ISNUMBER(H106),ISNUMBER(I106),ISNUMBER(J106)),"✓",COUNTIF(H106:J106,"&gt;-999")&amp;"/3")</f>
        <v>2/3</v>
      </c>
    </row>
    <row r="107" customFormat="false" ht="15" hidden="false" customHeight="true" outlineLevel="0" collapsed="false">
      <c r="A107" s="1" t="s">
        <v>16</v>
      </c>
      <c r="B107" s="1" t="s">
        <v>12</v>
      </c>
      <c r="C107" s="1" t="s">
        <v>13</v>
      </c>
      <c r="D107" s="1" t="s">
        <v>17</v>
      </c>
      <c r="E107" s="1" t="s">
        <v>18</v>
      </c>
      <c r="F107" s="1" t="n">
        <f aca="false">IFERROR('dens_visc_beta+2m2boh'!F22,"")</f>
        <v>60</v>
      </c>
      <c r="G107" s="3" t="str">
        <f aca="false">IFERROR('dens_visc_beta+2m2boh'!A29,"")</f>
        <v/>
      </c>
      <c r="H107" s="1" t="n">
        <f aca="false">IFERROR('dens_visc_beta+2m2boh'!F29,"")</f>
        <v>0</v>
      </c>
      <c r="I107" s="1" t="str">
        <f aca="false">IFERROR('dens_visc_beta+2m2boh'!K29,"")</f>
        <v/>
      </c>
      <c r="J107" s="1" t="n">
        <f aca="false">IFERROR('dens_visc_beta+2m2boh'!F43,"")</f>
        <v>0</v>
      </c>
      <c r="K107" s="1" t="str">
        <f aca="false">IF(AND(ISNUMBER(H107),ISNUMBER(I107),ISNUMBER(J107)),"✓",COUNTIF(H107:J107,"&gt;-999")&amp;"/3")</f>
        <v>2/3</v>
      </c>
    </row>
    <row r="108" customFormat="false" ht="15" hidden="false" customHeight="true" outlineLevel="0" collapsed="false">
      <c r="A108" s="1" t="s">
        <v>16</v>
      </c>
      <c r="B108" s="1" t="s">
        <v>12</v>
      </c>
      <c r="C108" s="1" t="s">
        <v>13</v>
      </c>
      <c r="D108" s="1" t="s">
        <v>17</v>
      </c>
      <c r="E108" s="1" t="s">
        <v>18</v>
      </c>
      <c r="F108" s="1" t="n">
        <f aca="false">IFERROR('dens_visc_beta+2m2boh'!F22,"")</f>
        <v>60</v>
      </c>
      <c r="G108" s="3" t="str">
        <f aca="false">IFERROR('dens_visc_beta+2m2boh'!A30,"")</f>
        <v/>
      </c>
      <c r="H108" s="1" t="n">
        <f aca="false">IFERROR('dens_visc_beta+2m2boh'!F30,"")</f>
        <v>0</v>
      </c>
      <c r="I108" s="1" t="str">
        <f aca="false">IFERROR('dens_visc_beta+2m2boh'!K30,"")</f>
        <v/>
      </c>
      <c r="J108" s="1" t="n">
        <f aca="false">IFERROR('dens_visc_beta+2m2boh'!F44,"")</f>
        <v>0</v>
      </c>
      <c r="K108" s="1" t="str">
        <f aca="false">IF(AND(ISNUMBER(H108),ISNUMBER(I108),ISNUMBER(J108)),"✓",COUNTIF(H108:J108,"&gt;-999")&amp;"/3")</f>
        <v>2/3</v>
      </c>
    </row>
    <row r="109" customFormat="false" ht="15" hidden="false" customHeight="true" outlineLevel="0" collapsed="false">
      <c r="A109" s="1" t="s">
        <v>16</v>
      </c>
      <c r="B109" s="1" t="s">
        <v>12</v>
      </c>
      <c r="C109" s="1" t="s">
        <v>13</v>
      </c>
      <c r="D109" s="1" t="s">
        <v>17</v>
      </c>
      <c r="E109" s="1" t="s">
        <v>18</v>
      </c>
      <c r="F109" s="1" t="n">
        <f aca="false">IFERROR('dens_visc_beta+2m2boh'!F22,"")</f>
        <v>60</v>
      </c>
      <c r="G109" s="3" t="str">
        <f aca="false">IFERROR('dens_visc_beta+2m2boh'!A31,"")</f>
        <v/>
      </c>
      <c r="H109" s="1" t="n">
        <f aca="false">IFERROR('dens_visc_beta+2m2boh'!F31,"")</f>
        <v>0</v>
      </c>
      <c r="I109" s="1" t="str">
        <f aca="false">IFERROR('dens_visc_beta+2m2boh'!K31,"")</f>
        <v/>
      </c>
      <c r="J109" s="1" t="n">
        <f aca="false">IFERROR('dens_visc_beta+2m2boh'!F45,"")</f>
        <v>0</v>
      </c>
      <c r="K109" s="1" t="str">
        <f aca="false">IF(AND(ISNUMBER(H109),ISNUMBER(I109),ISNUMBER(J109)),"✓",COUNTIF(H109:J109,"&gt;-999")&amp;"/3")</f>
        <v>2/3</v>
      </c>
    </row>
    <row r="110" customFormat="false" ht="15" hidden="false" customHeight="true" outlineLevel="0" collapsed="false">
      <c r="A110" s="1" t="s">
        <v>16</v>
      </c>
      <c r="B110" s="1" t="s">
        <v>12</v>
      </c>
      <c r="C110" s="1" t="s">
        <v>13</v>
      </c>
      <c r="D110" s="1" t="s">
        <v>17</v>
      </c>
      <c r="E110" s="1" t="s">
        <v>18</v>
      </c>
      <c r="F110" s="1" t="n">
        <f aca="false">IFERROR('dens_visc_beta+2m2boh'!F22,"")</f>
        <v>60</v>
      </c>
      <c r="G110" s="3" t="str">
        <f aca="false">IFERROR('dens_visc_beta+2m2boh'!A32,"")</f>
        <v/>
      </c>
      <c r="H110" s="1" t="n">
        <f aca="false">IFERROR('dens_visc_beta+2m2boh'!F32,"")</f>
        <v>0</v>
      </c>
      <c r="I110" s="1" t="str">
        <f aca="false">IFERROR('dens_visc_beta+2m2boh'!K32,"")</f>
        <v/>
      </c>
      <c r="J110" s="1" t="n">
        <f aca="false">IFERROR('dens_visc_beta+2m2boh'!F46,"")</f>
        <v>0</v>
      </c>
      <c r="K110" s="1" t="str">
        <f aca="false">IF(AND(ISNUMBER(H110),ISNUMBER(I110),ISNUMBER(J110)),"✓",COUNTIF(H110:J110,"&gt;-999")&amp;"/3")</f>
        <v>2/3</v>
      </c>
    </row>
    <row r="111" customFormat="false" ht="15" hidden="false" customHeight="true" outlineLevel="0" collapsed="false">
      <c r="A111" s="1" t="s">
        <v>16</v>
      </c>
      <c r="B111" s="1" t="s">
        <v>12</v>
      </c>
      <c r="C111" s="1" t="s">
        <v>13</v>
      </c>
      <c r="D111" s="1" t="s">
        <v>17</v>
      </c>
      <c r="E111" s="1" t="s">
        <v>18</v>
      </c>
      <c r="F111" s="1" t="n">
        <f aca="false">IFERROR('dens_visc_beta+2m2boh'!F22,"")</f>
        <v>60</v>
      </c>
      <c r="G111" s="1" t="n">
        <f aca="false">IFERROR('dens_visc_beta+2m2boh'!A33,"")</f>
        <v>1</v>
      </c>
      <c r="H111" s="1" t="n">
        <f aca="false">IFERROR('dens_visc_beta+2m2boh'!F33,"")</f>
        <v>0.91396</v>
      </c>
      <c r="I111" s="1" t="n">
        <f aca="false">IFERROR('dens_visc_beta+2m2boh'!K33,"")</f>
        <v>0</v>
      </c>
      <c r="J111" s="1" t="n">
        <f aca="false">IFERROR('dens_visc_beta+2m2boh'!F47,"")</f>
        <v>2.938</v>
      </c>
      <c r="K111" s="1" t="str">
        <f aca="false">IF(AND(ISNUMBER(H111),ISNUMBER(I111),ISNUMBER(J111)),"✓",COUNTIF(H111:J111,"&gt;-999")&amp;"/3")</f>
        <v>✓</v>
      </c>
    </row>
    <row r="112" customFormat="false" ht="15" hidden="false" customHeight="true" outlineLevel="0" collapsed="false">
      <c r="A112" s="1" t="s">
        <v>19</v>
      </c>
      <c r="B112" s="1" t="s">
        <v>12</v>
      </c>
      <c r="C112" s="1" t="s">
        <v>13</v>
      </c>
      <c r="D112" s="1" t="s">
        <v>20</v>
      </c>
      <c r="E112" s="1" t="s">
        <v>21</v>
      </c>
      <c r="F112" s="1" t="n">
        <f aca="false">IFERROR('dens_visc_beta+1hexoh'!B22,"")</f>
        <v>20</v>
      </c>
      <c r="G112" s="1" t="str">
        <f aca="false">IFERROR('dens_visc_beta+1hexoh'!A23,"")</f>
        <v/>
      </c>
      <c r="H112" s="1" t="n">
        <f aca="false">IFERROR('dens_visc_beta+1hexoh'!B23,"")</f>
        <v>0.81883</v>
      </c>
      <c r="I112" s="1" t="str">
        <f aca="false">IFERROR('dens_visc_beta+1hexoh'!G23,"")</f>
        <v/>
      </c>
      <c r="J112" s="1" t="n">
        <f aca="false">IFERROR('dens_visc_beta+1hexoh'!B37,"")</f>
        <v>5.278</v>
      </c>
      <c r="K112" s="1" t="str">
        <f aca="false">IF(AND(ISNUMBER(H112),ISNUMBER(I112),ISNUMBER(J112)),"✓",COUNTIF(H112:J112,"&gt;-999")&amp;"/3")</f>
        <v>2/3</v>
      </c>
    </row>
    <row r="113" customFormat="false" ht="15" hidden="false" customHeight="true" outlineLevel="0" collapsed="false">
      <c r="A113" s="1" t="s">
        <v>19</v>
      </c>
      <c r="B113" s="1" t="s">
        <v>12</v>
      </c>
      <c r="C113" s="1" t="s">
        <v>13</v>
      </c>
      <c r="D113" s="1" t="s">
        <v>20</v>
      </c>
      <c r="E113" s="1" t="s">
        <v>21</v>
      </c>
      <c r="F113" s="1" t="n">
        <f aca="false">IFERROR('dens_visc_beta+1hexoh'!B22,"")</f>
        <v>20</v>
      </c>
      <c r="G113" s="1" t="str">
        <f aca="false">IFERROR('dens_visc_beta+1hexoh'!A24,"")</f>
        <v/>
      </c>
      <c r="H113" s="1" t="n">
        <f aca="false">IFERROR('dens_visc_beta+1hexoh'!B24,"")</f>
        <v>0</v>
      </c>
      <c r="I113" s="1" t="str">
        <f aca="false">IFERROR('dens_visc_beta+1hexoh'!G24,"")</f>
        <v/>
      </c>
      <c r="J113" s="1" t="n">
        <f aca="false">IFERROR('dens_visc_beta+1hexoh'!B38,"")</f>
        <v>0</v>
      </c>
      <c r="K113" s="1" t="str">
        <f aca="false">IF(AND(ISNUMBER(H113),ISNUMBER(I113),ISNUMBER(J113)),"✓",COUNTIF(H113:J113,"&gt;-999")&amp;"/3")</f>
        <v>2/3</v>
      </c>
    </row>
    <row r="114" customFormat="false" ht="15" hidden="false" customHeight="true" outlineLevel="0" collapsed="false">
      <c r="A114" s="1" t="s">
        <v>19</v>
      </c>
      <c r="B114" s="1" t="s">
        <v>12</v>
      </c>
      <c r="C114" s="1" t="s">
        <v>13</v>
      </c>
      <c r="D114" s="1" t="s">
        <v>20</v>
      </c>
      <c r="E114" s="1" t="s">
        <v>21</v>
      </c>
      <c r="F114" s="1" t="n">
        <f aca="false">IFERROR('dens_visc_beta+1hexoh'!B22,"")</f>
        <v>20</v>
      </c>
      <c r="G114" s="1" t="str">
        <f aca="false">IFERROR('dens_visc_beta+1hexoh'!A25,"")</f>
        <v/>
      </c>
      <c r="H114" s="1" t="n">
        <f aca="false">IFERROR('dens_visc_beta+1hexoh'!B25,"")</f>
        <v>0</v>
      </c>
      <c r="I114" s="1" t="str">
        <f aca="false">IFERROR('dens_visc_beta+1hexoh'!G25,"")</f>
        <v/>
      </c>
      <c r="J114" s="1" t="n">
        <f aca="false">IFERROR('dens_visc_beta+1hexoh'!B39,"")</f>
        <v>0</v>
      </c>
      <c r="K114" s="1" t="str">
        <f aca="false">IF(AND(ISNUMBER(H114),ISNUMBER(I114),ISNUMBER(J114)),"✓",COUNTIF(H114:J114,"&gt;-999")&amp;"/3")</f>
        <v>2/3</v>
      </c>
    </row>
    <row r="115" customFormat="false" ht="15" hidden="false" customHeight="true" outlineLevel="0" collapsed="false">
      <c r="A115" s="1" t="s">
        <v>19</v>
      </c>
      <c r="B115" s="1" t="s">
        <v>12</v>
      </c>
      <c r="C115" s="1" t="s">
        <v>13</v>
      </c>
      <c r="D115" s="1" t="s">
        <v>20</v>
      </c>
      <c r="E115" s="1" t="s">
        <v>21</v>
      </c>
      <c r="F115" s="1" t="n">
        <f aca="false">IFERROR('dens_visc_beta+1hexoh'!B22,"")</f>
        <v>20</v>
      </c>
      <c r="G115" s="1" t="str">
        <f aca="false">IFERROR('dens_visc_beta+1hexoh'!A26,"")</f>
        <v/>
      </c>
      <c r="H115" s="1" t="n">
        <f aca="false">IFERROR('dens_visc_beta+1hexoh'!B26,"")</f>
        <v>0</v>
      </c>
      <c r="I115" s="1" t="str">
        <f aca="false">IFERROR('dens_visc_beta+1hexoh'!G26,"")</f>
        <v/>
      </c>
      <c r="J115" s="1" t="n">
        <f aca="false">IFERROR('dens_visc_beta+1hexoh'!B40,"")</f>
        <v>0</v>
      </c>
      <c r="K115" s="1" t="str">
        <f aca="false">IF(AND(ISNUMBER(H115),ISNUMBER(I115),ISNUMBER(J115)),"✓",COUNTIF(H115:J115,"&gt;-999")&amp;"/3")</f>
        <v>2/3</v>
      </c>
    </row>
    <row r="116" customFormat="false" ht="15" hidden="false" customHeight="true" outlineLevel="0" collapsed="false">
      <c r="A116" s="1" t="s">
        <v>19</v>
      </c>
      <c r="B116" s="1" t="s">
        <v>12</v>
      </c>
      <c r="C116" s="1" t="s">
        <v>13</v>
      </c>
      <c r="D116" s="1" t="s">
        <v>20</v>
      </c>
      <c r="E116" s="1" t="s">
        <v>21</v>
      </c>
      <c r="F116" s="1" t="n">
        <f aca="false">IFERROR('dens_visc_beta+1hexoh'!B22,"")</f>
        <v>20</v>
      </c>
      <c r="G116" s="1" t="str">
        <f aca="false">IFERROR('dens_visc_beta+1hexoh'!A27,"")</f>
        <v/>
      </c>
      <c r="H116" s="1" t="n">
        <f aca="false">IFERROR('dens_visc_beta+1hexoh'!B27,"")</f>
        <v>0</v>
      </c>
      <c r="I116" s="1" t="str">
        <f aca="false">IFERROR('dens_visc_beta+1hexoh'!G27,"")</f>
        <v/>
      </c>
      <c r="J116" s="1" t="n">
        <f aca="false">IFERROR('dens_visc_beta+1hexoh'!B41,"")</f>
        <v>0</v>
      </c>
      <c r="K116" s="1" t="str">
        <f aca="false">IF(AND(ISNUMBER(H116),ISNUMBER(I116),ISNUMBER(J116)),"✓",COUNTIF(H116:J116,"&gt;-999")&amp;"/3")</f>
        <v>2/3</v>
      </c>
    </row>
    <row r="117" customFormat="false" ht="15" hidden="false" customHeight="true" outlineLevel="0" collapsed="false">
      <c r="A117" s="1" t="s">
        <v>19</v>
      </c>
      <c r="B117" s="1" t="s">
        <v>12</v>
      </c>
      <c r="C117" s="1" t="s">
        <v>13</v>
      </c>
      <c r="D117" s="1" t="s">
        <v>20</v>
      </c>
      <c r="E117" s="1" t="s">
        <v>21</v>
      </c>
      <c r="F117" s="1" t="n">
        <f aca="false">IFERROR('dens_visc_beta+1hexoh'!B22,"")</f>
        <v>20</v>
      </c>
      <c r="G117" s="1" t="str">
        <f aca="false">IFERROR('dens_visc_beta+1hexoh'!A28,"")</f>
        <v/>
      </c>
      <c r="H117" s="1" t="n">
        <f aca="false">IFERROR('dens_visc_beta+1hexoh'!B28,"")</f>
        <v>0</v>
      </c>
      <c r="I117" s="1" t="str">
        <f aca="false">IFERROR('dens_visc_beta+1hexoh'!G28,"")</f>
        <v/>
      </c>
      <c r="J117" s="1" t="n">
        <f aca="false">IFERROR('dens_visc_beta+1hexoh'!B42,"")</f>
        <v>0</v>
      </c>
      <c r="K117" s="1" t="str">
        <f aca="false">IF(AND(ISNUMBER(H117),ISNUMBER(I117),ISNUMBER(J117)),"✓",COUNTIF(H117:J117,"&gt;-999")&amp;"/3")</f>
        <v>2/3</v>
      </c>
    </row>
    <row r="118" customFormat="false" ht="15" hidden="false" customHeight="true" outlineLevel="0" collapsed="false">
      <c r="A118" s="1" t="s">
        <v>19</v>
      </c>
      <c r="B118" s="1" t="s">
        <v>12</v>
      </c>
      <c r="C118" s="1" t="s">
        <v>13</v>
      </c>
      <c r="D118" s="1" t="s">
        <v>20</v>
      </c>
      <c r="E118" s="1" t="s">
        <v>21</v>
      </c>
      <c r="F118" s="1" t="n">
        <f aca="false">IFERROR('dens_visc_beta+1hexoh'!B22,"")</f>
        <v>20</v>
      </c>
      <c r="G118" s="1" t="str">
        <f aca="false">IFERROR('dens_visc_beta+1hexoh'!A29,"")</f>
        <v/>
      </c>
      <c r="H118" s="1" t="n">
        <f aca="false">IFERROR('dens_visc_beta+1hexoh'!B29,"")</f>
        <v>0</v>
      </c>
      <c r="I118" s="1" t="str">
        <f aca="false">IFERROR('dens_visc_beta+1hexoh'!G29,"")</f>
        <v/>
      </c>
      <c r="J118" s="1" t="n">
        <f aca="false">IFERROR('dens_visc_beta+1hexoh'!B43,"")</f>
        <v>0</v>
      </c>
      <c r="K118" s="1" t="str">
        <f aca="false">IF(AND(ISNUMBER(H118),ISNUMBER(I118),ISNUMBER(J118)),"✓",COUNTIF(H118:J118,"&gt;-999")&amp;"/3")</f>
        <v>2/3</v>
      </c>
    </row>
    <row r="119" customFormat="false" ht="15" hidden="false" customHeight="true" outlineLevel="0" collapsed="false">
      <c r="A119" s="1" t="s">
        <v>19</v>
      </c>
      <c r="B119" s="1" t="s">
        <v>12</v>
      </c>
      <c r="C119" s="1" t="s">
        <v>13</v>
      </c>
      <c r="D119" s="1" t="s">
        <v>20</v>
      </c>
      <c r="E119" s="1" t="s">
        <v>21</v>
      </c>
      <c r="F119" s="1" t="n">
        <f aca="false">IFERROR('dens_visc_beta+1hexoh'!B22,"")</f>
        <v>20</v>
      </c>
      <c r="G119" s="1" t="str">
        <f aca="false">IFERROR('dens_visc_beta+1hexoh'!A30,"")</f>
        <v/>
      </c>
      <c r="H119" s="1" t="n">
        <f aca="false">IFERROR('dens_visc_beta+1hexoh'!B30,"")</f>
        <v>0</v>
      </c>
      <c r="I119" s="1" t="str">
        <f aca="false">IFERROR('dens_visc_beta+1hexoh'!G30,"")</f>
        <v/>
      </c>
      <c r="J119" s="1" t="n">
        <f aca="false">IFERROR('dens_visc_beta+1hexoh'!B44,"")</f>
        <v>0</v>
      </c>
      <c r="K119" s="1" t="str">
        <f aca="false">IF(AND(ISNUMBER(H119),ISNUMBER(I119),ISNUMBER(J119)),"✓",COUNTIF(H119:J119,"&gt;-999")&amp;"/3")</f>
        <v>2/3</v>
      </c>
    </row>
    <row r="120" customFormat="false" ht="15" hidden="false" customHeight="true" outlineLevel="0" collapsed="false">
      <c r="A120" s="1" t="s">
        <v>19</v>
      </c>
      <c r="B120" s="1" t="s">
        <v>12</v>
      </c>
      <c r="C120" s="1" t="s">
        <v>13</v>
      </c>
      <c r="D120" s="1" t="s">
        <v>20</v>
      </c>
      <c r="E120" s="1" t="s">
        <v>21</v>
      </c>
      <c r="F120" s="1" t="n">
        <f aca="false">IFERROR('dens_visc_beta+1hexoh'!B22,"")</f>
        <v>20</v>
      </c>
      <c r="G120" s="1" t="str">
        <f aca="false">IFERROR('dens_visc_beta+1hexoh'!A31,"")</f>
        <v/>
      </c>
      <c r="H120" s="1" t="n">
        <f aca="false">IFERROR('dens_visc_beta+1hexoh'!B31,"")</f>
        <v>0</v>
      </c>
      <c r="I120" s="1" t="str">
        <f aca="false">IFERROR('dens_visc_beta+1hexoh'!G31,"")</f>
        <v/>
      </c>
      <c r="J120" s="1" t="n">
        <f aca="false">IFERROR('dens_visc_beta+1hexoh'!B45,"")</f>
        <v>0</v>
      </c>
      <c r="K120" s="1" t="str">
        <f aca="false">IF(AND(ISNUMBER(H120),ISNUMBER(I120),ISNUMBER(J120)),"✓",COUNTIF(H120:J120,"&gt;-999")&amp;"/3")</f>
        <v>2/3</v>
      </c>
    </row>
    <row r="121" customFormat="false" ht="15" hidden="false" customHeight="true" outlineLevel="0" collapsed="false">
      <c r="A121" s="1" t="s">
        <v>19</v>
      </c>
      <c r="B121" s="1" t="s">
        <v>12</v>
      </c>
      <c r="C121" s="1" t="s">
        <v>13</v>
      </c>
      <c r="D121" s="1" t="s">
        <v>20</v>
      </c>
      <c r="E121" s="1" t="s">
        <v>21</v>
      </c>
      <c r="F121" s="1" t="n">
        <f aca="false">IFERROR('dens_visc_beta+1hexoh'!B22,"")</f>
        <v>20</v>
      </c>
      <c r="G121" s="1" t="str">
        <f aca="false">IFERROR('dens_visc_beta+1hexoh'!A32,"")</f>
        <v/>
      </c>
      <c r="H121" s="1" t="n">
        <f aca="false">IFERROR('dens_visc_beta+1hexoh'!B32,"")</f>
        <v>0</v>
      </c>
      <c r="I121" s="1" t="str">
        <f aca="false">IFERROR('dens_visc_beta+1hexoh'!G32,"")</f>
        <v/>
      </c>
      <c r="J121" s="1" t="n">
        <f aca="false">IFERROR('dens_visc_beta+1hexoh'!B46,"")</f>
        <v>0</v>
      </c>
      <c r="K121" s="1" t="str">
        <f aca="false">IF(AND(ISNUMBER(H121),ISNUMBER(I121),ISNUMBER(J121)),"✓",COUNTIF(H121:J121,"&gt;-999")&amp;"/3")</f>
        <v>2/3</v>
      </c>
    </row>
    <row r="122" customFormat="false" ht="15" hidden="false" customHeight="true" outlineLevel="0" collapsed="false">
      <c r="A122" s="1" t="s">
        <v>19</v>
      </c>
      <c r="B122" s="1" t="s">
        <v>12</v>
      </c>
      <c r="C122" s="1" t="s">
        <v>13</v>
      </c>
      <c r="D122" s="1" t="s">
        <v>20</v>
      </c>
      <c r="E122" s="1" t="s">
        <v>21</v>
      </c>
      <c r="F122" s="1" t="n">
        <f aca="false">IFERROR('dens_visc_beta+1hexoh'!B22,"")</f>
        <v>20</v>
      </c>
      <c r="G122" s="1" t="str">
        <f aca="false">IFERROR('dens_visc_beta+1hexoh'!A33,"")</f>
        <v/>
      </c>
      <c r="H122" s="1" t="n">
        <f aca="false">IFERROR('dens_visc_beta+1hexoh'!B33,"")</f>
        <v>0.94498</v>
      </c>
      <c r="I122" s="1" t="str">
        <f aca="false">IFERROR('dens_visc_beta+1hexoh'!G33,"")</f>
        <v/>
      </c>
      <c r="J122" s="1" t="n">
        <f aca="false">IFERROR('dens_visc_beta+1hexoh'!B47,"")</f>
        <v>11.31</v>
      </c>
      <c r="K122" s="1" t="str">
        <f aca="false">IF(AND(ISNUMBER(H122),ISNUMBER(I122),ISNUMBER(J122)),"✓",COUNTIF(H122:J122,"&gt;-999")&amp;"/3")</f>
        <v>2/3</v>
      </c>
    </row>
    <row r="123" customFormat="false" ht="15" hidden="false" customHeight="true" outlineLevel="0" collapsed="false">
      <c r="A123" s="1" t="s">
        <v>19</v>
      </c>
      <c r="B123" s="1" t="s">
        <v>12</v>
      </c>
      <c r="C123" s="1" t="s">
        <v>13</v>
      </c>
      <c r="D123" s="1" t="s">
        <v>20</v>
      </c>
      <c r="E123" s="1" t="s">
        <v>21</v>
      </c>
      <c r="F123" s="1" t="n">
        <f aca="false">IFERROR('dens_visc_beta+1hexoh'!C22,"")</f>
        <v>30</v>
      </c>
      <c r="G123" s="1" t="str">
        <f aca="false">IFERROR('dens_visc_beta+1hexoh'!A23,"")</f>
        <v/>
      </c>
      <c r="H123" s="1" t="n">
        <f aca="false">IFERROR('dens_visc_beta+1hexoh'!C23,"")</f>
        <v>0.81174</v>
      </c>
      <c r="I123" s="1" t="str">
        <f aca="false">IFERROR('dens_visc_beta+1hexoh'!H23,"")</f>
        <v/>
      </c>
      <c r="J123" s="1" t="n">
        <f aca="false">IFERROR('dens_visc_beta+1hexoh'!C37,"")</f>
        <v>3.881</v>
      </c>
      <c r="K123" s="1" t="str">
        <f aca="false">IF(AND(ISNUMBER(H123),ISNUMBER(I123),ISNUMBER(J123)),"✓",COUNTIF(H123:J123,"&gt;-999")&amp;"/3")</f>
        <v>2/3</v>
      </c>
    </row>
    <row r="124" customFormat="false" ht="15" hidden="false" customHeight="true" outlineLevel="0" collapsed="false">
      <c r="A124" s="1" t="s">
        <v>19</v>
      </c>
      <c r="B124" s="1" t="s">
        <v>12</v>
      </c>
      <c r="C124" s="1" t="s">
        <v>13</v>
      </c>
      <c r="D124" s="1" t="s">
        <v>20</v>
      </c>
      <c r="E124" s="1" t="s">
        <v>21</v>
      </c>
      <c r="F124" s="1" t="n">
        <f aca="false">IFERROR('dens_visc_beta+1hexoh'!C22,"")</f>
        <v>30</v>
      </c>
      <c r="G124" s="1" t="str">
        <f aca="false">IFERROR('dens_visc_beta+1hexoh'!A24,"")</f>
        <v/>
      </c>
      <c r="H124" s="1" t="n">
        <f aca="false">IFERROR('dens_visc_beta+1hexoh'!C24,"")</f>
        <v>0</v>
      </c>
      <c r="I124" s="1" t="str">
        <f aca="false">IFERROR('dens_visc_beta+1hexoh'!H24,"")</f>
        <v/>
      </c>
      <c r="J124" s="1" t="n">
        <f aca="false">IFERROR('dens_visc_beta+1hexoh'!C38,"")</f>
        <v>0</v>
      </c>
      <c r="K124" s="1" t="str">
        <f aca="false">IF(AND(ISNUMBER(H124),ISNUMBER(I124),ISNUMBER(J124)),"✓",COUNTIF(H124:J124,"&gt;-999")&amp;"/3")</f>
        <v>2/3</v>
      </c>
    </row>
    <row r="125" customFormat="false" ht="15" hidden="false" customHeight="true" outlineLevel="0" collapsed="false">
      <c r="A125" s="1" t="s">
        <v>19</v>
      </c>
      <c r="B125" s="1" t="s">
        <v>12</v>
      </c>
      <c r="C125" s="1" t="s">
        <v>13</v>
      </c>
      <c r="D125" s="1" t="s">
        <v>20</v>
      </c>
      <c r="E125" s="1" t="s">
        <v>21</v>
      </c>
      <c r="F125" s="1" t="n">
        <f aca="false">IFERROR('dens_visc_beta+1hexoh'!C22,"")</f>
        <v>30</v>
      </c>
      <c r="G125" s="1" t="str">
        <f aca="false">IFERROR('dens_visc_beta+1hexoh'!A25,"")</f>
        <v/>
      </c>
      <c r="H125" s="1" t="n">
        <f aca="false">IFERROR('dens_visc_beta+1hexoh'!C25,"")</f>
        <v>0</v>
      </c>
      <c r="I125" s="1" t="str">
        <f aca="false">IFERROR('dens_visc_beta+1hexoh'!H25,"")</f>
        <v/>
      </c>
      <c r="J125" s="1" t="n">
        <f aca="false">IFERROR('dens_visc_beta+1hexoh'!C39,"")</f>
        <v>0</v>
      </c>
      <c r="K125" s="1" t="str">
        <f aca="false">IF(AND(ISNUMBER(H125),ISNUMBER(I125),ISNUMBER(J125)),"✓",COUNTIF(H125:J125,"&gt;-999")&amp;"/3")</f>
        <v>2/3</v>
      </c>
    </row>
    <row r="126" customFormat="false" ht="15" hidden="false" customHeight="true" outlineLevel="0" collapsed="false">
      <c r="A126" s="1" t="s">
        <v>19</v>
      </c>
      <c r="B126" s="1" t="s">
        <v>12</v>
      </c>
      <c r="C126" s="1" t="s">
        <v>13</v>
      </c>
      <c r="D126" s="1" t="s">
        <v>20</v>
      </c>
      <c r="E126" s="1" t="s">
        <v>21</v>
      </c>
      <c r="F126" s="1" t="n">
        <f aca="false">IFERROR('dens_visc_beta+1hexoh'!C22,"")</f>
        <v>30</v>
      </c>
      <c r="G126" s="1" t="str">
        <f aca="false">IFERROR('dens_visc_beta+1hexoh'!A26,"")</f>
        <v/>
      </c>
      <c r="H126" s="1" t="n">
        <f aca="false">IFERROR('dens_visc_beta+1hexoh'!C26,"")</f>
        <v>0</v>
      </c>
      <c r="I126" s="1" t="str">
        <f aca="false">IFERROR('dens_visc_beta+1hexoh'!H26,"")</f>
        <v/>
      </c>
      <c r="J126" s="1" t="n">
        <f aca="false">IFERROR('dens_visc_beta+1hexoh'!C40,"")</f>
        <v>0</v>
      </c>
      <c r="K126" s="1" t="str">
        <f aca="false">IF(AND(ISNUMBER(H126),ISNUMBER(I126),ISNUMBER(J126)),"✓",COUNTIF(H126:J126,"&gt;-999")&amp;"/3")</f>
        <v>2/3</v>
      </c>
    </row>
    <row r="127" customFormat="false" ht="15" hidden="false" customHeight="true" outlineLevel="0" collapsed="false">
      <c r="A127" s="1" t="s">
        <v>19</v>
      </c>
      <c r="B127" s="1" t="s">
        <v>12</v>
      </c>
      <c r="C127" s="1" t="s">
        <v>13</v>
      </c>
      <c r="D127" s="1" t="s">
        <v>20</v>
      </c>
      <c r="E127" s="1" t="s">
        <v>21</v>
      </c>
      <c r="F127" s="1" t="n">
        <f aca="false">IFERROR('dens_visc_beta+1hexoh'!C22,"")</f>
        <v>30</v>
      </c>
      <c r="G127" s="1" t="str">
        <f aca="false">IFERROR('dens_visc_beta+1hexoh'!A27,"")</f>
        <v/>
      </c>
      <c r="H127" s="1" t="n">
        <f aca="false">IFERROR('dens_visc_beta+1hexoh'!C27,"")</f>
        <v>0</v>
      </c>
      <c r="I127" s="1" t="str">
        <f aca="false">IFERROR('dens_visc_beta+1hexoh'!H27,"")</f>
        <v/>
      </c>
      <c r="J127" s="1" t="n">
        <f aca="false">IFERROR('dens_visc_beta+1hexoh'!C41,"")</f>
        <v>0</v>
      </c>
      <c r="K127" s="1" t="str">
        <f aca="false">IF(AND(ISNUMBER(H127),ISNUMBER(I127),ISNUMBER(J127)),"✓",COUNTIF(H127:J127,"&gt;-999")&amp;"/3")</f>
        <v>2/3</v>
      </c>
    </row>
    <row r="128" customFormat="false" ht="15" hidden="false" customHeight="true" outlineLevel="0" collapsed="false">
      <c r="A128" s="1" t="s">
        <v>19</v>
      </c>
      <c r="B128" s="1" t="s">
        <v>12</v>
      </c>
      <c r="C128" s="1" t="s">
        <v>13</v>
      </c>
      <c r="D128" s="1" t="s">
        <v>20</v>
      </c>
      <c r="E128" s="1" t="s">
        <v>21</v>
      </c>
      <c r="F128" s="1" t="n">
        <f aca="false">IFERROR('dens_visc_beta+1hexoh'!C22,"")</f>
        <v>30</v>
      </c>
      <c r="G128" s="1" t="str">
        <f aca="false">IFERROR('dens_visc_beta+1hexoh'!A28,"")</f>
        <v/>
      </c>
      <c r="H128" s="1" t="n">
        <f aca="false">IFERROR('dens_visc_beta+1hexoh'!C28,"")</f>
        <v>0</v>
      </c>
      <c r="I128" s="1" t="str">
        <f aca="false">IFERROR('dens_visc_beta+1hexoh'!H28,"")</f>
        <v/>
      </c>
      <c r="J128" s="1" t="n">
        <f aca="false">IFERROR('dens_visc_beta+1hexoh'!C42,"")</f>
        <v>0</v>
      </c>
      <c r="K128" s="1" t="str">
        <f aca="false">IF(AND(ISNUMBER(H128),ISNUMBER(I128),ISNUMBER(J128)),"✓",COUNTIF(H128:J128,"&gt;-999")&amp;"/3")</f>
        <v>2/3</v>
      </c>
    </row>
    <row r="129" customFormat="false" ht="15" hidden="false" customHeight="true" outlineLevel="0" collapsed="false">
      <c r="A129" s="1" t="s">
        <v>19</v>
      </c>
      <c r="B129" s="1" t="s">
        <v>12</v>
      </c>
      <c r="C129" s="1" t="s">
        <v>13</v>
      </c>
      <c r="D129" s="1" t="s">
        <v>20</v>
      </c>
      <c r="E129" s="1" t="s">
        <v>21</v>
      </c>
      <c r="F129" s="1" t="n">
        <f aca="false">IFERROR('dens_visc_beta+1hexoh'!C22,"")</f>
        <v>30</v>
      </c>
      <c r="G129" s="1" t="str">
        <f aca="false">IFERROR('dens_visc_beta+1hexoh'!A29,"")</f>
        <v/>
      </c>
      <c r="H129" s="1" t="n">
        <f aca="false">IFERROR('dens_visc_beta+1hexoh'!C29,"")</f>
        <v>0</v>
      </c>
      <c r="I129" s="1" t="str">
        <f aca="false">IFERROR('dens_visc_beta+1hexoh'!H29,"")</f>
        <v/>
      </c>
      <c r="J129" s="1" t="n">
        <f aca="false">IFERROR('dens_visc_beta+1hexoh'!C43,"")</f>
        <v>0</v>
      </c>
      <c r="K129" s="1" t="str">
        <f aca="false">IF(AND(ISNUMBER(H129),ISNUMBER(I129),ISNUMBER(J129)),"✓",COUNTIF(H129:J129,"&gt;-999")&amp;"/3")</f>
        <v>2/3</v>
      </c>
    </row>
    <row r="130" customFormat="false" ht="15" hidden="false" customHeight="true" outlineLevel="0" collapsed="false">
      <c r="A130" s="1" t="s">
        <v>19</v>
      </c>
      <c r="B130" s="1" t="s">
        <v>12</v>
      </c>
      <c r="C130" s="1" t="s">
        <v>13</v>
      </c>
      <c r="D130" s="1" t="s">
        <v>20</v>
      </c>
      <c r="E130" s="1" t="s">
        <v>21</v>
      </c>
      <c r="F130" s="1" t="n">
        <f aca="false">IFERROR('dens_visc_beta+1hexoh'!C22,"")</f>
        <v>30</v>
      </c>
      <c r="G130" s="1" t="str">
        <f aca="false">IFERROR('dens_visc_beta+1hexoh'!A30,"")</f>
        <v/>
      </c>
      <c r="H130" s="1" t="n">
        <f aca="false">IFERROR('dens_visc_beta+1hexoh'!C30,"")</f>
        <v>0</v>
      </c>
      <c r="I130" s="1" t="str">
        <f aca="false">IFERROR('dens_visc_beta+1hexoh'!H30,"")</f>
        <v/>
      </c>
      <c r="J130" s="1" t="n">
        <f aca="false">IFERROR('dens_visc_beta+1hexoh'!C44,"")</f>
        <v>0</v>
      </c>
      <c r="K130" s="1" t="str">
        <f aca="false">IF(AND(ISNUMBER(H130),ISNUMBER(I130),ISNUMBER(J130)),"✓",COUNTIF(H130:J130,"&gt;-999")&amp;"/3")</f>
        <v>2/3</v>
      </c>
    </row>
    <row r="131" customFormat="false" ht="15" hidden="false" customHeight="true" outlineLevel="0" collapsed="false">
      <c r="A131" s="1" t="s">
        <v>19</v>
      </c>
      <c r="B131" s="1" t="s">
        <v>12</v>
      </c>
      <c r="C131" s="1" t="s">
        <v>13</v>
      </c>
      <c r="D131" s="1" t="s">
        <v>20</v>
      </c>
      <c r="E131" s="1" t="s">
        <v>21</v>
      </c>
      <c r="F131" s="1" t="n">
        <f aca="false">IFERROR('dens_visc_beta+1hexoh'!C22,"")</f>
        <v>30</v>
      </c>
      <c r="G131" s="1" t="str">
        <f aca="false">IFERROR('dens_visc_beta+1hexoh'!A31,"")</f>
        <v/>
      </c>
      <c r="H131" s="1" t="n">
        <f aca="false">IFERROR('dens_visc_beta+1hexoh'!C31,"")</f>
        <v>0</v>
      </c>
      <c r="I131" s="1" t="str">
        <f aca="false">IFERROR('dens_visc_beta+1hexoh'!H31,"")</f>
        <v/>
      </c>
      <c r="J131" s="1" t="n">
        <f aca="false">IFERROR('dens_visc_beta+1hexoh'!C45,"")</f>
        <v>0</v>
      </c>
      <c r="K131" s="1" t="str">
        <f aca="false">IF(AND(ISNUMBER(H131),ISNUMBER(I131),ISNUMBER(J131)),"✓",COUNTIF(H131:J131,"&gt;-999")&amp;"/3")</f>
        <v>2/3</v>
      </c>
    </row>
    <row r="132" customFormat="false" ht="15" hidden="false" customHeight="true" outlineLevel="0" collapsed="false">
      <c r="A132" s="1" t="s">
        <v>19</v>
      </c>
      <c r="B132" s="1" t="s">
        <v>12</v>
      </c>
      <c r="C132" s="1" t="s">
        <v>13</v>
      </c>
      <c r="D132" s="1" t="s">
        <v>20</v>
      </c>
      <c r="E132" s="1" t="s">
        <v>21</v>
      </c>
      <c r="F132" s="1" t="n">
        <f aca="false">IFERROR('dens_visc_beta+1hexoh'!C22,"")</f>
        <v>30</v>
      </c>
      <c r="G132" s="1" t="str">
        <f aca="false">IFERROR('dens_visc_beta+1hexoh'!A32,"")</f>
        <v/>
      </c>
      <c r="H132" s="1" t="n">
        <f aca="false">IFERROR('dens_visc_beta+1hexoh'!C32,"")</f>
        <v>0</v>
      </c>
      <c r="I132" s="1" t="str">
        <f aca="false">IFERROR('dens_visc_beta+1hexoh'!H32,"")</f>
        <v/>
      </c>
      <c r="J132" s="1" t="n">
        <f aca="false">IFERROR('dens_visc_beta+1hexoh'!C46,"")</f>
        <v>0</v>
      </c>
      <c r="K132" s="1" t="str">
        <f aca="false">IF(AND(ISNUMBER(H132),ISNUMBER(I132),ISNUMBER(J132)),"✓",COUNTIF(H132:J132,"&gt;-999")&amp;"/3")</f>
        <v>2/3</v>
      </c>
    </row>
    <row r="133" customFormat="false" ht="15" hidden="false" customHeight="true" outlineLevel="0" collapsed="false">
      <c r="A133" s="1" t="s">
        <v>19</v>
      </c>
      <c r="B133" s="1" t="s">
        <v>12</v>
      </c>
      <c r="C133" s="1" t="s">
        <v>13</v>
      </c>
      <c r="D133" s="1" t="s">
        <v>20</v>
      </c>
      <c r="E133" s="1" t="s">
        <v>21</v>
      </c>
      <c r="F133" s="1" t="n">
        <f aca="false">IFERROR('dens_visc_beta+1hexoh'!C22,"")</f>
        <v>30</v>
      </c>
      <c r="G133" s="1" t="str">
        <f aca="false">IFERROR('dens_visc_beta+1hexoh'!A33,"")</f>
        <v/>
      </c>
      <c r="H133" s="1" t="n">
        <f aca="false">IFERROR('dens_visc_beta+1hexoh'!C33,"")</f>
        <v>0.93726</v>
      </c>
      <c r="I133" s="1" t="str">
        <f aca="false">IFERROR('dens_visc_beta+1hexoh'!H33,"")</f>
        <v/>
      </c>
      <c r="J133" s="1" t="n">
        <f aca="false">IFERROR('dens_visc_beta+1hexoh'!C47,"")</f>
        <v>7.323</v>
      </c>
      <c r="K133" s="1" t="str">
        <f aca="false">IF(AND(ISNUMBER(H133),ISNUMBER(I133),ISNUMBER(J133)),"✓",COUNTIF(H133:J133,"&gt;-999")&amp;"/3")</f>
        <v>2/3</v>
      </c>
    </row>
    <row r="134" customFormat="false" ht="15" hidden="false" customHeight="true" outlineLevel="0" collapsed="false">
      <c r="A134" s="1" t="s">
        <v>19</v>
      </c>
      <c r="B134" s="1" t="s">
        <v>12</v>
      </c>
      <c r="C134" s="1" t="s">
        <v>13</v>
      </c>
      <c r="D134" s="1" t="s">
        <v>20</v>
      </c>
      <c r="E134" s="1" t="s">
        <v>21</v>
      </c>
      <c r="F134" s="1" t="n">
        <f aca="false">IFERROR('dens_visc_beta+1hexoh'!D22,"")</f>
        <v>40</v>
      </c>
      <c r="G134" s="1" t="str">
        <f aca="false">IFERROR('dens_visc_beta+1hexoh'!A23,"")</f>
        <v/>
      </c>
      <c r="H134" s="1" t="n">
        <f aca="false">IFERROR('dens_visc_beta+1hexoh'!D23,"")</f>
        <v>0.80455</v>
      </c>
      <c r="I134" s="1" t="str">
        <f aca="false">IFERROR('dens_visc_beta+1hexoh'!I23,"")</f>
        <v/>
      </c>
      <c r="J134" s="1" t="n">
        <f aca="false">IFERROR('dens_visc_beta+1hexoh'!D37,"")</f>
        <v>2.919</v>
      </c>
      <c r="K134" s="1" t="str">
        <f aca="false">IF(AND(ISNUMBER(H134),ISNUMBER(I134),ISNUMBER(J134)),"✓",COUNTIF(H134:J134,"&gt;-999")&amp;"/3")</f>
        <v>2/3</v>
      </c>
    </row>
    <row r="135" customFormat="false" ht="15" hidden="false" customHeight="true" outlineLevel="0" collapsed="false">
      <c r="A135" s="1" t="s">
        <v>19</v>
      </c>
      <c r="B135" s="1" t="s">
        <v>12</v>
      </c>
      <c r="C135" s="1" t="s">
        <v>13</v>
      </c>
      <c r="D135" s="1" t="s">
        <v>20</v>
      </c>
      <c r="E135" s="1" t="s">
        <v>21</v>
      </c>
      <c r="F135" s="1" t="n">
        <f aca="false">IFERROR('dens_visc_beta+1hexoh'!D22,"")</f>
        <v>40</v>
      </c>
      <c r="G135" s="1" t="str">
        <f aca="false">IFERROR('dens_visc_beta+1hexoh'!A24,"")</f>
        <v/>
      </c>
      <c r="H135" s="1" t="n">
        <f aca="false">IFERROR('dens_visc_beta+1hexoh'!D24,"")</f>
        <v>0</v>
      </c>
      <c r="I135" s="1" t="str">
        <f aca="false">IFERROR('dens_visc_beta+1hexoh'!I24,"")</f>
        <v/>
      </c>
      <c r="J135" s="1" t="n">
        <f aca="false">IFERROR('dens_visc_beta+1hexoh'!D38,"")</f>
        <v>0</v>
      </c>
      <c r="K135" s="1" t="str">
        <f aca="false">IF(AND(ISNUMBER(H135),ISNUMBER(I135),ISNUMBER(J135)),"✓",COUNTIF(H135:J135,"&gt;-999")&amp;"/3")</f>
        <v>2/3</v>
      </c>
    </row>
    <row r="136" customFormat="false" ht="15" hidden="false" customHeight="true" outlineLevel="0" collapsed="false">
      <c r="A136" s="1" t="s">
        <v>19</v>
      </c>
      <c r="B136" s="1" t="s">
        <v>12</v>
      </c>
      <c r="C136" s="1" t="s">
        <v>13</v>
      </c>
      <c r="D136" s="1" t="s">
        <v>20</v>
      </c>
      <c r="E136" s="1" t="s">
        <v>21</v>
      </c>
      <c r="F136" s="1" t="n">
        <f aca="false">IFERROR('dens_visc_beta+1hexoh'!D22,"")</f>
        <v>40</v>
      </c>
      <c r="G136" s="1" t="str">
        <f aca="false">IFERROR('dens_visc_beta+1hexoh'!A25,"")</f>
        <v/>
      </c>
      <c r="H136" s="1" t="n">
        <f aca="false">IFERROR('dens_visc_beta+1hexoh'!D25,"")</f>
        <v>0</v>
      </c>
      <c r="I136" s="1" t="str">
        <f aca="false">IFERROR('dens_visc_beta+1hexoh'!I25,"")</f>
        <v/>
      </c>
      <c r="J136" s="1" t="n">
        <f aca="false">IFERROR('dens_visc_beta+1hexoh'!D39,"")</f>
        <v>0</v>
      </c>
      <c r="K136" s="1" t="str">
        <f aca="false">IF(AND(ISNUMBER(H136),ISNUMBER(I136),ISNUMBER(J136)),"✓",COUNTIF(H136:J136,"&gt;-999")&amp;"/3")</f>
        <v>2/3</v>
      </c>
    </row>
    <row r="137" customFormat="false" ht="15" hidden="false" customHeight="true" outlineLevel="0" collapsed="false">
      <c r="A137" s="1" t="s">
        <v>19</v>
      </c>
      <c r="B137" s="1" t="s">
        <v>12</v>
      </c>
      <c r="C137" s="1" t="s">
        <v>13</v>
      </c>
      <c r="D137" s="1" t="s">
        <v>20</v>
      </c>
      <c r="E137" s="1" t="s">
        <v>21</v>
      </c>
      <c r="F137" s="1" t="n">
        <f aca="false">IFERROR('dens_visc_beta+1hexoh'!D22,"")</f>
        <v>40</v>
      </c>
      <c r="G137" s="1" t="str">
        <f aca="false">IFERROR('dens_visc_beta+1hexoh'!A26,"")</f>
        <v/>
      </c>
      <c r="H137" s="1" t="n">
        <f aca="false">IFERROR('dens_visc_beta+1hexoh'!D26,"")</f>
        <v>0</v>
      </c>
      <c r="I137" s="1" t="str">
        <f aca="false">IFERROR('dens_visc_beta+1hexoh'!I26,"")</f>
        <v/>
      </c>
      <c r="J137" s="1" t="n">
        <f aca="false">IFERROR('dens_visc_beta+1hexoh'!D40,"")</f>
        <v>0</v>
      </c>
      <c r="K137" s="1" t="str">
        <f aca="false">IF(AND(ISNUMBER(H137),ISNUMBER(I137),ISNUMBER(J137)),"✓",COUNTIF(H137:J137,"&gt;-999")&amp;"/3")</f>
        <v>2/3</v>
      </c>
    </row>
    <row r="138" customFormat="false" ht="15" hidden="false" customHeight="true" outlineLevel="0" collapsed="false">
      <c r="A138" s="1" t="s">
        <v>19</v>
      </c>
      <c r="B138" s="1" t="s">
        <v>12</v>
      </c>
      <c r="C138" s="1" t="s">
        <v>13</v>
      </c>
      <c r="D138" s="1" t="s">
        <v>20</v>
      </c>
      <c r="E138" s="1" t="s">
        <v>21</v>
      </c>
      <c r="F138" s="1" t="n">
        <f aca="false">IFERROR('dens_visc_beta+1hexoh'!D22,"")</f>
        <v>40</v>
      </c>
      <c r="G138" s="1" t="str">
        <f aca="false">IFERROR('dens_visc_beta+1hexoh'!A27,"")</f>
        <v/>
      </c>
      <c r="H138" s="1" t="n">
        <f aca="false">IFERROR('dens_visc_beta+1hexoh'!D27,"")</f>
        <v>0</v>
      </c>
      <c r="I138" s="1" t="str">
        <f aca="false">IFERROR('dens_visc_beta+1hexoh'!I27,"")</f>
        <v/>
      </c>
      <c r="J138" s="1" t="n">
        <f aca="false">IFERROR('dens_visc_beta+1hexoh'!D41,"")</f>
        <v>0</v>
      </c>
      <c r="K138" s="1" t="str">
        <f aca="false">IF(AND(ISNUMBER(H138),ISNUMBER(I138),ISNUMBER(J138)),"✓",COUNTIF(H138:J138,"&gt;-999")&amp;"/3")</f>
        <v>2/3</v>
      </c>
    </row>
    <row r="139" customFormat="false" ht="15" hidden="false" customHeight="true" outlineLevel="0" collapsed="false">
      <c r="A139" s="1" t="s">
        <v>19</v>
      </c>
      <c r="B139" s="1" t="s">
        <v>12</v>
      </c>
      <c r="C139" s="1" t="s">
        <v>13</v>
      </c>
      <c r="D139" s="1" t="s">
        <v>20</v>
      </c>
      <c r="E139" s="1" t="s">
        <v>21</v>
      </c>
      <c r="F139" s="1" t="n">
        <f aca="false">IFERROR('dens_visc_beta+1hexoh'!D22,"")</f>
        <v>40</v>
      </c>
      <c r="G139" s="1" t="str">
        <f aca="false">IFERROR('dens_visc_beta+1hexoh'!A28,"")</f>
        <v/>
      </c>
      <c r="H139" s="1" t="n">
        <f aca="false">IFERROR('dens_visc_beta+1hexoh'!D28,"")</f>
        <v>0</v>
      </c>
      <c r="I139" s="1" t="str">
        <f aca="false">IFERROR('dens_visc_beta+1hexoh'!I28,"")</f>
        <v/>
      </c>
      <c r="J139" s="1" t="n">
        <f aca="false">IFERROR('dens_visc_beta+1hexoh'!D42,"")</f>
        <v>0</v>
      </c>
      <c r="K139" s="1" t="str">
        <f aca="false">IF(AND(ISNUMBER(H139),ISNUMBER(I139),ISNUMBER(J139)),"✓",COUNTIF(H139:J139,"&gt;-999")&amp;"/3")</f>
        <v>2/3</v>
      </c>
    </row>
    <row r="140" customFormat="false" ht="15" hidden="false" customHeight="true" outlineLevel="0" collapsed="false">
      <c r="A140" s="1" t="s">
        <v>19</v>
      </c>
      <c r="B140" s="1" t="s">
        <v>12</v>
      </c>
      <c r="C140" s="1" t="s">
        <v>13</v>
      </c>
      <c r="D140" s="1" t="s">
        <v>20</v>
      </c>
      <c r="E140" s="1" t="s">
        <v>21</v>
      </c>
      <c r="F140" s="1" t="n">
        <f aca="false">IFERROR('dens_visc_beta+1hexoh'!D22,"")</f>
        <v>40</v>
      </c>
      <c r="G140" s="1" t="str">
        <f aca="false">IFERROR('dens_visc_beta+1hexoh'!A29,"")</f>
        <v/>
      </c>
      <c r="H140" s="1" t="n">
        <f aca="false">IFERROR('dens_visc_beta+1hexoh'!D29,"")</f>
        <v>0</v>
      </c>
      <c r="I140" s="1" t="str">
        <f aca="false">IFERROR('dens_visc_beta+1hexoh'!I29,"")</f>
        <v/>
      </c>
      <c r="J140" s="1" t="n">
        <f aca="false">IFERROR('dens_visc_beta+1hexoh'!D43,"")</f>
        <v>0</v>
      </c>
      <c r="K140" s="1" t="str">
        <f aca="false">IF(AND(ISNUMBER(H140),ISNUMBER(I140),ISNUMBER(J140)),"✓",COUNTIF(H140:J140,"&gt;-999")&amp;"/3")</f>
        <v>2/3</v>
      </c>
    </row>
    <row r="141" customFormat="false" ht="15" hidden="false" customHeight="true" outlineLevel="0" collapsed="false">
      <c r="A141" s="1" t="s">
        <v>19</v>
      </c>
      <c r="B141" s="1" t="s">
        <v>12</v>
      </c>
      <c r="C141" s="1" t="s">
        <v>13</v>
      </c>
      <c r="D141" s="1" t="s">
        <v>20</v>
      </c>
      <c r="E141" s="1" t="s">
        <v>21</v>
      </c>
      <c r="F141" s="1" t="n">
        <f aca="false">IFERROR('dens_visc_beta+1hexoh'!D22,"")</f>
        <v>40</v>
      </c>
      <c r="G141" s="1" t="str">
        <f aca="false">IFERROR('dens_visc_beta+1hexoh'!A30,"")</f>
        <v/>
      </c>
      <c r="H141" s="1" t="n">
        <f aca="false">IFERROR('dens_visc_beta+1hexoh'!D30,"")</f>
        <v>0</v>
      </c>
      <c r="I141" s="1" t="str">
        <f aca="false">IFERROR('dens_visc_beta+1hexoh'!I30,"")</f>
        <v/>
      </c>
      <c r="J141" s="1" t="n">
        <f aca="false">IFERROR('dens_visc_beta+1hexoh'!D44,"")</f>
        <v>0</v>
      </c>
      <c r="K141" s="1" t="str">
        <f aca="false">IF(AND(ISNUMBER(H141),ISNUMBER(I141),ISNUMBER(J141)),"✓",COUNTIF(H141:J141,"&gt;-999")&amp;"/3")</f>
        <v>2/3</v>
      </c>
    </row>
    <row r="142" customFormat="false" ht="15" hidden="false" customHeight="true" outlineLevel="0" collapsed="false">
      <c r="A142" s="1" t="s">
        <v>19</v>
      </c>
      <c r="B142" s="1" t="s">
        <v>12</v>
      </c>
      <c r="C142" s="1" t="s">
        <v>13</v>
      </c>
      <c r="D142" s="1" t="s">
        <v>20</v>
      </c>
      <c r="E142" s="1" t="s">
        <v>21</v>
      </c>
      <c r="F142" s="1" t="n">
        <f aca="false">IFERROR('dens_visc_beta+1hexoh'!D22,"")</f>
        <v>40</v>
      </c>
      <c r="G142" s="1" t="str">
        <f aca="false">IFERROR('dens_visc_beta+1hexoh'!A31,"")</f>
        <v/>
      </c>
      <c r="H142" s="1" t="n">
        <f aca="false">IFERROR('dens_visc_beta+1hexoh'!D31,"")</f>
        <v>0</v>
      </c>
      <c r="I142" s="1" t="str">
        <f aca="false">IFERROR('dens_visc_beta+1hexoh'!I31,"")</f>
        <v/>
      </c>
      <c r="J142" s="1" t="n">
        <f aca="false">IFERROR('dens_visc_beta+1hexoh'!D45,"")</f>
        <v>0</v>
      </c>
      <c r="K142" s="1" t="str">
        <f aca="false">IF(AND(ISNUMBER(H142),ISNUMBER(I142),ISNUMBER(J142)),"✓",COUNTIF(H142:J142,"&gt;-999")&amp;"/3")</f>
        <v>2/3</v>
      </c>
    </row>
    <row r="143" customFormat="false" ht="15" hidden="false" customHeight="true" outlineLevel="0" collapsed="false">
      <c r="A143" s="1" t="s">
        <v>19</v>
      </c>
      <c r="B143" s="1" t="s">
        <v>12</v>
      </c>
      <c r="C143" s="1" t="s">
        <v>13</v>
      </c>
      <c r="D143" s="1" t="s">
        <v>20</v>
      </c>
      <c r="E143" s="1" t="s">
        <v>21</v>
      </c>
      <c r="F143" s="1" t="n">
        <f aca="false">IFERROR('dens_visc_beta+1hexoh'!D22,"")</f>
        <v>40</v>
      </c>
      <c r="G143" s="1" t="str">
        <f aca="false">IFERROR('dens_visc_beta+1hexoh'!A32,"")</f>
        <v/>
      </c>
      <c r="H143" s="1" t="n">
        <f aca="false">IFERROR('dens_visc_beta+1hexoh'!D32,"")</f>
        <v>0</v>
      </c>
      <c r="I143" s="1" t="str">
        <f aca="false">IFERROR('dens_visc_beta+1hexoh'!I32,"")</f>
        <v/>
      </c>
      <c r="J143" s="1" t="n">
        <f aca="false">IFERROR('dens_visc_beta+1hexoh'!D46,"")</f>
        <v>0</v>
      </c>
      <c r="K143" s="1" t="str">
        <f aca="false">IF(AND(ISNUMBER(H143),ISNUMBER(I143),ISNUMBER(J143)),"✓",COUNTIF(H143:J143,"&gt;-999")&amp;"/3")</f>
        <v>2/3</v>
      </c>
    </row>
    <row r="144" customFormat="false" ht="15" hidden="false" customHeight="true" outlineLevel="0" collapsed="false">
      <c r="A144" s="1" t="s">
        <v>19</v>
      </c>
      <c r="B144" s="1" t="s">
        <v>12</v>
      </c>
      <c r="C144" s="1" t="s">
        <v>13</v>
      </c>
      <c r="D144" s="1" t="s">
        <v>20</v>
      </c>
      <c r="E144" s="1" t="s">
        <v>21</v>
      </c>
      <c r="F144" s="1" t="n">
        <f aca="false">IFERROR('dens_visc_beta+1hexoh'!D22,"")</f>
        <v>40</v>
      </c>
      <c r="G144" s="1" t="str">
        <f aca="false">IFERROR('dens_visc_beta+1hexoh'!A33,"")</f>
        <v/>
      </c>
      <c r="H144" s="1" t="n">
        <f aca="false">IFERROR('dens_visc_beta+1hexoh'!D33,"")</f>
        <v>0.9295</v>
      </c>
      <c r="I144" s="1" t="str">
        <f aca="false">IFERROR('dens_visc_beta+1hexoh'!I33,"")</f>
        <v/>
      </c>
      <c r="J144" s="1" t="n">
        <f aca="false">IFERROR('dens_visc_beta+1hexoh'!D47,"")</f>
        <v>5.121</v>
      </c>
      <c r="K144" s="1" t="str">
        <f aca="false">IF(AND(ISNUMBER(H144),ISNUMBER(I144),ISNUMBER(J144)),"✓",COUNTIF(H144:J144,"&gt;-999")&amp;"/3")</f>
        <v>2/3</v>
      </c>
    </row>
    <row r="145" customFormat="false" ht="15" hidden="false" customHeight="true" outlineLevel="0" collapsed="false">
      <c r="A145" s="1" t="s">
        <v>19</v>
      </c>
      <c r="B145" s="1" t="s">
        <v>12</v>
      </c>
      <c r="C145" s="1" t="s">
        <v>13</v>
      </c>
      <c r="D145" s="1" t="s">
        <v>20</v>
      </c>
      <c r="E145" s="1" t="s">
        <v>21</v>
      </c>
      <c r="F145" s="1" t="n">
        <f aca="false">IFERROR('dens_visc_beta+1hexoh'!E22,"")</f>
        <v>50</v>
      </c>
      <c r="G145" s="1" t="str">
        <f aca="false">IFERROR('dens_visc_beta+1hexoh'!A23,"")</f>
        <v/>
      </c>
      <c r="H145" s="1" t="n">
        <f aca="false">IFERROR('dens_visc_beta+1hexoh'!E23,"")</f>
        <v>0.79722</v>
      </c>
      <c r="I145" s="1" t="str">
        <f aca="false">IFERROR('dens_visc_beta+1hexoh'!J23,"")</f>
        <v/>
      </c>
      <c r="J145" s="1" t="n">
        <f aca="false">IFERROR('dens_visc_beta+1hexoh'!E37,"")</f>
        <v>2.24</v>
      </c>
      <c r="K145" s="1" t="str">
        <f aca="false">IF(AND(ISNUMBER(H145),ISNUMBER(I145),ISNUMBER(J145)),"✓",COUNTIF(H145:J145,"&gt;-999")&amp;"/3")</f>
        <v>2/3</v>
      </c>
    </row>
    <row r="146" customFormat="false" ht="15" hidden="false" customHeight="true" outlineLevel="0" collapsed="false">
      <c r="A146" s="1" t="s">
        <v>19</v>
      </c>
      <c r="B146" s="1" t="s">
        <v>12</v>
      </c>
      <c r="C146" s="1" t="s">
        <v>13</v>
      </c>
      <c r="D146" s="1" t="s">
        <v>20</v>
      </c>
      <c r="E146" s="1" t="s">
        <v>21</v>
      </c>
      <c r="F146" s="1" t="n">
        <f aca="false">IFERROR('dens_visc_beta+1hexoh'!E22,"")</f>
        <v>50</v>
      </c>
      <c r="G146" s="1" t="str">
        <f aca="false">IFERROR('dens_visc_beta+1hexoh'!A24,"")</f>
        <v/>
      </c>
      <c r="H146" s="1" t="n">
        <f aca="false">IFERROR('dens_visc_beta+1hexoh'!E24,"")</f>
        <v>0</v>
      </c>
      <c r="I146" s="1" t="str">
        <f aca="false">IFERROR('dens_visc_beta+1hexoh'!J24,"")</f>
        <v/>
      </c>
      <c r="J146" s="1" t="n">
        <f aca="false">IFERROR('dens_visc_beta+1hexoh'!E38,"")</f>
        <v>0</v>
      </c>
      <c r="K146" s="1" t="str">
        <f aca="false">IF(AND(ISNUMBER(H146),ISNUMBER(I146),ISNUMBER(J146)),"✓",COUNTIF(H146:J146,"&gt;-999")&amp;"/3")</f>
        <v>2/3</v>
      </c>
    </row>
    <row r="147" customFormat="false" ht="15" hidden="false" customHeight="true" outlineLevel="0" collapsed="false">
      <c r="A147" s="1" t="s">
        <v>19</v>
      </c>
      <c r="B147" s="1" t="s">
        <v>12</v>
      </c>
      <c r="C147" s="1" t="s">
        <v>13</v>
      </c>
      <c r="D147" s="1" t="s">
        <v>20</v>
      </c>
      <c r="E147" s="1" t="s">
        <v>21</v>
      </c>
      <c r="F147" s="1" t="n">
        <f aca="false">IFERROR('dens_visc_beta+1hexoh'!E22,"")</f>
        <v>50</v>
      </c>
      <c r="G147" s="1" t="str">
        <f aca="false">IFERROR('dens_visc_beta+1hexoh'!A25,"")</f>
        <v/>
      </c>
      <c r="H147" s="1" t="n">
        <f aca="false">IFERROR('dens_visc_beta+1hexoh'!E25,"")</f>
        <v>0</v>
      </c>
      <c r="I147" s="1" t="str">
        <f aca="false">IFERROR('dens_visc_beta+1hexoh'!J25,"")</f>
        <v/>
      </c>
      <c r="J147" s="1" t="n">
        <f aca="false">IFERROR('dens_visc_beta+1hexoh'!E39,"")</f>
        <v>0</v>
      </c>
      <c r="K147" s="1" t="str">
        <f aca="false">IF(AND(ISNUMBER(H147),ISNUMBER(I147),ISNUMBER(J147)),"✓",COUNTIF(H147:J147,"&gt;-999")&amp;"/3")</f>
        <v>2/3</v>
      </c>
    </row>
    <row r="148" customFormat="false" ht="15" hidden="false" customHeight="true" outlineLevel="0" collapsed="false">
      <c r="A148" s="1" t="s">
        <v>19</v>
      </c>
      <c r="B148" s="1" t="s">
        <v>12</v>
      </c>
      <c r="C148" s="1" t="s">
        <v>13</v>
      </c>
      <c r="D148" s="1" t="s">
        <v>20</v>
      </c>
      <c r="E148" s="1" t="s">
        <v>21</v>
      </c>
      <c r="F148" s="1" t="n">
        <f aca="false">IFERROR('dens_visc_beta+1hexoh'!E22,"")</f>
        <v>50</v>
      </c>
      <c r="G148" s="1" t="str">
        <f aca="false">IFERROR('dens_visc_beta+1hexoh'!A26,"")</f>
        <v/>
      </c>
      <c r="H148" s="1" t="n">
        <f aca="false">IFERROR('dens_visc_beta+1hexoh'!E26,"")</f>
        <v>0</v>
      </c>
      <c r="I148" s="1" t="str">
        <f aca="false">IFERROR('dens_visc_beta+1hexoh'!J26,"")</f>
        <v/>
      </c>
      <c r="J148" s="1" t="n">
        <f aca="false">IFERROR('dens_visc_beta+1hexoh'!E40,"")</f>
        <v>0</v>
      </c>
      <c r="K148" s="1" t="str">
        <f aca="false">IF(AND(ISNUMBER(H148),ISNUMBER(I148),ISNUMBER(J148)),"✓",COUNTIF(H148:J148,"&gt;-999")&amp;"/3")</f>
        <v>2/3</v>
      </c>
    </row>
    <row r="149" customFormat="false" ht="15" hidden="false" customHeight="true" outlineLevel="0" collapsed="false">
      <c r="A149" s="1" t="s">
        <v>19</v>
      </c>
      <c r="B149" s="1" t="s">
        <v>12</v>
      </c>
      <c r="C149" s="1" t="s">
        <v>13</v>
      </c>
      <c r="D149" s="1" t="s">
        <v>20</v>
      </c>
      <c r="E149" s="1" t="s">
        <v>21</v>
      </c>
      <c r="F149" s="1" t="n">
        <f aca="false">IFERROR('dens_visc_beta+1hexoh'!E22,"")</f>
        <v>50</v>
      </c>
      <c r="G149" s="1" t="str">
        <f aca="false">IFERROR('dens_visc_beta+1hexoh'!A27,"")</f>
        <v/>
      </c>
      <c r="H149" s="1" t="n">
        <f aca="false">IFERROR('dens_visc_beta+1hexoh'!E27,"")</f>
        <v>0</v>
      </c>
      <c r="I149" s="1" t="str">
        <f aca="false">IFERROR('dens_visc_beta+1hexoh'!J27,"")</f>
        <v/>
      </c>
      <c r="J149" s="1" t="n">
        <f aca="false">IFERROR('dens_visc_beta+1hexoh'!E41,"")</f>
        <v>0</v>
      </c>
      <c r="K149" s="1" t="str">
        <f aca="false">IF(AND(ISNUMBER(H149),ISNUMBER(I149),ISNUMBER(J149)),"✓",COUNTIF(H149:J149,"&gt;-999")&amp;"/3")</f>
        <v>2/3</v>
      </c>
    </row>
    <row r="150" customFormat="false" ht="15" hidden="false" customHeight="true" outlineLevel="0" collapsed="false">
      <c r="A150" s="1" t="s">
        <v>19</v>
      </c>
      <c r="B150" s="1" t="s">
        <v>12</v>
      </c>
      <c r="C150" s="1" t="s">
        <v>13</v>
      </c>
      <c r="D150" s="1" t="s">
        <v>20</v>
      </c>
      <c r="E150" s="1" t="s">
        <v>21</v>
      </c>
      <c r="F150" s="1" t="n">
        <f aca="false">IFERROR('dens_visc_beta+1hexoh'!E22,"")</f>
        <v>50</v>
      </c>
      <c r="G150" s="1" t="str">
        <f aca="false">IFERROR('dens_visc_beta+1hexoh'!A28,"")</f>
        <v/>
      </c>
      <c r="H150" s="1" t="n">
        <f aca="false">IFERROR('dens_visc_beta+1hexoh'!E28,"")</f>
        <v>0</v>
      </c>
      <c r="I150" s="1" t="str">
        <f aca="false">IFERROR('dens_visc_beta+1hexoh'!J28,"")</f>
        <v/>
      </c>
      <c r="J150" s="1" t="n">
        <f aca="false">IFERROR('dens_visc_beta+1hexoh'!E42,"")</f>
        <v>0</v>
      </c>
      <c r="K150" s="1" t="str">
        <f aca="false">IF(AND(ISNUMBER(H150),ISNUMBER(I150),ISNUMBER(J150)),"✓",COUNTIF(H150:J150,"&gt;-999")&amp;"/3")</f>
        <v>2/3</v>
      </c>
    </row>
    <row r="151" customFormat="false" ht="15" hidden="false" customHeight="true" outlineLevel="0" collapsed="false">
      <c r="A151" s="1" t="s">
        <v>19</v>
      </c>
      <c r="B151" s="1" t="s">
        <v>12</v>
      </c>
      <c r="C151" s="1" t="s">
        <v>13</v>
      </c>
      <c r="D151" s="1" t="s">
        <v>20</v>
      </c>
      <c r="E151" s="1" t="s">
        <v>21</v>
      </c>
      <c r="F151" s="1" t="n">
        <f aca="false">IFERROR('dens_visc_beta+1hexoh'!E22,"")</f>
        <v>50</v>
      </c>
      <c r="G151" s="1" t="str">
        <f aca="false">IFERROR('dens_visc_beta+1hexoh'!A29,"")</f>
        <v/>
      </c>
      <c r="H151" s="1" t="n">
        <f aca="false">IFERROR('dens_visc_beta+1hexoh'!E29,"")</f>
        <v>0</v>
      </c>
      <c r="I151" s="1" t="str">
        <f aca="false">IFERROR('dens_visc_beta+1hexoh'!J29,"")</f>
        <v/>
      </c>
      <c r="J151" s="1" t="n">
        <f aca="false">IFERROR('dens_visc_beta+1hexoh'!E43,"")</f>
        <v>0</v>
      </c>
      <c r="K151" s="1" t="str">
        <f aca="false">IF(AND(ISNUMBER(H151),ISNUMBER(I151),ISNUMBER(J151)),"✓",COUNTIF(H151:J151,"&gt;-999")&amp;"/3")</f>
        <v>2/3</v>
      </c>
    </row>
    <row r="152" customFormat="false" ht="15" hidden="false" customHeight="true" outlineLevel="0" collapsed="false">
      <c r="A152" s="1" t="s">
        <v>19</v>
      </c>
      <c r="B152" s="1" t="s">
        <v>12</v>
      </c>
      <c r="C152" s="1" t="s">
        <v>13</v>
      </c>
      <c r="D152" s="1" t="s">
        <v>20</v>
      </c>
      <c r="E152" s="1" t="s">
        <v>21</v>
      </c>
      <c r="F152" s="1" t="n">
        <f aca="false">IFERROR('dens_visc_beta+1hexoh'!E22,"")</f>
        <v>50</v>
      </c>
      <c r="G152" s="1" t="str">
        <f aca="false">IFERROR('dens_visc_beta+1hexoh'!A30,"")</f>
        <v/>
      </c>
      <c r="H152" s="1" t="n">
        <f aca="false">IFERROR('dens_visc_beta+1hexoh'!E30,"")</f>
        <v>0</v>
      </c>
      <c r="I152" s="1" t="str">
        <f aca="false">IFERROR('dens_visc_beta+1hexoh'!J30,"")</f>
        <v/>
      </c>
      <c r="J152" s="1" t="n">
        <f aca="false">IFERROR('dens_visc_beta+1hexoh'!E44,"")</f>
        <v>0</v>
      </c>
      <c r="K152" s="1" t="str">
        <f aca="false">IF(AND(ISNUMBER(H152),ISNUMBER(I152),ISNUMBER(J152)),"✓",COUNTIF(H152:J152,"&gt;-999")&amp;"/3")</f>
        <v>2/3</v>
      </c>
    </row>
    <row r="153" customFormat="false" ht="15" hidden="false" customHeight="true" outlineLevel="0" collapsed="false">
      <c r="A153" s="1" t="s">
        <v>19</v>
      </c>
      <c r="B153" s="1" t="s">
        <v>12</v>
      </c>
      <c r="C153" s="1" t="s">
        <v>13</v>
      </c>
      <c r="D153" s="1" t="s">
        <v>20</v>
      </c>
      <c r="E153" s="1" t="s">
        <v>21</v>
      </c>
      <c r="F153" s="1" t="n">
        <f aca="false">IFERROR('dens_visc_beta+1hexoh'!E22,"")</f>
        <v>50</v>
      </c>
      <c r="G153" s="1" t="str">
        <f aca="false">IFERROR('dens_visc_beta+1hexoh'!A31,"")</f>
        <v/>
      </c>
      <c r="H153" s="1" t="n">
        <f aca="false">IFERROR('dens_visc_beta+1hexoh'!E31,"")</f>
        <v>0</v>
      </c>
      <c r="I153" s="1" t="str">
        <f aca="false">IFERROR('dens_visc_beta+1hexoh'!J31,"")</f>
        <v/>
      </c>
      <c r="J153" s="1" t="n">
        <f aca="false">IFERROR('dens_visc_beta+1hexoh'!E45,"")</f>
        <v>0</v>
      </c>
      <c r="K153" s="1" t="str">
        <f aca="false">IF(AND(ISNUMBER(H153),ISNUMBER(I153),ISNUMBER(J153)),"✓",COUNTIF(H153:J153,"&gt;-999")&amp;"/3")</f>
        <v>2/3</v>
      </c>
    </row>
    <row r="154" customFormat="false" ht="15" hidden="false" customHeight="true" outlineLevel="0" collapsed="false">
      <c r="A154" s="1" t="s">
        <v>19</v>
      </c>
      <c r="B154" s="1" t="s">
        <v>12</v>
      </c>
      <c r="C154" s="1" t="s">
        <v>13</v>
      </c>
      <c r="D154" s="1" t="s">
        <v>20</v>
      </c>
      <c r="E154" s="1" t="s">
        <v>21</v>
      </c>
      <c r="F154" s="1" t="n">
        <f aca="false">IFERROR('dens_visc_beta+1hexoh'!E22,"")</f>
        <v>50</v>
      </c>
      <c r="G154" s="1" t="str">
        <f aca="false">IFERROR('dens_visc_beta+1hexoh'!A32,"")</f>
        <v/>
      </c>
      <c r="H154" s="1" t="n">
        <f aca="false">IFERROR('dens_visc_beta+1hexoh'!E32,"")</f>
        <v>0</v>
      </c>
      <c r="I154" s="1" t="str">
        <f aca="false">IFERROR('dens_visc_beta+1hexoh'!J32,"")</f>
        <v/>
      </c>
      <c r="J154" s="1" t="n">
        <f aca="false">IFERROR('dens_visc_beta+1hexoh'!E46,"")</f>
        <v>0</v>
      </c>
      <c r="K154" s="1" t="str">
        <f aca="false">IF(AND(ISNUMBER(H154),ISNUMBER(I154),ISNUMBER(J154)),"✓",COUNTIF(H154:J154,"&gt;-999")&amp;"/3")</f>
        <v>2/3</v>
      </c>
    </row>
    <row r="155" customFormat="false" ht="15" hidden="false" customHeight="true" outlineLevel="0" collapsed="false">
      <c r="A155" s="1" t="s">
        <v>19</v>
      </c>
      <c r="B155" s="1" t="s">
        <v>12</v>
      </c>
      <c r="C155" s="1" t="s">
        <v>13</v>
      </c>
      <c r="D155" s="1" t="s">
        <v>20</v>
      </c>
      <c r="E155" s="1" t="s">
        <v>21</v>
      </c>
      <c r="F155" s="1" t="n">
        <f aca="false">IFERROR('dens_visc_beta+1hexoh'!E22,"")</f>
        <v>50</v>
      </c>
      <c r="G155" s="1" t="str">
        <f aca="false">IFERROR('dens_visc_beta+1hexoh'!A33,"")</f>
        <v/>
      </c>
      <c r="H155" s="1" t="n">
        <f aca="false">IFERROR('dens_visc_beta+1hexoh'!E33,"")</f>
        <v>0.92172</v>
      </c>
      <c r="I155" s="1" t="str">
        <f aca="false">IFERROR('dens_visc_beta+1hexoh'!J33,"")</f>
        <v/>
      </c>
      <c r="J155" s="1" t="n">
        <f aca="false">IFERROR('dens_visc_beta+1hexoh'!E47,"")</f>
        <v>3.792</v>
      </c>
      <c r="K155" s="1" t="str">
        <f aca="false">IF(AND(ISNUMBER(H155),ISNUMBER(I155),ISNUMBER(J155)),"✓",COUNTIF(H155:J155,"&gt;-999")&amp;"/3")</f>
        <v>2/3</v>
      </c>
    </row>
    <row r="156" customFormat="false" ht="15" hidden="false" customHeight="true" outlineLevel="0" collapsed="false">
      <c r="A156" s="1" t="s">
        <v>19</v>
      </c>
      <c r="B156" s="1" t="s">
        <v>12</v>
      </c>
      <c r="C156" s="1" t="s">
        <v>13</v>
      </c>
      <c r="D156" s="1" t="s">
        <v>20</v>
      </c>
      <c r="E156" s="1" t="s">
        <v>21</v>
      </c>
      <c r="F156" s="1" t="n">
        <f aca="false">IFERROR('dens_visc_beta+1hexoh'!F22,"")</f>
        <v>60</v>
      </c>
      <c r="G156" s="1" t="str">
        <f aca="false">IFERROR('dens_visc_beta+1hexoh'!A23,"")</f>
        <v/>
      </c>
      <c r="H156" s="1" t="n">
        <f aca="false">IFERROR('dens_visc_beta+1hexoh'!F23,"")</f>
        <v>0.78971</v>
      </c>
      <c r="I156" s="1" t="str">
        <f aca="false">IFERROR('dens_visc_beta+1hexoh'!K23,"")</f>
        <v/>
      </c>
      <c r="J156" s="1" t="n">
        <f aca="false">IFERROR('dens_visc_beta+1hexoh'!F37,"")</f>
        <v>1.75</v>
      </c>
      <c r="K156" s="1" t="str">
        <f aca="false">IF(AND(ISNUMBER(H156),ISNUMBER(I156),ISNUMBER(J156)),"✓",COUNTIF(H156:J156,"&gt;-999")&amp;"/3")</f>
        <v>2/3</v>
      </c>
    </row>
    <row r="157" customFormat="false" ht="15" hidden="false" customHeight="true" outlineLevel="0" collapsed="false">
      <c r="A157" s="1" t="s">
        <v>19</v>
      </c>
      <c r="B157" s="1" t="s">
        <v>12</v>
      </c>
      <c r="C157" s="1" t="s">
        <v>13</v>
      </c>
      <c r="D157" s="1" t="s">
        <v>20</v>
      </c>
      <c r="E157" s="1" t="s">
        <v>21</v>
      </c>
      <c r="F157" s="1" t="n">
        <f aca="false">IFERROR('dens_visc_beta+1hexoh'!F22,"")</f>
        <v>60</v>
      </c>
      <c r="G157" s="1" t="str">
        <f aca="false">IFERROR('dens_visc_beta+1hexoh'!A24,"")</f>
        <v/>
      </c>
      <c r="H157" s="1" t="n">
        <f aca="false">IFERROR('dens_visc_beta+1hexoh'!F24,"")</f>
        <v>0</v>
      </c>
      <c r="I157" s="1" t="str">
        <f aca="false">IFERROR('dens_visc_beta+1hexoh'!K24,"")</f>
        <v/>
      </c>
      <c r="J157" s="1" t="n">
        <f aca="false">IFERROR('dens_visc_beta+1hexoh'!F38,"")</f>
        <v>0</v>
      </c>
      <c r="K157" s="1" t="str">
        <f aca="false">IF(AND(ISNUMBER(H157),ISNUMBER(I157),ISNUMBER(J157)),"✓",COUNTIF(H157:J157,"&gt;-999")&amp;"/3")</f>
        <v>2/3</v>
      </c>
    </row>
    <row r="158" customFormat="false" ht="15" hidden="false" customHeight="true" outlineLevel="0" collapsed="false">
      <c r="A158" s="1" t="s">
        <v>19</v>
      </c>
      <c r="B158" s="1" t="s">
        <v>12</v>
      </c>
      <c r="C158" s="1" t="s">
        <v>13</v>
      </c>
      <c r="D158" s="1" t="s">
        <v>20</v>
      </c>
      <c r="E158" s="1" t="s">
        <v>21</v>
      </c>
      <c r="F158" s="1" t="n">
        <f aca="false">IFERROR('dens_visc_beta+1hexoh'!F22,"")</f>
        <v>60</v>
      </c>
      <c r="G158" s="1" t="str">
        <f aca="false">IFERROR('dens_visc_beta+1hexoh'!A25,"")</f>
        <v/>
      </c>
      <c r="H158" s="1" t="n">
        <f aca="false">IFERROR('dens_visc_beta+1hexoh'!F25,"")</f>
        <v>0</v>
      </c>
      <c r="I158" s="1" t="str">
        <f aca="false">IFERROR('dens_visc_beta+1hexoh'!K25,"")</f>
        <v/>
      </c>
      <c r="J158" s="1" t="n">
        <f aca="false">IFERROR('dens_visc_beta+1hexoh'!F39,"")</f>
        <v>0</v>
      </c>
      <c r="K158" s="1" t="str">
        <f aca="false">IF(AND(ISNUMBER(H158),ISNUMBER(I158),ISNUMBER(J158)),"✓",COUNTIF(H158:J158,"&gt;-999")&amp;"/3")</f>
        <v>2/3</v>
      </c>
    </row>
    <row r="159" customFormat="false" ht="15" hidden="false" customHeight="true" outlineLevel="0" collapsed="false">
      <c r="A159" s="1" t="s">
        <v>19</v>
      </c>
      <c r="B159" s="1" t="s">
        <v>12</v>
      </c>
      <c r="C159" s="1" t="s">
        <v>13</v>
      </c>
      <c r="D159" s="1" t="s">
        <v>20</v>
      </c>
      <c r="E159" s="1" t="s">
        <v>21</v>
      </c>
      <c r="F159" s="1" t="n">
        <f aca="false">IFERROR('dens_visc_beta+1hexoh'!F22,"")</f>
        <v>60</v>
      </c>
      <c r="G159" s="1" t="str">
        <f aca="false">IFERROR('dens_visc_beta+1hexoh'!A26,"")</f>
        <v/>
      </c>
      <c r="H159" s="1" t="n">
        <f aca="false">IFERROR('dens_visc_beta+1hexoh'!F26,"")</f>
        <v>0</v>
      </c>
      <c r="I159" s="1" t="str">
        <f aca="false">IFERROR('dens_visc_beta+1hexoh'!K26,"")</f>
        <v/>
      </c>
      <c r="J159" s="1" t="n">
        <f aca="false">IFERROR('dens_visc_beta+1hexoh'!F40,"")</f>
        <v>0</v>
      </c>
      <c r="K159" s="1" t="str">
        <f aca="false">IF(AND(ISNUMBER(H159),ISNUMBER(I159),ISNUMBER(J159)),"✓",COUNTIF(H159:J159,"&gt;-999")&amp;"/3")</f>
        <v>2/3</v>
      </c>
    </row>
    <row r="160" customFormat="false" ht="15" hidden="false" customHeight="true" outlineLevel="0" collapsed="false">
      <c r="A160" s="1" t="s">
        <v>19</v>
      </c>
      <c r="B160" s="1" t="s">
        <v>12</v>
      </c>
      <c r="C160" s="1" t="s">
        <v>13</v>
      </c>
      <c r="D160" s="1" t="s">
        <v>20</v>
      </c>
      <c r="E160" s="1" t="s">
        <v>21</v>
      </c>
      <c r="F160" s="1" t="n">
        <f aca="false">IFERROR('dens_visc_beta+1hexoh'!F22,"")</f>
        <v>60</v>
      </c>
      <c r="G160" s="1" t="str">
        <f aca="false">IFERROR('dens_visc_beta+1hexoh'!A27,"")</f>
        <v/>
      </c>
      <c r="H160" s="1" t="n">
        <f aca="false">IFERROR('dens_visc_beta+1hexoh'!F27,"")</f>
        <v>0</v>
      </c>
      <c r="I160" s="1" t="str">
        <f aca="false">IFERROR('dens_visc_beta+1hexoh'!K27,"")</f>
        <v/>
      </c>
      <c r="J160" s="1" t="n">
        <f aca="false">IFERROR('dens_visc_beta+1hexoh'!F41,"")</f>
        <v>0</v>
      </c>
      <c r="K160" s="1" t="str">
        <f aca="false">IF(AND(ISNUMBER(H160),ISNUMBER(I160),ISNUMBER(J160)),"✓",COUNTIF(H160:J160,"&gt;-999")&amp;"/3")</f>
        <v>2/3</v>
      </c>
    </row>
    <row r="161" customFormat="false" ht="15" hidden="false" customHeight="true" outlineLevel="0" collapsed="false">
      <c r="A161" s="1" t="s">
        <v>19</v>
      </c>
      <c r="B161" s="1" t="s">
        <v>12</v>
      </c>
      <c r="C161" s="1" t="s">
        <v>13</v>
      </c>
      <c r="D161" s="1" t="s">
        <v>20</v>
      </c>
      <c r="E161" s="1" t="s">
        <v>21</v>
      </c>
      <c r="F161" s="1" t="n">
        <f aca="false">IFERROR('dens_visc_beta+1hexoh'!F22,"")</f>
        <v>60</v>
      </c>
      <c r="G161" s="1" t="str">
        <f aca="false">IFERROR('dens_visc_beta+1hexoh'!A28,"")</f>
        <v/>
      </c>
      <c r="H161" s="1" t="n">
        <f aca="false">IFERROR('dens_visc_beta+1hexoh'!F28,"")</f>
        <v>0</v>
      </c>
      <c r="I161" s="1" t="str">
        <f aca="false">IFERROR('dens_visc_beta+1hexoh'!K28,"")</f>
        <v/>
      </c>
      <c r="J161" s="1" t="n">
        <f aca="false">IFERROR('dens_visc_beta+1hexoh'!F42,"")</f>
        <v>0</v>
      </c>
      <c r="K161" s="1" t="str">
        <f aca="false">IF(AND(ISNUMBER(H161),ISNUMBER(I161),ISNUMBER(J161)),"✓",COUNTIF(H161:J161,"&gt;-999")&amp;"/3")</f>
        <v>2/3</v>
      </c>
    </row>
    <row r="162" customFormat="false" ht="15" hidden="false" customHeight="true" outlineLevel="0" collapsed="false">
      <c r="A162" s="1" t="s">
        <v>19</v>
      </c>
      <c r="B162" s="1" t="s">
        <v>12</v>
      </c>
      <c r="C162" s="1" t="s">
        <v>13</v>
      </c>
      <c r="D162" s="1" t="s">
        <v>20</v>
      </c>
      <c r="E162" s="1" t="s">
        <v>21</v>
      </c>
      <c r="F162" s="1" t="n">
        <f aca="false">IFERROR('dens_visc_beta+1hexoh'!F22,"")</f>
        <v>60</v>
      </c>
      <c r="G162" s="1" t="str">
        <f aca="false">IFERROR('dens_visc_beta+1hexoh'!A29,"")</f>
        <v/>
      </c>
      <c r="H162" s="1" t="n">
        <f aca="false">IFERROR('dens_visc_beta+1hexoh'!F29,"")</f>
        <v>0</v>
      </c>
      <c r="I162" s="1" t="str">
        <f aca="false">IFERROR('dens_visc_beta+1hexoh'!K29,"")</f>
        <v/>
      </c>
      <c r="J162" s="1" t="n">
        <f aca="false">IFERROR('dens_visc_beta+1hexoh'!F43,"")</f>
        <v>0</v>
      </c>
      <c r="K162" s="1" t="str">
        <f aca="false">IF(AND(ISNUMBER(H162),ISNUMBER(I162),ISNUMBER(J162)),"✓",COUNTIF(H162:J162,"&gt;-999")&amp;"/3")</f>
        <v>2/3</v>
      </c>
    </row>
    <row r="163" customFormat="false" ht="15" hidden="false" customHeight="true" outlineLevel="0" collapsed="false">
      <c r="A163" s="1" t="s">
        <v>19</v>
      </c>
      <c r="B163" s="1" t="s">
        <v>12</v>
      </c>
      <c r="C163" s="1" t="s">
        <v>13</v>
      </c>
      <c r="D163" s="1" t="s">
        <v>20</v>
      </c>
      <c r="E163" s="1" t="s">
        <v>21</v>
      </c>
      <c r="F163" s="1" t="n">
        <f aca="false">IFERROR('dens_visc_beta+1hexoh'!F22,"")</f>
        <v>60</v>
      </c>
      <c r="G163" s="1" t="str">
        <f aca="false">IFERROR('dens_visc_beta+1hexoh'!A30,"")</f>
        <v/>
      </c>
      <c r="H163" s="1" t="n">
        <f aca="false">IFERROR('dens_visc_beta+1hexoh'!F30,"")</f>
        <v>0</v>
      </c>
      <c r="I163" s="1" t="str">
        <f aca="false">IFERROR('dens_visc_beta+1hexoh'!K30,"")</f>
        <v/>
      </c>
      <c r="J163" s="1" t="n">
        <f aca="false">IFERROR('dens_visc_beta+1hexoh'!F44,"")</f>
        <v>0</v>
      </c>
      <c r="K163" s="1" t="str">
        <f aca="false">IF(AND(ISNUMBER(H163),ISNUMBER(I163),ISNUMBER(J163)),"✓",COUNTIF(H163:J163,"&gt;-999")&amp;"/3")</f>
        <v>2/3</v>
      </c>
    </row>
    <row r="164" customFormat="false" ht="15" hidden="false" customHeight="true" outlineLevel="0" collapsed="false">
      <c r="A164" s="1" t="s">
        <v>19</v>
      </c>
      <c r="B164" s="1" t="s">
        <v>12</v>
      </c>
      <c r="C164" s="1" t="s">
        <v>13</v>
      </c>
      <c r="D164" s="1" t="s">
        <v>20</v>
      </c>
      <c r="E164" s="1" t="s">
        <v>21</v>
      </c>
      <c r="F164" s="1" t="n">
        <f aca="false">IFERROR('dens_visc_beta+1hexoh'!F22,"")</f>
        <v>60</v>
      </c>
      <c r="G164" s="1" t="str">
        <f aca="false">IFERROR('dens_visc_beta+1hexoh'!A31,"")</f>
        <v/>
      </c>
      <c r="H164" s="1" t="n">
        <f aca="false">IFERROR('dens_visc_beta+1hexoh'!F31,"")</f>
        <v>0</v>
      </c>
      <c r="I164" s="1" t="str">
        <f aca="false">IFERROR('dens_visc_beta+1hexoh'!K31,"")</f>
        <v/>
      </c>
      <c r="J164" s="1" t="n">
        <f aca="false">IFERROR('dens_visc_beta+1hexoh'!F45,"")</f>
        <v>0</v>
      </c>
      <c r="K164" s="1" t="str">
        <f aca="false">IF(AND(ISNUMBER(H164),ISNUMBER(I164),ISNUMBER(J164)),"✓",COUNTIF(H164:J164,"&gt;-999")&amp;"/3")</f>
        <v>2/3</v>
      </c>
    </row>
    <row r="165" customFormat="false" ht="15" hidden="false" customHeight="true" outlineLevel="0" collapsed="false">
      <c r="A165" s="1" t="s">
        <v>19</v>
      </c>
      <c r="B165" s="1" t="s">
        <v>12</v>
      </c>
      <c r="C165" s="1" t="s">
        <v>13</v>
      </c>
      <c r="D165" s="1" t="s">
        <v>20</v>
      </c>
      <c r="E165" s="1" t="s">
        <v>21</v>
      </c>
      <c r="F165" s="1" t="n">
        <f aca="false">IFERROR('dens_visc_beta+1hexoh'!F22,"")</f>
        <v>60</v>
      </c>
      <c r="G165" s="1" t="str">
        <f aca="false">IFERROR('dens_visc_beta+1hexoh'!A32,"")</f>
        <v/>
      </c>
      <c r="H165" s="1" t="n">
        <f aca="false">IFERROR('dens_visc_beta+1hexoh'!F32,"")</f>
        <v>0</v>
      </c>
      <c r="I165" s="1" t="str">
        <f aca="false">IFERROR('dens_visc_beta+1hexoh'!K32,"")</f>
        <v/>
      </c>
      <c r="J165" s="1" t="n">
        <f aca="false">IFERROR('dens_visc_beta+1hexoh'!F46,"")</f>
        <v>0</v>
      </c>
      <c r="K165" s="1" t="str">
        <f aca="false">IF(AND(ISNUMBER(H165),ISNUMBER(I165),ISNUMBER(J165)),"✓",COUNTIF(H165:J165,"&gt;-999")&amp;"/3")</f>
        <v>2/3</v>
      </c>
    </row>
    <row r="166" customFormat="false" ht="15" hidden="false" customHeight="true" outlineLevel="0" collapsed="false">
      <c r="A166" s="1" t="s">
        <v>19</v>
      </c>
      <c r="B166" s="1" t="s">
        <v>12</v>
      </c>
      <c r="C166" s="1" t="s">
        <v>13</v>
      </c>
      <c r="D166" s="1" t="s">
        <v>20</v>
      </c>
      <c r="E166" s="1" t="s">
        <v>21</v>
      </c>
      <c r="F166" s="1" t="n">
        <f aca="false">IFERROR('dens_visc_beta+1hexoh'!F22,"")</f>
        <v>60</v>
      </c>
      <c r="G166" s="1" t="str">
        <f aca="false">IFERROR('dens_visc_beta+1hexoh'!A33,"")</f>
        <v/>
      </c>
      <c r="H166" s="1" t="n">
        <f aca="false">IFERROR('dens_visc_beta+1hexoh'!F33,"")</f>
        <v>0.91396</v>
      </c>
      <c r="I166" s="1" t="str">
        <f aca="false">IFERROR('dens_visc_beta+1hexoh'!K33,"")</f>
        <v/>
      </c>
      <c r="J166" s="1" t="n">
        <f aca="false">IFERROR('dens_visc_beta+1hexoh'!F47,"")</f>
        <v>2.938</v>
      </c>
      <c r="K166" s="1" t="str">
        <f aca="false">IF(AND(ISNUMBER(H166),ISNUMBER(I166),ISNUMBER(J166)),"✓",COUNTIF(H166:J166,"&gt;-999")&amp;"/3")</f>
        <v>2/3</v>
      </c>
    </row>
    <row r="167" customFormat="false" ht="15" hidden="false" customHeight="true" outlineLevel="0" collapsed="false">
      <c r="A167" s="1" t="s">
        <v>22</v>
      </c>
      <c r="B167" s="1" t="s">
        <v>12</v>
      </c>
      <c r="C167" s="1" t="s">
        <v>13</v>
      </c>
      <c r="D167" s="1" t="s">
        <v>23</v>
      </c>
      <c r="E167" s="1" t="s">
        <v>24</v>
      </c>
      <c r="F167" s="1" t="n">
        <f aca="false">IFERROR('dens_visc_beta+1octoh'!B22,"")</f>
        <v>20</v>
      </c>
      <c r="G167" s="1" t="str">
        <f aca="false">IFERROR('dens_visc_beta+1octoh'!A23,"")</f>
        <v/>
      </c>
      <c r="H167" s="1" t="n">
        <f aca="false">IFERROR('dens_visc_beta+1octoh'!B23,"")</f>
        <v>0.82518</v>
      </c>
      <c r="I167" s="1" t="str">
        <f aca="false">IFERROR('dens_visc_beta+1octoh'!G23,"")</f>
        <v/>
      </c>
      <c r="J167" s="1" t="n">
        <f aca="false">IFERROR('dens_visc_beta+1octoh'!B37,"")</f>
        <v>8.801</v>
      </c>
      <c r="K167" s="1" t="str">
        <f aca="false">IF(AND(ISNUMBER(H167),ISNUMBER(I167),ISNUMBER(J167)),"✓",COUNTIF(H167:J167,"&gt;-999")&amp;"/3")</f>
        <v>2/3</v>
      </c>
    </row>
    <row r="168" customFormat="false" ht="15" hidden="false" customHeight="true" outlineLevel="0" collapsed="false">
      <c r="A168" s="1" t="s">
        <v>22</v>
      </c>
      <c r="B168" s="1" t="s">
        <v>12</v>
      </c>
      <c r="C168" s="1" t="s">
        <v>13</v>
      </c>
      <c r="D168" s="1" t="s">
        <v>23</v>
      </c>
      <c r="E168" s="1" t="s">
        <v>24</v>
      </c>
      <c r="F168" s="1" t="n">
        <f aca="false">IFERROR('dens_visc_beta+1octoh'!B22,"")</f>
        <v>20</v>
      </c>
      <c r="G168" s="1" t="str">
        <f aca="false">IFERROR('dens_visc_beta+1octoh'!A24,"")</f>
        <v/>
      </c>
      <c r="H168" s="1" t="n">
        <f aca="false">IFERROR('dens_visc_beta+1octoh'!B24,"")</f>
        <v>0</v>
      </c>
      <c r="I168" s="1" t="str">
        <f aca="false">IFERROR('dens_visc_beta+1octoh'!G24,"")</f>
        <v/>
      </c>
      <c r="J168" s="1" t="n">
        <f aca="false">IFERROR('dens_visc_beta+1octoh'!B38,"")</f>
        <v>0</v>
      </c>
      <c r="K168" s="1" t="str">
        <f aca="false">IF(AND(ISNUMBER(H168),ISNUMBER(I168),ISNUMBER(J168)),"✓",COUNTIF(H168:J168,"&gt;-999")&amp;"/3")</f>
        <v>2/3</v>
      </c>
    </row>
    <row r="169" customFormat="false" ht="15" hidden="false" customHeight="true" outlineLevel="0" collapsed="false">
      <c r="A169" s="1" t="s">
        <v>22</v>
      </c>
      <c r="B169" s="1" t="s">
        <v>12</v>
      </c>
      <c r="C169" s="1" t="s">
        <v>13</v>
      </c>
      <c r="D169" s="1" t="s">
        <v>23</v>
      </c>
      <c r="E169" s="1" t="s">
        <v>24</v>
      </c>
      <c r="F169" s="1" t="n">
        <f aca="false">IFERROR('dens_visc_beta+1octoh'!B22,"")</f>
        <v>20</v>
      </c>
      <c r="G169" s="1" t="str">
        <f aca="false">IFERROR('dens_visc_beta+1octoh'!A25,"")</f>
        <v/>
      </c>
      <c r="H169" s="1" t="n">
        <f aca="false">IFERROR('dens_visc_beta+1octoh'!B25,"")</f>
        <v>0</v>
      </c>
      <c r="I169" s="1" t="str">
        <f aca="false">IFERROR('dens_visc_beta+1octoh'!G25,"")</f>
        <v/>
      </c>
      <c r="J169" s="1" t="n">
        <f aca="false">IFERROR('dens_visc_beta+1octoh'!B39,"")</f>
        <v>0</v>
      </c>
      <c r="K169" s="1" t="str">
        <f aca="false">IF(AND(ISNUMBER(H169),ISNUMBER(I169),ISNUMBER(J169)),"✓",COUNTIF(H169:J169,"&gt;-999")&amp;"/3")</f>
        <v>2/3</v>
      </c>
    </row>
    <row r="170" customFormat="false" ht="15" hidden="false" customHeight="true" outlineLevel="0" collapsed="false">
      <c r="A170" s="1" t="s">
        <v>22</v>
      </c>
      <c r="B170" s="1" t="s">
        <v>12</v>
      </c>
      <c r="C170" s="1" t="s">
        <v>13</v>
      </c>
      <c r="D170" s="1" t="s">
        <v>23</v>
      </c>
      <c r="E170" s="1" t="s">
        <v>24</v>
      </c>
      <c r="F170" s="1" t="n">
        <f aca="false">IFERROR('dens_visc_beta+1octoh'!B22,"")</f>
        <v>20</v>
      </c>
      <c r="G170" s="1" t="str">
        <f aca="false">IFERROR('dens_visc_beta+1octoh'!A26,"")</f>
        <v/>
      </c>
      <c r="H170" s="1" t="n">
        <f aca="false">IFERROR('dens_visc_beta+1octoh'!B26,"")</f>
        <v>0</v>
      </c>
      <c r="I170" s="1" t="str">
        <f aca="false">IFERROR('dens_visc_beta+1octoh'!G26,"")</f>
        <v/>
      </c>
      <c r="J170" s="1" t="n">
        <f aca="false">IFERROR('dens_visc_beta+1octoh'!B40,"")</f>
        <v>0</v>
      </c>
      <c r="K170" s="1" t="str">
        <f aca="false">IF(AND(ISNUMBER(H170),ISNUMBER(I170),ISNUMBER(J170)),"✓",COUNTIF(H170:J170,"&gt;-999")&amp;"/3")</f>
        <v>2/3</v>
      </c>
    </row>
    <row r="171" customFormat="false" ht="15" hidden="false" customHeight="true" outlineLevel="0" collapsed="false">
      <c r="A171" s="1" t="s">
        <v>22</v>
      </c>
      <c r="B171" s="1" t="s">
        <v>12</v>
      </c>
      <c r="C171" s="1" t="s">
        <v>13</v>
      </c>
      <c r="D171" s="1" t="s">
        <v>23</v>
      </c>
      <c r="E171" s="1" t="s">
        <v>24</v>
      </c>
      <c r="F171" s="1" t="n">
        <f aca="false">IFERROR('dens_visc_beta+1octoh'!B22,"")</f>
        <v>20</v>
      </c>
      <c r="G171" s="1" t="str">
        <f aca="false">IFERROR('dens_visc_beta+1octoh'!A27,"")</f>
        <v/>
      </c>
      <c r="H171" s="1" t="n">
        <f aca="false">IFERROR('dens_visc_beta+1octoh'!B27,"")</f>
        <v>0</v>
      </c>
      <c r="I171" s="1" t="str">
        <f aca="false">IFERROR('dens_visc_beta+1octoh'!G27,"")</f>
        <v/>
      </c>
      <c r="J171" s="1" t="n">
        <f aca="false">IFERROR('dens_visc_beta+1octoh'!B41,"")</f>
        <v>0</v>
      </c>
      <c r="K171" s="1" t="str">
        <f aca="false">IF(AND(ISNUMBER(H171),ISNUMBER(I171),ISNUMBER(J171)),"✓",COUNTIF(H171:J171,"&gt;-999")&amp;"/3")</f>
        <v>2/3</v>
      </c>
    </row>
    <row r="172" customFormat="false" ht="15" hidden="false" customHeight="true" outlineLevel="0" collapsed="false">
      <c r="A172" s="1" t="s">
        <v>22</v>
      </c>
      <c r="B172" s="1" t="s">
        <v>12</v>
      </c>
      <c r="C172" s="1" t="s">
        <v>13</v>
      </c>
      <c r="D172" s="1" t="s">
        <v>23</v>
      </c>
      <c r="E172" s="1" t="s">
        <v>24</v>
      </c>
      <c r="F172" s="1" t="n">
        <f aca="false">IFERROR('dens_visc_beta+1octoh'!B22,"")</f>
        <v>20</v>
      </c>
      <c r="G172" s="1" t="str">
        <f aca="false">IFERROR('dens_visc_beta+1octoh'!A28,"")</f>
        <v/>
      </c>
      <c r="H172" s="1" t="n">
        <f aca="false">IFERROR('dens_visc_beta+1octoh'!B28,"")</f>
        <v>0</v>
      </c>
      <c r="I172" s="1" t="str">
        <f aca="false">IFERROR('dens_visc_beta+1octoh'!G28,"")</f>
        <v/>
      </c>
      <c r="J172" s="1" t="n">
        <f aca="false">IFERROR('dens_visc_beta+1octoh'!B42,"")</f>
        <v>0</v>
      </c>
      <c r="K172" s="1" t="str">
        <f aca="false">IF(AND(ISNUMBER(H172),ISNUMBER(I172),ISNUMBER(J172)),"✓",COUNTIF(H172:J172,"&gt;-999")&amp;"/3")</f>
        <v>2/3</v>
      </c>
    </row>
    <row r="173" customFormat="false" ht="15" hidden="false" customHeight="true" outlineLevel="0" collapsed="false">
      <c r="A173" s="1" t="s">
        <v>22</v>
      </c>
      <c r="B173" s="1" t="s">
        <v>12</v>
      </c>
      <c r="C173" s="1" t="s">
        <v>13</v>
      </c>
      <c r="D173" s="1" t="s">
        <v>23</v>
      </c>
      <c r="E173" s="1" t="s">
        <v>24</v>
      </c>
      <c r="F173" s="1" t="n">
        <f aca="false">IFERROR('dens_visc_beta+1octoh'!B22,"")</f>
        <v>20</v>
      </c>
      <c r="G173" s="1" t="str">
        <f aca="false">IFERROR('dens_visc_beta+1octoh'!A29,"")</f>
        <v/>
      </c>
      <c r="H173" s="1" t="n">
        <f aca="false">IFERROR('dens_visc_beta+1octoh'!B29,"")</f>
        <v>0</v>
      </c>
      <c r="I173" s="1" t="str">
        <f aca="false">IFERROR('dens_visc_beta+1octoh'!G29,"")</f>
        <v/>
      </c>
      <c r="J173" s="1" t="n">
        <f aca="false">IFERROR('dens_visc_beta+1octoh'!B43,"")</f>
        <v>0</v>
      </c>
      <c r="K173" s="1" t="str">
        <f aca="false">IF(AND(ISNUMBER(H173),ISNUMBER(I173),ISNUMBER(J173)),"✓",COUNTIF(H173:J173,"&gt;-999")&amp;"/3")</f>
        <v>2/3</v>
      </c>
    </row>
    <row r="174" customFormat="false" ht="15" hidden="false" customHeight="true" outlineLevel="0" collapsed="false">
      <c r="A174" s="1" t="s">
        <v>22</v>
      </c>
      <c r="B174" s="1" t="s">
        <v>12</v>
      </c>
      <c r="C174" s="1" t="s">
        <v>13</v>
      </c>
      <c r="D174" s="1" t="s">
        <v>23</v>
      </c>
      <c r="E174" s="1" t="s">
        <v>24</v>
      </c>
      <c r="F174" s="1" t="n">
        <f aca="false">IFERROR('dens_visc_beta+1octoh'!B22,"")</f>
        <v>20</v>
      </c>
      <c r="G174" s="1" t="str">
        <f aca="false">IFERROR('dens_visc_beta+1octoh'!A30,"")</f>
        <v/>
      </c>
      <c r="H174" s="1" t="n">
        <f aca="false">IFERROR('dens_visc_beta+1octoh'!B30,"")</f>
        <v>0</v>
      </c>
      <c r="I174" s="1" t="str">
        <f aca="false">IFERROR('dens_visc_beta+1octoh'!G30,"")</f>
        <v/>
      </c>
      <c r="J174" s="1" t="n">
        <f aca="false">IFERROR('dens_visc_beta+1octoh'!B44,"")</f>
        <v>0</v>
      </c>
      <c r="K174" s="1" t="str">
        <f aca="false">IF(AND(ISNUMBER(H174),ISNUMBER(I174),ISNUMBER(J174)),"✓",COUNTIF(H174:J174,"&gt;-999")&amp;"/3")</f>
        <v>2/3</v>
      </c>
    </row>
    <row r="175" customFormat="false" ht="15" hidden="false" customHeight="true" outlineLevel="0" collapsed="false">
      <c r="A175" s="1" t="s">
        <v>22</v>
      </c>
      <c r="B175" s="1" t="s">
        <v>12</v>
      </c>
      <c r="C175" s="1" t="s">
        <v>13</v>
      </c>
      <c r="D175" s="1" t="s">
        <v>23</v>
      </c>
      <c r="E175" s="1" t="s">
        <v>24</v>
      </c>
      <c r="F175" s="1" t="n">
        <f aca="false">IFERROR('dens_visc_beta+1octoh'!B22,"")</f>
        <v>20</v>
      </c>
      <c r="G175" s="1" t="str">
        <f aca="false">IFERROR('dens_visc_beta+1octoh'!A31,"")</f>
        <v/>
      </c>
      <c r="H175" s="1" t="n">
        <f aca="false">IFERROR('dens_visc_beta+1octoh'!B31,"")</f>
        <v>0</v>
      </c>
      <c r="I175" s="1" t="str">
        <f aca="false">IFERROR('dens_visc_beta+1octoh'!G31,"")</f>
        <v/>
      </c>
      <c r="J175" s="1" t="n">
        <f aca="false">IFERROR('dens_visc_beta+1octoh'!B45,"")</f>
        <v>0</v>
      </c>
      <c r="K175" s="1" t="str">
        <f aca="false">IF(AND(ISNUMBER(H175),ISNUMBER(I175),ISNUMBER(J175)),"✓",COUNTIF(H175:J175,"&gt;-999")&amp;"/3")</f>
        <v>2/3</v>
      </c>
    </row>
    <row r="176" customFormat="false" ht="15" hidden="false" customHeight="true" outlineLevel="0" collapsed="false">
      <c r="A176" s="1" t="s">
        <v>22</v>
      </c>
      <c r="B176" s="1" t="s">
        <v>12</v>
      </c>
      <c r="C176" s="1" t="s">
        <v>13</v>
      </c>
      <c r="D176" s="1" t="s">
        <v>23</v>
      </c>
      <c r="E176" s="1" t="s">
        <v>24</v>
      </c>
      <c r="F176" s="1" t="n">
        <f aca="false">IFERROR('dens_visc_beta+1octoh'!B22,"")</f>
        <v>20</v>
      </c>
      <c r="G176" s="1" t="str">
        <f aca="false">IFERROR('dens_visc_beta+1octoh'!A32,"")</f>
        <v/>
      </c>
      <c r="H176" s="1" t="n">
        <f aca="false">IFERROR('dens_visc_beta+1octoh'!B32,"")</f>
        <v>0</v>
      </c>
      <c r="I176" s="1" t="str">
        <f aca="false">IFERROR('dens_visc_beta+1octoh'!G32,"")</f>
        <v/>
      </c>
      <c r="J176" s="1" t="n">
        <f aca="false">IFERROR('dens_visc_beta+1octoh'!B46,"")</f>
        <v>0</v>
      </c>
      <c r="K176" s="1" t="str">
        <f aca="false">IF(AND(ISNUMBER(H176),ISNUMBER(I176),ISNUMBER(J176)),"✓",COUNTIF(H176:J176,"&gt;-999")&amp;"/3")</f>
        <v>2/3</v>
      </c>
    </row>
    <row r="177" customFormat="false" ht="15" hidden="false" customHeight="true" outlineLevel="0" collapsed="false">
      <c r="A177" s="1" t="s">
        <v>22</v>
      </c>
      <c r="B177" s="1" t="s">
        <v>12</v>
      </c>
      <c r="C177" s="1" t="s">
        <v>13</v>
      </c>
      <c r="D177" s="1" t="s">
        <v>23</v>
      </c>
      <c r="E177" s="1" t="s">
        <v>24</v>
      </c>
      <c r="F177" s="1" t="n">
        <f aca="false">IFERROR('dens_visc_beta+1octoh'!B22,"")</f>
        <v>20</v>
      </c>
      <c r="G177" s="1" t="str">
        <f aca="false">IFERROR('dens_visc_beta+1octoh'!A33,"")</f>
        <v/>
      </c>
      <c r="H177" s="1" t="n">
        <f aca="false">IFERROR('dens_visc_beta+1octoh'!B33,"")</f>
        <v>0.94498</v>
      </c>
      <c r="I177" s="1" t="str">
        <f aca="false">IFERROR('dens_visc_beta+1octoh'!G33,"")</f>
        <v/>
      </c>
      <c r="J177" s="1" t="n">
        <f aca="false">IFERROR('dens_visc_beta+1octoh'!B47,"")</f>
        <v>11.31</v>
      </c>
      <c r="K177" s="1" t="str">
        <f aca="false">IF(AND(ISNUMBER(H177),ISNUMBER(I177),ISNUMBER(J177)),"✓",COUNTIF(H177:J177,"&gt;-999")&amp;"/3")</f>
        <v>2/3</v>
      </c>
    </row>
    <row r="178" customFormat="false" ht="15" hidden="false" customHeight="true" outlineLevel="0" collapsed="false">
      <c r="A178" s="1" t="s">
        <v>22</v>
      </c>
      <c r="B178" s="1" t="s">
        <v>12</v>
      </c>
      <c r="C178" s="1" t="s">
        <v>13</v>
      </c>
      <c r="D178" s="1" t="s">
        <v>23</v>
      </c>
      <c r="E178" s="1" t="s">
        <v>24</v>
      </c>
      <c r="F178" s="1" t="n">
        <f aca="false">IFERROR('dens_visc_beta+1octoh'!C22,"")</f>
        <v>30</v>
      </c>
      <c r="G178" s="1" t="str">
        <f aca="false">IFERROR('dens_visc_beta+1octoh'!A23,"")</f>
        <v/>
      </c>
      <c r="H178" s="1" t="n">
        <f aca="false">IFERROR('dens_visc_beta+1octoh'!C23,"")</f>
        <v>0.81835</v>
      </c>
      <c r="I178" s="1" t="str">
        <f aca="false">IFERROR('dens_visc_beta+1octoh'!H23,"")</f>
        <v/>
      </c>
      <c r="J178" s="1" t="n">
        <f aca="false">IFERROR('dens_visc_beta+1octoh'!C37,"")</f>
        <v>6.146</v>
      </c>
      <c r="K178" s="1" t="str">
        <f aca="false">IF(AND(ISNUMBER(H178),ISNUMBER(I178),ISNUMBER(J178)),"✓",COUNTIF(H178:J178,"&gt;-999")&amp;"/3")</f>
        <v>2/3</v>
      </c>
    </row>
    <row r="179" customFormat="false" ht="15" hidden="false" customHeight="true" outlineLevel="0" collapsed="false">
      <c r="A179" s="1" t="s">
        <v>22</v>
      </c>
      <c r="B179" s="1" t="s">
        <v>12</v>
      </c>
      <c r="C179" s="1" t="s">
        <v>13</v>
      </c>
      <c r="D179" s="1" t="s">
        <v>23</v>
      </c>
      <c r="E179" s="1" t="s">
        <v>24</v>
      </c>
      <c r="F179" s="1" t="n">
        <f aca="false">IFERROR('dens_visc_beta+1octoh'!C22,"")</f>
        <v>30</v>
      </c>
      <c r="G179" s="1" t="str">
        <f aca="false">IFERROR('dens_visc_beta+1octoh'!A24,"")</f>
        <v/>
      </c>
      <c r="H179" s="1" t="n">
        <f aca="false">IFERROR('dens_visc_beta+1octoh'!C24,"")</f>
        <v>0</v>
      </c>
      <c r="I179" s="1" t="str">
        <f aca="false">IFERROR('dens_visc_beta+1octoh'!H24,"")</f>
        <v/>
      </c>
      <c r="J179" s="1" t="n">
        <f aca="false">IFERROR('dens_visc_beta+1octoh'!C38,"")</f>
        <v>0</v>
      </c>
      <c r="K179" s="1" t="str">
        <f aca="false">IF(AND(ISNUMBER(H179),ISNUMBER(I179),ISNUMBER(J179)),"✓",COUNTIF(H179:J179,"&gt;-999")&amp;"/3")</f>
        <v>2/3</v>
      </c>
    </row>
    <row r="180" customFormat="false" ht="15" hidden="false" customHeight="true" outlineLevel="0" collapsed="false">
      <c r="A180" s="1" t="s">
        <v>22</v>
      </c>
      <c r="B180" s="1" t="s">
        <v>12</v>
      </c>
      <c r="C180" s="1" t="s">
        <v>13</v>
      </c>
      <c r="D180" s="1" t="s">
        <v>23</v>
      </c>
      <c r="E180" s="1" t="s">
        <v>24</v>
      </c>
      <c r="F180" s="1" t="n">
        <f aca="false">IFERROR('dens_visc_beta+1octoh'!C22,"")</f>
        <v>30</v>
      </c>
      <c r="G180" s="1" t="str">
        <f aca="false">IFERROR('dens_visc_beta+1octoh'!A25,"")</f>
        <v/>
      </c>
      <c r="H180" s="1" t="n">
        <f aca="false">IFERROR('dens_visc_beta+1octoh'!C25,"")</f>
        <v>0</v>
      </c>
      <c r="I180" s="1" t="str">
        <f aca="false">IFERROR('dens_visc_beta+1octoh'!H25,"")</f>
        <v/>
      </c>
      <c r="J180" s="1" t="n">
        <f aca="false">IFERROR('dens_visc_beta+1octoh'!C39,"")</f>
        <v>0</v>
      </c>
      <c r="K180" s="1" t="str">
        <f aca="false">IF(AND(ISNUMBER(H180),ISNUMBER(I180),ISNUMBER(J180)),"✓",COUNTIF(H180:J180,"&gt;-999")&amp;"/3")</f>
        <v>2/3</v>
      </c>
    </row>
    <row r="181" customFormat="false" ht="15" hidden="false" customHeight="true" outlineLevel="0" collapsed="false">
      <c r="A181" s="1" t="s">
        <v>22</v>
      </c>
      <c r="B181" s="1" t="s">
        <v>12</v>
      </c>
      <c r="C181" s="1" t="s">
        <v>13</v>
      </c>
      <c r="D181" s="1" t="s">
        <v>23</v>
      </c>
      <c r="E181" s="1" t="s">
        <v>24</v>
      </c>
      <c r="F181" s="1" t="n">
        <f aca="false">IFERROR('dens_visc_beta+1octoh'!C22,"")</f>
        <v>30</v>
      </c>
      <c r="G181" s="1" t="str">
        <f aca="false">IFERROR('dens_visc_beta+1octoh'!A26,"")</f>
        <v/>
      </c>
      <c r="H181" s="1" t="n">
        <f aca="false">IFERROR('dens_visc_beta+1octoh'!C26,"")</f>
        <v>0</v>
      </c>
      <c r="I181" s="1" t="str">
        <f aca="false">IFERROR('dens_visc_beta+1octoh'!H26,"")</f>
        <v/>
      </c>
      <c r="J181" s="1" t="n">
        <f aca="false">IFERROR('dens_visc_beta+1octoh'!C40,"")</f>
        <v>0</v>
      </c>
      <c r="K181" s="1" t="str">
        <f aca="false">IF(AND(ISNUMBER(H181),ISNUMBER(I181),ISNUMBER(J181)),"✓",COUNTIF(H181:J181,"&gt;-999")&amp;"/3")</f>
        <v>2/3</v>
      </c>
    </row>
    <row r="182" customFormat="false" ht="15" hidden="false" customHeight="true" outlineLevel="0" collapsed="false">
      <c r="A182" s="1" t="s">
        <v>22</v>
      </c>
      <c r="B182" s="1" t="s">
        <v>12</v>
      </c>
      <c r="C182" s="1" t="s">
        <v>13</v>
      </c>
      <c r="D182" s="1" t="s">
        <v>23</v>
      </c>
      <c r="E182" s="1" t="s">
        <v>24</v>
      </c>
      <c r="F182" s="1" t="n">
        <f aca="false">IFERROR('dens_visc_beta+1octoh'!C22,"")</f>
        <v>30</v>
      </c>
      <c r="G182" s="1" t="str">
        <f aca="false">IFERROR('dens_visc_beta+1octoh'!A27,"")</f>
        <v/>
      </c>
      <c r="H182" s="1" t="n">
        <f aca="false">IFERROR('dens_visc_beta+1octoh'!C27,"")</f>
        <v>0</v>
      </c>
      <c r="I182" s="1" t="str">
        <f aca="false">IFERROR('dens_visc_beta+1octoh'!H27,"")</f>
        <v/>
      </c>
      <c r="J182" s="1" t="n">
        <f aca="false">IFERROR('dens_visc_beta+1octoh'!C41,"")</f>
        <v>0</v>
      </c>
      <c r="K182" s="1" t="str">
        <f aca="false">IF(AND(ISNUMBER(H182),ISNUMBER(I182),ISNUMBER(J182)),"✓",COUNTIF(H182:J182,"&gt;-999")&amp;"/3")</f>
        <v>2/3</v>
      </c>
    </row>
    <row r="183" customFormat="false" ht="15" hidden="false" customHeight="true" outlineLevel="0" collapsed="false">
      <c r="A183" s="1" t="s">
        <v>22</v>
      </c>
      <c r="B183" s="1" t="s">
        <v>12</v>
      </c>
      <c r="C183" s="1" t="s">
        <v>13</v>
      </c>
      <c r="D183" s="1" t="s">
        <v>23</v>
      </c>
      <c r="E183" s="1" t="s">
        <v>24</v>
      </c>
      <c r="F183" s="1" t="n">
        <f aca="false">IFERROR('dens_visc_beta+1octoh'!C22,"")</f>
        <v>30</v>
      </c>
      <c r="G183" s="1" t="str">
        <f aca="false">IFERROR('dens_visc_beta+1octoh'!A28,"")</f>
        <v/>
      </c>
      <c r="H183" s="1" t="n">
        <f aca="false">IFERROR('dens_visc_beta+1octoh'!C28,"")</f>
        <v>0</v>
      </c>
      <c r="I183" s="1" t="str">
        <f aca="false">IFERROR('dens_visc_beta+1octoh'!H28,"")</f>
        <v/>
      </c>
      <c r="J183" s="1" t="n">
        <f aca="false">IFERROR('dens_visc_beta+1octoh'!C42,"")</f>
        <v>0</v>
      </c>
      <c r="K183" s="1" t="str">
        <f aca="false">IF(AND(ISNUMBER(H183),ISNUMBER(I183),ISNUMBER(J183)),"✓",COUNTIF(H183:J183,"&gt;-999")&amp;"/3")</f>
        <v>2/3</v>
      </c>
    </row>
    <row r="184" customFormat="false" ht="15" hidden="false" customHeight="true" outlineLevel="0" collapsed="false">
      <c r="A184" s="1" t="s">
        <v>22</v>
      </c>
      <c r="B184" s="1" t="s">
        <v>12</v>
      </c>
      <c r="C184" s="1" t="s">
        <v>13</v>
      </c>
      <c r="D184" s="1" t="s">
        <v>23</v>
      </c>
      <c r="E184" s="1" t="s">
        <v>24</v>
      </c>
      <c r="F184" s="1" t="n">
        <f aca="false">IFERROR('dens_visc_beta+1octoh'!C22,"")</f>
        <v>30</v>
      </c>
      <c r="G184" s="1" t="str">
        <f aca="false">IFERROR('dens_visc_beta+1octoh'!A29,"")</f>
        <v/>
      </c>
      <c r="H184" s="1" t="n">
        <f aca="false">IFERROR('dens_visc_beta+1octoh'!C29,"")</f>
        <v>0</v>
      </c>
      <c r="I184" s="1" t="str">
        <f aca="false">IFERROR('dens_visc_beta+1octoh'!H29,"")</f>
        <v/>
      </c>
      <c r="J184" s="1" t="n">
        <f aca="false">IFERROR('dens_visc_beta+1octoh'!C43,"")</f>
        <v>0</v>
      </c>
      <c r="K184" s="1" t="str">
        <f aca="false">IF(AND(ISNUMBER(H184),ISNUMBER(I184),ISNUMBER(J184)),"✓",COUNTIF(H184:J184,"&gt;-999")&amp;"/3")</f>
        <v>2/3</v>
      </c>
    </row>
    <row r="185" customFormat="false" ht="15" hidden="false" customHeight="true" outlineLevel="0" collapsed="false">
      <c r="A185" s="1" t="s">
        <v>22</v>
      </c>
      <c r="B185" s="1" t="s">
        <v>12</v>
      </c>
      <c r="C185" s="1" t="s">
        <v>13</v>
      </c>
      <c r="D185" s="1" t="s">
        <v>23</v>
      </c>
      <c r="E185" s="1" t="s">
        <v>24</v>
      </c>
      <c r="F185" s="1" t="n">
        <f aca="false">IFERROR('dens_visc_beta+1octoh'!C22,"")</f>
        <v>30</v>
      </c>
      <c r="G185" s="1" t="str">
        <f aca="false">IFERROR('dens_visc_beta+1octoh'!A30,"")</f>
        <v/>
      </c>
      <c r="H185" s="1" t="n">
        <f aca="false">IFERROR('dens_visc_beta+1octoh'!C30,"")</f>
        <v>0</v>
      </c>
      <c r="I185" s="1" t="str">
        <f aca="false">IFERROR('dens_visc_beta+1octoh'!H30,"")</f>
        <v/>
      </c>
      <c r="J185" s="1" t="n">
        <f aca="false">IFERROR('dens_visc_beta+1octoh'!C44,"")</f>
        <v>0</v>
      </c>
      <c r="K185" s="1" t="str">
        <f aca="false">IF(AND(ISNUMBER(H185),ISNUMBER(I185),ISNUMBER(J185)),"✓",COUNTIF(H185:J185,"&gt;-999")&amp;"/3")</f>
        <v>2/3</v>
      </c>
    </row>
    <row r="186" customFormat="false" ht="15" hidden="false" customHeight="true" outlineLevel="0" collapsed="false">
      <c r="A186" s="1" t="s">
        <v>22</v>
      </c>
      <c r="B186" s="1" t="s">
        <v>12</v>
      </c>
      <c r="C186" s="1" t="s">
        <v>13</v>
      </c>
      <c r="D186" s="1" t="s">
        <v>23</v>
      </c>
      <c r="E186" s="1" t="s">
        <v>24</v>
      </c>
      <c r="F186" s="1" t="n">
        <f aca="false">IFERROR('dens_visc_beta+1octoh'!C22,"")</f>
        <v>30</v>
      </c>
      <c r="G186" s="1" t="str">
        <f aca="false">IFERROR('dens_visc_beta+1octoh'!A31,"")</f>
        <v/>
      </c>
      <c r="H186" s="1" t="n">
        <f aca="false">IFERROR('dens_visc_beta+1octoh'!C31,"")</f>
        <v>0</v>
      </c>
      <c r="I186" s="1" t="str">
        <f aca="false">IFERROR('dens_visc_beta+1octoh'!H31,"")</f>
        <v/>
      </c>
      <c r="J186" s="1" t="n">
        <f aca="false">IFERROR('dens_visc_beta+1octoh'!C45,"")</f>
        <v>0</v>
      </c>
      <c r="K186" s="1" t="str">
        <f aca="false">IF(AND(ISNUMBER(H186),ISNUMBER(I186),ISNUMBER(J186)),"✓",COUNTIF(H186:J186,"&gt;-999")&amp;"/3")</f>
        <v>2/3</v>
      </c>
    </row>
    <row r="187" customFormat="false" ht="15" hidden="false" customHeight="true" outlineLevel="0" collapsed="false">
      <c r="A187" s="1" t="s">
        <v>22</v>
      </c>
      <c r="B187" s="1" t="s">
        <v>12</v>
      </c>
      <c r="C187" s="1" t="s">
        <v>13</v>
      </c>
      <c r="D187" s="1" t="s">
        <v>23</v>
      </c>
      <c r="E187" s="1" t="s">
        <v>24</v>
      </c>
      <c r="F187" s="1" t="n">
        <f aca="false">IFERROR('dens_visc_beta+1octoh'!C22,"")</f>
        <v>30</v>
      </c>
      <c r="G187" s="1" t="str">
        <f aca="false">IFERROR('dens_visc_beta+1octoh'!A32,"")</f>
        <v/>
      </c>
      <c r="H187" s="1" t="n">
        <f aca="false">IFERROR('dens_visc_beta+1octoh'!C32,"")</f>
        <v>0</v>
      </c>
      <c r="I187" s="1" t="str">
        <f aca="false">IFERROR('dens_visc_beta+1octoh'!H32,"")</f>
        <v/>
      </c>
      <c r="J187" s="1" t="n">
        <f aca="false">IFERROR('dens_visc_beta+1octoh'!C46,"")</f>
        <v>0</v>
      </c>
      <c r="K187" s="1" t="str">
        <f aca="false">IF(AND(ISNUMBER(H187),ISNUMBER(I187),ISNUMBER(J187)),"✓",COUNTIF(H187:J187,"&gt;-999")&amp;"/3")</f>
        <v>2/3</v>
      </c>
    </row>
    <row r="188" customFormat="false" ht="15" hidden="false" customHeight="true" outlineLevel="0" collapsed="false">
      <c r="A188" s="1" t="s">
        <v>22</v>
      </c>
      <c r="B188" s="1" t="s">
        <v>12</v>
      </c>
      <c r="C188" s="1" t="s">
        <v>13</v>
      </c>
      <c r="D188" s="1" t="s">
        <v>23</v>
      </c>
      <c r="E188" s="1" t="s">
        <v>24</v>
      </c>
      <c r="F188" s="1" t="n">
        <f aca="false">IFERROR('dens_visc_beta+1octoh'!C22,"")</f>
        <v>30</v>
      </c>
      <c r="G188" s="1" t="str">
        <f aca="false">IFERROR('dens_visc_beta+1octoh'!A33,"")</f>
        <v/>
      </c>
      <c r="H188" s="1" t="n">
        <f aca="false">IFERROR('dens_visc_beta+1octoh'!C33,"")</f>
        <v>0.93726</v>
      </c>
      <c r="I188" s="1" t="str">
        <f aca="false">IFERROR('dens_visc_beta+1octoh'!H33,"")</f>
        <v/>
      </c>
      <c r="J188" s="1" t="n">
        <f aca="false">IFERROR('dens_visc_beta+1octoh'!C47,"")</f>
        <v>7.323</v>
      </c>
      <c r="K188" s="1" t="str">
        <f aca="false">IF(AND(ISNUMBER(H188),ISNUMBER(I188),ISNUMBER(J188)),"✓",COUNTIF(H188:J188,"&gt;-999")&amp;"/3")</f>
        <v>2/3</v>
      </c>
    </row>
    <row r="189" customFormat="false" ht="15" hidden="false" customHeight="true" outlineLevel="0" collapsed="false">
      <c r="A189" s="1" t="s">
        <v>22</v>
      </c>
      <c r="B189" s="1" t="s">
        <v>12</v>
      </c>
      <c r="C189" s="1" t="s">
        <v>13</v>
      </c>
      <c r="D189" s="1" t="s">
        <v>23</v>
      </c>
      <c r="E189" s="1" t="s">
        <v>24</v>
      </c>
      <c r="F189" s="1" t="n">
        <f aca="false">IFERROR('dens_visc_beta+1octoh'!D22,"")</f>
        <v>40</v>
      </c>
      <c r="G189" s="1" t="str">
        <f aca="false">IFERROR('dens_visc_beta+1octoh'!A23,"")</f>
        <v/>
      </c>
      <c r="H189" s="1" t="n">
        <f aca="false">IFERROR('dens_visc_beta+1octoh'!D23,"")</f>
        <v>0.81141</v>
      </c>
      <c r="I189" s="1" t="str">
        <f aca="false">IFERROR('dens_visc_beta+1octoh'!I23,"")</f>
        <v/>
      </c>
      <c r="J189" s="1" t="n">
        <f aca="false">IFERROR('dens_visc_beta+1octoh'!D37,"")</f>
        <v>4.454</v>
      </c>
      <c r="K189" s="1" t="str">
        <f aca="false">IF(AND(ISNUMBER(H189),ISNUMBER(I189),ISNUMBER(J189)),"✓",COUNTIF(H189:J189,"&gt;-999")&amp;"/3")</f>
        <v>2/3</v>
      </c>
    </row>
    <row r="190" customFormat="false" ht="15" hidden="false" customHeight="true" outlineLevel="0" collapsed="false">
      <c r="A190" s="1" t="s">
        <v>22</v>
      </c>
      <c r="B190" s="1" t="s">
        <v>12</v>
      </c>
      <c r="C190" s="1" t="s">
        <v>13</v>
      </c>
      <c r="D190" s="1" t="s">
        <v>23</v>
      </c>
      <c r="E190" s="1" t="s">
        <v>24</v>
      </c>
      <c r="F190" s="1" t="n">
        <f aca="false">IFERROR('dens_visc_beta+1octoh'!D22,"")</f>
        <v>40</v>
      </c>
      <c r="G190" s="1" t="str">
        <f aca="false">IFERROR('dens_visc_beta+1octoh'!A24,"")</f>
        <v/>
      </c>
      <c r="H190" s="1" t="n">
        <f aca="false">IFERROR('dens_visc_beta+1octoh'!D24,"")</f>
        <v>0</v>
      </c>
      <c r="I190" s="1" t="str">
        <f aca="false">IFERROR('dens_visc_beta+1octoh'!I24,"")</f>
        <v/>
      </c>
      <c r="J190" s="1" t="n">
        <f aca="false">IFERROR('dens_visc_beta+1octoh'!D38,"")</f>
        <v>0</v>
      </c>
      <c r="K190" s="1" t="str">
        <f aca="false">IF(AND(ISNUMBER(H190),ISNUMBER(I190),ISNUMBER(J190)),"✓",COUNTIF(H190:J190,"&gt;-999")&amp;"/3")</f>
        <v>2/3</v>
      </c>
    </row>
    <row r="191" customFormat="false" ht="15" hidden="false" customHeight="true" outlineLevel="0" collapsed="false">
      <c r="A191" s="1" t="s">
        <v>22</v>
      </c>
      <c r="B191" s="1" t="s">
        <v>12</v>
      </c>
      <c r="C191" s="1" t="s">
        <v>13</v>
      </c>
      <c r="D191" s="1" t="s">
        <v>23</v>
      </c>
      <c r="E191" s="1" t="s">
        <v>24</v>
      </c>
      <c r="F191" s="1" t="n">
        <f aca="false">IFERROR('dens_visc_beta+1octoh'!D22,"")</f>
        <v>40</v>
      </c>
      <c r="G191" s="1" t="str">
        <f aca="false">IFERROR('dens_visc_beta+1octoh'!A25,"")</f>
        <v/>
      </c>
      <c r="H191" s="1" t="n">
        <f aca="false">IFERROR('dens_visc_beta+1octoh'!D25,"")</f>
        <v>0</v>
      </c>
      <c r="I191" s="1" t="str">
        <f aca="false">IFERROR('dens_visc_beta+1octoh'!I25,"")</f>
        <v/>
      </c>
      <c r="J191" s="1" t="n">
        <f aca="false">IFERROR('dens_visc_beta+1octoh'!D39,"")</f>
        <v>0</v>
      </c>
      <c r="K191" s="1" t="str">
        <f aca="false">IF(AND(ISNUMBER(H191),ISNUMBER(I191),ISNUMBER(J191)),"✓",COUNTIF(H191:J191,"&gt;-999")&amp;"/3")</f>
        <v>2/3</v>
      </c>
    </row>
    <row r="192" customFormat="false" ht="15" hidden="false" customHeight="true" outlineLevel="0" collapsed="false">
      <c r="A192" s="1" t="s">
        <v>22</v>
      </c>
      <c r="B192" s="1" t="s">
        <v>12</v>
      </c>
      <c r="C192" s="1" t="s">
        <v>13</v>
      </c>
      <c r="D192" s="1" t="s">
        <v>23</v>
      </c>
      <c r="E192" s="1" t="s">
        <v>24</v>
      </c>
      <c r="F192" s="1" t="n">
        <f aca="false">IFERROR('dens_visc_beta+1octoh'!D22,"")</f>
        <v>40</v>
      </c>
      <c r="G192" s="1" t="str">
        <f aca="false">IFERROR('dens_visc_beta+1octoh'!A26,"")</f>
        <v/>
      </c>
      <c r="H192" s="1" t="n">
        <f aca="false">IFERROR('dens_visc_beta+1octoh'!D26,"")</f>
        <v>0</v>
      </c>
      <c r="I192" s="1" t="str">
        <f aca="false">IFERROR('dens_visc_beta+1octoh'!I26,"")</f>
        <v/>
      </c>
      <c r="J192" s="1" t="n">
        <f aca="false">IFERROR('dens_visc_beta+1octoh'!D40,"")</f>
        <v>0</v>
      </c>
      <c r="K192" s="1" t="str">
        <f aca="false">IF(AND(ISNUMBER(H192),ISNUMBER(I192),ISNUMBER(J192)),"✓",COUNTIF(H192:J192,"&gt;-999")&amp;"/3")</f>
        <v>2/3</v>
      </c>
    </row>
    <row r="193" customFormat="false" ht="15" hidden="false" customHeight="true" outlineLevel="0" collapsed="false">
      <c r="A193" s="1" t="s">
        <v>22</v>
      </c>
      <c r="B193" s="1" t="s">
        <v>12</v>
      </c>
      <c r="C193" s="1" t="s">
        <v>13</v>
      </c>
      <c r="D193" s="1" t="s">
        <v>23</v>
      </c>
      <c r="E193" s="1" t="s">
        <v>24</v>
      </c>
      <c r="F193" s="1" t="n">
        <f aca="false">IFERROR('dens_visc_beta+1octoh'!D22,"")</f>
        <v>40</v>
      </c>
      <c r="G193" s="1" t="str">
        <f aca="false">IFERROR('dens_visc_beta+1octoh'!A27,"")</f>
        <v/>
      </c>
      <c r="H193" s="1" t="n">
        <f aca="false">IFERROR('dens_visc_beta+1octoh'!D27,"")</f>
        <v>0</v>
      </c>
      <c r="I193" s="1" t="str">
        <f aca="false">IFERROR('dens_visc_beta+1octoh'!I27,"")</f>
        <v/>
      </c>
      <c r="J193" s="1" t="n">
        <f aca="false">IFERROR('dens_visc_beta+1octoh'!D41,"")</f>
        <v>0</v>
      </c>
      <c r="K193" s="1" t="str">
        <f aca="false">IF(AND(ISNUMBER(H193),ISNUMBER(I193),ISNUMBER(J193)),"✓",COUNTIF(H193:J193,"&gt;-999")&amp;"/3")</f>
        <v>2/3</v>
      </c>
    </row>
    <row r="194" customFormat="false" ht="15" hidden="false" customHeight="true" outlineLevel="0" collapsed="false">
      <c r="A194" s="1" t="s">
        <v>22</v>
      </c>
      <c r="B194" s="1" t="s">
        <v>12</v>
      </c>
      <c r="C194" s="1" t="s">
        <v>13</v>
      </c>
      <c r="D194" s="1" t="s">
        <v>23</v>
      </c>
      <c r="E194" s="1" t="s">
        <v>24</v>
      </c>
      <c r="F194" s="1" t="n">
        <f aca="false">IFERROR('dens_visc_beta+1octoh'!D22,"")</f>
        <v>40</v>
      </c>
      <c r="G194" s="1" t="str">
        <f aca="false">IFERROR('dens_visc_beta+1octoh'!A28,"")</f>
        <v/>
      </c>
      <c r="H194" s="1" t="n">
        <f aca="false">IFERROR('dens_visc_beta+1octoh'!D28,"")</f>
        <v>0</v>
      </c>
      <c r="I194" s="1" t="str">
        <f aca="false">IFERROR('dens_visc_beta+1octoh'!I28,"")</f>
        <v/>
      </c>
      <c r="J194" s="1" t="n">
        <f aca="false">IFERROR('dens_visc_beta+1octoh'!D42,"")</f>
        <v>0</v>
      </c>
      <c r="K194" s="1" t="str">
        <f aca="false">IF(AND(ISNUMBER(H194),ISNUMBER(I194),ISNUMBER(J194)),"✓",COUNTIF(H194:J194,"&gt;-999")&amp;"/3")</f>
        <v>2/3</v>
      </c>
    </row>
    <row r="195" customFormat="false" ht="15" hidden="false" customHeight="true" outlineLevel="0" collapsed="false">
      <c r="A195" s="1" t="s">
        <v>22</v>
      </c>
      <c r="B195" s="1" t="s">
        <v>12</v>
      </c>
      <c r="C195" s="1" t="s">
        <v>13</v>
      </c>
      <c r="D195" s="1" t="s">
        <v>23</v>
      </c>
      <c r="E195" s="1" t="s">
        <v>24</v>
      </c>
      <c r="F195" s="1" t="n">
        <f aca="false">IFERROR('dens_visc_beta+1octoh'!D22,"")</f>
        <v>40</v>
      </c>
      <c r="G195" s="1" t="str">
        <f aca="false">IFERROR('dens_visc_beta+1octoh'!A29,"")</f>
        <v/>
      </c>
      <c r="H195" s="1" t="n">
        <f aca="false">IFERROR('dens_visc_beta+1octoh'!D29,"")</f>
        <v>0</v>
      </c>
      <c r="I195" s="1" t="str">
        <f aca="false">IFERROR('dens_visc_beta+1octoh'!I29,"")</f>
        <v/>
      </c>
      <c r="J195" s="1" t="n">
        <f aca="false">IFERROR('dens_visc_beta+1octoh'!D43,"")</f>
        <v>0</v>
      </c>
      <c r="K195" s="1" t="str">
        <f aca="false">IF(AND(ISNUMBER(H195),ISNUMBER(I195),ISNUMBER(J195)),"✓",COUNTIF(H195:J195,"&gt;-999")&amp;"/3")</f>
        <v>2/3</v>
      </c>
    </row>
    <row r="196" customFormat="false" ht="15" hidden="false" customHeight="true" outlineLevel="0" collapsed="false">
      <c r="A196" s="1" t="s">
        <v>22</v>
      </c>
      <c r="B196" s="1" t="s">
        <v>12</v>
      </c>
      <c r="C196" s="1" t="s">
        <v>13</v>
      </c>
      <c r="D196" s="1" t="s">
        <v>23</v>
      </c>
      <c r="E196" s="1" t="s">
        <v>24</v>
      </c>
      <c r="F196" s="1" t="n">
        <f aca="false">IFERROR('dens_visc_beta+1octoh'!D22,"")</f>
        <v>40</v>
      </c>
      <c r="G196" s="1" t="str">
        <f aca="false">IFERROR('dens_visc_beta+1octoh'!A30,"")</f>
        <v/>
      </c>
      <c r="H196" s="1" t="n">
        <f aca="false">IFERROR('dens_visc_beta+1octoh'!D30,"")</f>
        <v>0</v>
      </c>
      <c r="I196" s="1" t="str">
        <f aca="false">IFERROR('dens_visc_beta+1octoh'!I30,"")</f>
        <v/>
      </c>
      <c r="J196" s="1" t="n">
        <f aca="false">IFERROR('dens_visc_beta+1octoh'!D44,"")</f>
        <v>0</v>
      </c>
      <c r="K196" s="1" t="str">
        <f aca="false">IF(AND(ISNUMBER(H196),ISNUMBER(I196),ISNUMBER(J196)),"✓",COUNTIF(H196:J196,"&gt;-999")&amp;"/3")</f>
        <v>2/3</v>
      </c>
    </row>
    <row r="197" customFormat="false" ht="15" hidden="false" customHeight="true" outlineLevel="0" collapsed="false">
      <c r="A197" s="1" t="s">
        <v>22</v>
      </c>
      <c r="B197" s="1" t="s">
        <v>12</v>
      </c>
      <c r="C197" s="1" t="s">
        <v>13</v>
      </c>
      <c r="D197" s="1" t="s">
        <v>23</v>
      </c>
      <c r="E197" s="1" t="s">
        <v>24</v>
      </c>
      <c r="F197" s="1" t="n">
        <f aca="false">IFERROR('dens_visc_beta+1octoh'!D22,"")</f>
        <v>40</v>
      </c>
      <c r="G197" s="1" t="str">
        <f aca="false">IFERROR('dens_visc_beta+1octoh'!A31,"")</f>
        <v/>
      </c>
      <c r="H197" s="1" t="n">
        <f aca="false">IFERROR('dens_visc_beta+1octoh'!D31,"")</f>
        <v>0</v>
      </c>
      <c r="I197" s="1" t="str">
        <f aca="false">IFERROR('dens_visc_beta+1octoh'!I31,"")</f>
        <v/>
      </c>
      <c r="J197" s="1" t="n">
        <f aca="false">IFERROR('dens_visc_beta+1octoh'!D45,"")</f>
        <v>0</v>
      </c>
      <c r="K197" s="1" t="str">
        <f aca="false">IF(AND(ISNUMBER(H197),ISNUMBER(I197),ISNUMBER(J197)),"✓",COUNTIF(H197:J197,"&gt;-999")&amp;"/3")</f>
        <v>2/3</v>
      </c>
    </row>
    <row r="198" customFormat="false" ht="15" hidden="false" customHeight="true" outlineLevel="0" collapsed="false">
      <c r="A198" s="1" t="s">
        <v>22</v>
      </c>
      <c r="B198" s="1" t="s">
        <v>12</v>
      </c>
      <c r="C198" s="1" t="s">
        <v>13</v>
      </c>
      <c r="D198" s="1" t="s">
        <v>23</v>
      </c>
      <c r="E198" s="1" t="s">
        <v>24</v>
      </c>
      <c r="F198" s="1" t="n">
        <f aca="false">IFERROR('dens_visc_beta+1octoh'!D22,"")</f>
        <v>40</v>
      </c>
      <c r="G198" s="1" t="str">
        <f aca="false">IFERROR('dens_visc_beta+1octoh'!A32,"")</f>
        <v/>
      </c>
      <c r="H198" s="1" t="n">
        <f aca="false">IFERROR('dens_visc_beta+1octoh'!D32,"")</f>
        <v>0</v>
      </c>
      <c r="I198" s="1" t="str">
        <f aca="false">IFERROR('dens_visc_beta+1octoh'!I32,"")</f>
        <v/>
      </c>
      <c r="J198" s="1" t="n">
        <f aca="false">IFERROR('dens_visc_beta+1octoh'!D46,"")</f>
        <v>0</v>
      </c>
      <c r="K198" s="1" t="str">
        <f aca="false">IF(AND(ISNUMBER(H198),ISNUMBER(I198),ISNUMBER(J198)),"✓",COUNTIF(H198:J198,"&gt;-999")&amp;"/3")</f>
        <v>2/3</v>
      </c>
    </row>
    <row r="199" customFormat="false" ht="15" hidden="false" customHeight="true" outlineLevel="0" collapsed="false">
      <c r="A199" s="1" t="s">
        <v>22</v>
      </c>
      <c r="B199" s="1" t="s">
        <v>12</v>
      </c>
      <c r="C199" s="1" t="s">
        <v>13</v>
      </c>
      <c r="D199" s="1" t="s">
        <v>23</v>
      </c>
      <c r="E199" s="1" t="s">
        <v>24</v>
      </c>
      <c r="F199" s="1" t="n">
        <f aca="false">IFERROR('dens_visc_beta+1octoh'!D22,"")</f>
        <v>40</v>
      </c>
      <c r="G199" s="1" t="str">
        <f aca="false">IFERROR('dens_visc_beta+1octoh'!A33,"")</f>
        <v/>
      </c>
      <c r="H199" s="1" t="n">
        <f aca="false">IFERROR('dens_visc_beta+1octoh'!D33,"")</f>
        <v>0.9295</v>
      </c>
      <c r="I199" s="1" t="str">
        <f aca="false">IFERROR('dens_visc_beta+1octoh'!I33,"")</f>
        <v/>
      </c>
      <c r="J199" s="1" t="n">
        <f aca="false">IFERROR('dens_visc_beta+1octoh'!D47,"")</f>
        <v>5.121</v>
      </c>
      <c r="K199" s="1" t="str">
        <f aca="false">IF(AND(ISNUMBER(H199),ISNUMBER(I199),ISNUMBER(J199)),"✓",COUNTIF(H199:J199,"&gt;-999")&amp;"/3")</f>
        <v>2/3</v>
      </c>
    </row>
    <row r="200" customFormat="false" ht="15" hidden="false" customHeight="true" outlineLevel="0" collapsed="false">
      <c r="A200" s="1" t="s">
        <v>22</v>
      </c>
      <c r="B200" s="1" t="s">
        <v>12</v>
      </c>
      <c r="C200" s="1" t="s">
        <v>13</v>
      </c>
      <c r="D200" s="1" t="s">
        <v>23</v>
      </c>
      <c r="E200" s="1" t="s">
        <v>24</v>
      </c>
      <c r="F200" s="1" t="n">
        <f aca="false">IFERROR('dens_visc_beta+1octoh'!E22,"")</f>
        <v>50</v>
      </c>
      <c r="G200" s="1" t="str">
        <f aca="false">IFERROR('dens_visc_beta+1octoh'!A23,"")</f>
        <v/>
      </c>
      <c r="H200" s="1" t="n">
        <f aca="false">IFERROR('dens_visc_beta+1octoh'!E23,"")</f>
        <v>0.80433</v>
      </c>
      <c r="I200" s="1" t="str">
        <f aca="false">IFERROR('dens_visc_beta+1octoh'!J23,"")</f>
        <v/>
      </c>
      <c r="J200" s="1" t="n">
        <f aca="false">IFERROR('dens_visc_beta+1octoh'!E37,"")</f>
        <v>3.292</v>
      </c>
      <c r="K200" s="1" t="str">
        <f aca="false">IF(AND(ISNUMBER(H200),ISNUMBER(I200),ISNUMBER(J200)),"✓",COUNTIF(H200:J200,"&gt;-999")&amp;"/3")</f>
        <v>2/3</v>
      </c>
    </row>
    <row r="201" customFormat="false" ht="15" hidden="false" customHeight="true" outlineLevel="0" collapsed="false">
      <c r="A201" s="1" t="s">
        <v>22</v>
      </c>
      <c r="B201" s="1" t="s">
        <v>12</v>
      </c>
      <c r="C201" s="1" t="s">
        <v>13</v>
      </c>
      <c r="D201" s="1" t="s">
        <v>23</v>
      </c>
      <c r="E201" s="1" t="s">
        <v>24</v>
      </c>
      <c r="F201" s="1" t="n">
        <f aca="false">IFERROR('dens_visc_beta+1octoh'!E22,"")</f>
        <v>50</v>
      </c>
      <c r="G201" s="1" t="str">
        <f aca="false">IFERROR('dens_visc_beta+1octoh'!A24,"")</f>
        <v/>
      </c>
      <c r="H201" s="1" t="n">
        <f aca="false">IFERROR('dens_visc_beta+1octoh'!E24,"")</f>
        <v>0</v>
      </c>
      <c r="I201" s="1" t="str">
        <f aca="false">IFERROR('dens_visc_beta+1octoh'!J24,"")</f>
        <v/>
      </c>
      <c r="J201" s="1" t="n">
        <f aca="false">IFERROR('dens_visc_beta+1octoh'!E38,"")</f>
        <v>0</v>
      </c>
      <c r="K201" s="1" t="str">
        <f aca="false">IF(AND(ISNUMBER(H201),ISNUMBER(I201),ISNUMBER(J201)),"✓",COUNTIF(H201:J201,"&gt;-999")&amp;"/3")</f>
        <v>2/3</v>
      </c>
    </row>
    <row r="202" customFormat="false" ht="15" hidden="false" customHeight="true" outlineLevel="0" collapsed="false">
      <c r="A202" s="1" t="s">
        <v>22</v>
      </c>
      <c r="B202" s="1" t="s">
        <v>12</v>
      </c>
      <c r="C202" s="1" t="s">
        <v>13</v>
      </c>
      <c r="D202" s="1" t="s">
        <v>23</v>
      </c>
      <c r="E202" s="1" t="s">
        <v>24</v>
      </c>
      <c r="F202" s="1" t="n">
        <f aca="false">IFERROR('dens_visc_beta+1octoh'!E22,"")</f>
        <v>50</v>
      </c>
      <c r="G202" s="1" t="str">
        <f aca="false">IFERROR('dens_visc_beta+1octoh'!A25,"")</f>
        <v/>
      </c>
      <c r="H202" s="1" t="n">
        <f aca="false">IFERROR('dens_visc_beta+1octoh'!E25,"")</f>
        <v>0</v>
      </c>
      <c r="I202" s="1" t="str">
        <f aca="false">IFERROR('dens_visc_beta+1octoh'!J25,"")</f>
        <v/>
      </c>
      <c r="J202" s="1" t="n">
        <f aca="false">IFERROR('dens_visc_beta+1octoh'!E39,"")</f>
        <v>0</v>
      </c>
      <c r="K202" s="1" t="str">
        <f aca="false">IF(AND(ISNUMBER(H202),ISNUMBER(I202),ISNUMBER(J202)),"✓",COUNTIF(H202:J202,"&gt;-999")&amp;"/3")</f>
        <v>2/3</v>
      </c>
    </row>
    <row r="203" customFormat="false" ht="15" hidden="false" customHeight="true" outlineLevel="0" collapsed="false">
      <c r="A203" s="1" t="s">
        <v>22</v>
      </c>
      <c r="B203" s="1" t="s">
        <v>12</v>
      </c>
      <c r="C203" s="1" t="s">
        <v>13</v>
      </c>
      <c r="D203" s="1" t="s">
        <v>23</v>
      </c>
      <c r="E203" s="1" t="s">
        <v>24</v>
      </c>
      <c r="F203" s="1" t="n">
        <f aca="false">IFERROR('dens_visc_beta+1octoh'!E22,"")</f>
        <v>50</v>
      </c>
      <c r="G203" s="1" t="str">
        <f aca="false">IFERROR('dens_visc_beta+1octoh'!A26,"")</f>
        <v/>
      </c>
      <c r="H203" s="1" t="n">
        <f aca="false">IFERROR('dens_visc_beta+1octoh'!E26,"")</f>
        <v>0</v>
      </c>
      <c r="I203" s="1" t="str">
        <f aca="false">IFERROR('dens_visc_beta+1octoh'!J26,"")</f>
        <v/>
      </c>
      <c r="J203" s="1" t="n">
        <f aca="false">IFERROR('dens_visc_beta+1octoh'!E40,"")</f>
        <v>0</v>
      </c>
      <c r="K203" s="1" t="str">
        <f aca="false">IF(AND(ISNUMBER(H203),ISNUMBER(I203),ISNUMBER(J203)),"✓",COUNTIF(H203:J203,"&gt;-999")&amp;"/3")</f>
        <v>2/3</v>
      </c>
    </row>
    <row r="204" customFormat="false" ht="15" hidden="false" customHeight="true" outlineLevel="0" collapsed="false">
      <c r="A204" s="1" t="s">
        <v>22</v>
      </c>
      <c r="B204" s="1" t="s">
        <v>12</v>
      </c>
      <c r="C204" s="1" t="s">
        <v>13</v>
      </c>
      <c r="D204" s="1" t="s">
        <v>23</v>
      </c>
      <c r="E204" s="1" t="s">
        <v>24</v>
      </c>
      <c r="F204" s="1" t="n">
        <f aca="false">IFERROR('dens_visc_beta+1octoh'!E22,"")</f>
        <v>50</v>
      </c>
      <c r="G204" s="1" t="str">
        <f aca="false">IFERROR('dens_visc_beta+1octoh'!A27,"")</f>
        <v/>
      </c>
      <c r="H204" s="1" t="n">
        <f aca="false">IFERROR('dens_visc_beta+1octoh'!E27,"")</f>
        <v>0</v>
      </c>
      <c r="I204" s="1" t="str">
        <f aca="false">IFERROR('dens_visc_beta+1octoh'!J27,"")</f>
        <v/>
      </c>
      <c r="J204" s="1" t="n">
        <f aca="false">IFERROR('dens_visc_beta+1octoh'!E41,"")</f>
        <v>0</v>
      </c>
      <c r="K204" s="1" t="str">
        <f aca="false">IF(AND(ISNUMBER(H204),ISNUMBER(I204),ISNUMBER(J204)),"✓",COUNTIF(H204:J204,"&gt;-999")&amp;"/3")</f>
        <v>2/3</v>
      </c>
    </row>
    <row r="205" customFormat="false" ht="15" hidden="false" customHeight="true" outlineLevel="0" collapsed="false">
      <c r="A205" s="1" t="s">
        <v>22</v>
      </c>
      <c r="B205" s="1" t="s">
        <v>12</v>
      </c>
      <c r="C205" s="1" t="s">
        <v>13</v>
      </c>
      <c r="D205" s="1" t="s">
        <v>23</v>
      </c>
      <c r="E205" s="1" t="s">
        <v>24</v>
      </c>
      <c r="F205" s="1" t="n">
        <f aca="false">IFERROR('dens_visc_beta+1octoh'!E22,"")</f>
        <v>50</v>
      </c>
      <c r="G205" s="1" t="str">
        <f aca="false">IFERROR('dens_visc_beta+1octoh'!A28,"")</f>
        <v/>
      </c>
      <c r="H205" s="1" t="n">
        <f aca="false">IFERROR('dens_visc_beta+1octoh'!E28,"")</f>
        <v>0</v>
      </c>
      <c r="I205" s="1" t="str">
        <f aca="false">IFERROR('dens_visc_beta+1octoh'!J28,"")</f>
        <v/>
      </c>
      <c r="J205" s="1" t="n">
        <f aca="false">IFERROR('dens_visc_beta+1octoh'!E42,"")</f>
        <v>0</v>
      </c>
      <c r="K205" s="1" t="str">
        <f aca="false">IF(AND(ISNUMBER(H205),ISNUMBER(I205),ISNUMBER(J205)),"✓",COUNTIF(H205:J205,"&gt;-999")&amp;"/3")</f>
        <v>2/3</v>
      </c>
    </row>
    <row r="206" customFormat="false" ht="15" hidden="false" customHeight="true" outlineLevel="0" collapsed="false">
      <c r="A206" s="1" t="s">
        <v>22</v>
      </c>
      <c r="B206" s="1" t="s">
        <v>12</v>
      </c>
      <c r="C206" s="1" t="s">
        <v>13</v>
      </c>
      <c r="D206" s="1" t="s">
        <v>23</v>
      </c>
      <c r="E206" s="1" t="s">
        <v>24</v>
      </c>
      <c r="F206" s="1" t="n">
        <f aca="false">IFERROR('dens_visc_beta+1octoh'!E22,"")</f>
        <v>50</v>
      </c>
      <c r="G206" s="1" t="str">
        <f aca="false">IFERROR('dens_visc_beta+1octoh'!A29,"")</f>
        <v/>
      </c>
      <c r="H206" s="1" t="n">
        <f aca="false">IFERROR('dens_visc_beta+1octoh'!E29,"")</f>
        <v>0</v>
      </c>
      <c r="I206" s="1" t="str">
        <f aca="false">IFERROR('dens_visc_beta+1octoh'!J29,"")</f>
        <v/>
      </c>
      <c r="J206" s="1" t="n">
        <f aca="false">IFERROR('dens_visc_beta+1octoh'!E43,"")</f>
        <v>0</v>
      </c>
      <c r="K206" s="1" t="str">
        <f aca="false">IF(AND(ISNUMBER(H206),ISNUMBER(I206),ISNUMBER(J206)),"✓",COUNTIF(H206:J206,"&gt;-999")&amp;"/3")</f>
        <v>2/3</v>
      </c>
    </row>
    <row r="207" customFormat="false" ht="15" hidden="false" customHeight="true" outlineLevel="0" collapsed="false">
      <c r="A207" s="1" t="s">
        <v>22</v>
      </c>
      <c r="B207" s="1" t="s">
        <v>12</v>
      </c>
      <c r="C207" s="1" t="s">
        <v>13</v>
      </c>
      <c r="D207" s="1" t="s">
        <v>23</v>
      </c>
      <c r="E207" s="1" t="s">
        <v>24</v>
      </c>
      <c r="F207" s="1" t="n">
        <f aca="false">IFERROR('dens_visc_beta+1octoh'!E22,"")</f>
        <v>50</v>
      </c>
      <c r="G207" s="1" t="str">
        <f aca="false">IFERROR('dens_visc_beta+1octoh'!A30,"")</f>
        <v/>
      </c>
      <c r="H207" s="1" t="n">
        <f aca="false">IFERROR('dens_visc_beta+1octoh'!E30,"")</f>
        <v>0</v>
      </c>
      <c r="I207" s="1" t="str">
        <f aca="false">IFERROR('dens_visc_beta+1octoh'!J30,"")</f>
        <v/>
      </c>
      <c r="J207" s="1" t="n">
        <f aca="false">IFERROR('dens_visc_beta+1octoh'!E44,"")</f>
        <v>0</v>
      </c>
      <c r="K207" s="1" t="str">
        <f aca="false">IF(AND(ISNUMBER(H207),ISNUMBER(I207),ISNUMBER(J207)),"✓",COUNTIF(H207:J207,"&gt;-999")&amp;"/3")</f>
        <v>2/3</v>
      </c>
    </row>
    <row r="208" customFormat="false" ht="15" hidden="false" customHeight="true" outlineLevel="0" collapsed="false">
      <c r="A208" s="1" t="s">
        <v>22</v>
      </c>
      <c r="B208" s="1" t="s">
        <v>12</v>
      </c>
      <c r="C208" s="1" t="s">
        <v>13</v>
      </c>
      <c r="D208" s="1" t="s">
        <v>23</v>
      </c>
      <c r="E208" s="1" t="s">
        <v>24</v>
      </c>
      <c r="F208" s="1" t="n">
        <f aca="false">IFERROR('dens_visc_beta+1octoh'!E22,"")</f>
        <v>50</v>
      </c>
      <c r="G208" s="1" t="str">
        <f aca="false">IFERROR('dens_visc_beta+1octoh'!A31,"")</f>
        <v/>
      </c>
      <c r="H208" s="1" t="n">
        <f aca="false">IFERROR('dens_visc_beta+1octoh'!E31,"")</f>
        <v>0</v>
      </c>
      <c r="I208" s="1" t="str">
        <f aca="false">IFERROR('dens_visc_beta+1octoh'!J31,"")</f>
        <v/>
      </c>
      <c r="J208" s="1" t="n">
        <f aca="false">IFERROR('dens_visc_beta+1octoh'!E45,"")</f>
        <v>0</v>
      </c>
      <c r="K208" s="1" t="str">
        <f aca="false">IF(AND(ISNUMBER(H208),ISNUMBER(I208),ISNUMBER(J208)),"✓",COUNTIF(H208:J208,"&gt;-999")&amp;"/3")</f>
        <v>2/3</v>
      </c>
    </row>
    <row r="209" customFormat="false" ht="15" hidden="false" customHeight="true" outlineLevel="0" collapsed="false">
      <c r="A209" s="1" t="s">
        <v>22</v>
      </c>
      <c r="B209" s="1" t="s">
        <v>12</v>
      </c>
      <c r="C209" s="1" t="s">
        <v>13</v>
      </c>
      <c r="D209" s="1" t="s">
        <v>23</v>
      </c>
      <c r="E209" s="1" t="s">
        <v>24</v>
      </c>
      <c r="F209" s="1" t="n">
        <f aca="false">IFERROR('dens_visc_beta+1octoh'!E22,"")</f>
        <v>50</v>
      </c>
      <c r="G209" s="1" t="str">
        <f aca="false">IFERROR('dens_visc_beta+1octoh'!A32,"")</f>
        <v/>
      </c>
      <c r="H209" s="1" t="n">
        <f aca="false">IFERROR('dens_visc_beta+1octoh'!E32,"")</f>
        <v>0</v>
      </c>
      <c r="I209" s="1" t="str">
        <f aca="false">IFERROR('dens_visc_beta+1octoh'!J32,"")</f>
        <v/>
      </c>
      <c r="J209" s="1" t="n">
        <f aca="false">IFERROR('dens_visc_beta+1octoh'!E46,"")</f>
        <v>0</v>
      </c>
      <c r="K209" s="1" t="str">
        <f aca="false">IF(AND(ISNUMBER(H209),ISNUMBER(I209),ISNUMBER(J209)),"✓",COUNTIF(H209:J209,"&gt;-999")&amp;"/3")</f>
        <v>2/3</v>
      </c>
    </row>
    <row r="210" customFormat="false" ht="15" hidden="false" customHeight="true" outlineLevel="0" collapsed="false">
      <c r="A210" s="1" t="s">
        <v>22</v>
      </c>
      <c r="B210" s="1" t="s">
        <v>12</v>
      </c>
      <c r="C210" s="1" t="s">
        <v>13</v>
      </c>
      <c r="D210" s="1" t="s">
        <v>23</v>
      </c>
      <c r="E210" s="1" t="s">
        <v>24</v>
      </c>
      <c r="F210" s="1" t="n">
        <f aca="false">IFERROR('dens_visc_beta+1octoh'!E22,"")</f>
        <v>50</v>
      </c>
      <c r="G210" s="1" t="str">
        <f aca="false">IFERROR('dens_visc_beta+1octoh'!A33,"")</f>
        <v/>
      </c>
      <c r="H210" s="1" t="n">
        <f aca="false">IFERROR('dens_visc_beta+1octoh'!E33,"")</f>
        <v>0.92172</v>
      </c>
      <c r="I210" s="1" t="str">
        <f aca="false">IFERROR('dens_visc_beta+1octoh'!J33,"")</f>
        <v/>
      </c>
      <c r="J210" s="1" t="n">
        <f aca="false">IFERROR('dens_visc_beta+1octoh'!E47,"")</f>
        <v>3.792</v>
      </c>
      <c r="K210" s="1" t="str">
        <f aca="false">IF(AND(ISNUMBER(H210),ISNUMBER(I210),ISNUMBER(J210)),"✓",COUNTIF(H210:J210,"&gt;-999")&amp;"/3")</f>
        <v>2/3</v>
      </c>
    </row>
    <row r="211" customFormat="false" ht="15" hidden="false" customHeight="true" outlineLevel="0" collapsed="false">
      <c r="A211" s="1" t="s">
        <v>22</v>
      </c>
      <c r="B211" s="1" t="s">
        <v>12</v>
      </c>
      <c r="C211" s="1" t="s">
        <v>13</v>
      </c>
      <c r="D211" s="1" t="s">
        <v>23</v>
      </c>
      <c r="E211" s="1" t="s">
        <v>24</v>
      </c>
      <c r="F211" s="1" t="n">
        <f aca="false">IFERROR('dens_visc_beta+1octoh'!F22,"")</f>
        <v>60</v>
      </c>
      <c r="G211" s="1" t="str">
        <f aca="false">IFERROR('dens_visc_beta+1octoh'!A23,"")</f>
        <v/>
      </c>
      <c r="H211" s="1" t="n">
        <f aca="false">IFERROR('dens_visc_beta+1octoh'!F23,"")</f>
        <v>0.79719</v>
      </c>
      <c r="I211" s="1" t="str">
        <f aca="false">IFERROR('dens_visc_beta+1octoh'!K23,"")</f>
        <v/>
      </c>
      <c r="J211" s="1" t="n">
        <f aca="false">IFERROR('dens_visc_beta+1octoh'!F37,"")</f>
        <v>2.511</v>
      </c>
      <c r="K211" s="1" t="str">
        <f aca="false">IF(AND(ISNUMBER(H211),ISNUMBER(I211),ISNUMBER(J211)),"✓",COUNTIF(H211:J211,"&gt;-999")&amp;"/3")</f>
        <v>2/3</v>
      </c>
    </row>
    <row r="212" customFormat="false" ht="15" hidden="false" customHeight="true" outlineLevel="0" collapsed="false">
      <c r="A212" s="1" t="s">
        <v>22</v>
      </c>
      <c r="B212" s="1" t="s">
        <v>12</v>
      </c>
      <c r="C212" s="1" t="s">
        <v>13</v>
      </c>
      <c r="D212" s="1" t="s">
        <v>23</v>
      </c>
      <c r="E212" s="1" t="s">
        <v>24</v>
      </c>
      <c r="F212" s="1" t="n">
        <f aca="false">IFERROR('dens_visc_beta+1octoh'!F22,"")</f>
        <v>60</v>
      </c>
      <c r="G212" s="1" t="str">
        <f aca="false">IFERROR('dens_visc_beta+1octoh'!A24,"")</f>
        <v/>
      </c>
      <c r="H212" s="1" t="n">
        <f aca="false">IFERROR('dens_visc_beta+1octoh'!F24,"")</f>
        <v>0</v>
      </c>
      <c r="I212" s="1" t="str">
        <f aca="false">IFERROR('dens_visc_beta+1octoh'!K24,"")</f>
        <v/>
      </c>
      <c r="J212" s="1" t="n">
        <f aca="false">IFERROR('dens_visc_beta+1octoh'!F38,"")</f>
        <v>0</v>
      </c>
      <c r="K212" s="1" t="str">
        <f aca="false">IF(AND(ISNUMBER(H212),ISNUMBER(I212),ISNUMBER(J212)),"✓",COUNTIF(H212:J212,"&gt;-999")&amp;"/3")</f>
        <v>2/3</v>
      </c>
    </row>
    <row r="213" customFormat="false" ht="15" hidden="false" customHeight="true" outlineLevel="0" collapsed="false">
      <c r="A213" s="1" t="s">
        <v>22</v>
      </c>
      <c r="B213" s="1" t="s">
        <v>12</v>
      </c>
      <c r="C213" s="1" t="s">
        <v>13</v>
      </c>
      <c r="D213" s="1" t="s">
        <v>23</v>
      </c>
      <c r="E213" s="1" t="s">
        <v>24</v>
      </c>
      <c r="F213" s="1" t="n">
        <f aca="false">IFERROR('dens_visc_beta+1octoh'!F22,"")</f>
        <v>60</v>
      </c>
      <c r="G213" s="1" t="str">
        <f aca="false">IFERROR('dens_visc_beta+1octoh'!A25,"")</f>
        <v/>
      </c>
      <c r="H213" s="1" t="n">
        <f aca="false">IFERROR('dens_visc_beta+1octoh'!F25,"")</f>
        <v>0</v>
      </c>
      <c r="I213" s="1" t="str">
        <f aca="false">IFERROR('dens_visc_beta+1octoh'!K25,"")</f>
        <v/>
      </c>
      <c r="J213" s="1" t="n">
        <f aca="false">IFERROR('dens_visc_beta+1octoh'!F39,"")</f>
        <v>0</v>
      </c>
      <c r="K213" s="1" t="str">
        <f aca="false">IF(AND(ISNUMBER(H213),ISNUMBER(I213),ISNUMBER(J213)),"✓",COUNTIF(H213:J213,"&gt;-999")&amp;"/3")</f>
        <v>2/3</v>
      </c>
    </row>
    <row r="214" customFormat="false" ht="15" hidden="false" customHeight="true" outlineLevel="0" collapsed="false">
      <c r="A214" s="1" t="s">
        <v>22</v>
      </c>
      <c r="B214" s="1" t="s">
        <v>12</v>
      </c>
      <c r="C214" s="1" t="s">
        <v>13</v>
      </c>
      <c r="D214" s="1" t="s">
        <v>23</v>
      </c>
      <c r="E214" s="1" t="s">
        <v>24</v>
      </c>
      <c r="F214" s="1" t="n">
        <f aca="false">IFERROR('dens_visc_beta+1octoh'!F22,"")</f>
        <v>60</v>
      </c>
      <c r="G214" s="1" t="str">
        <f aca="false">IFERROR('dens_visc_beta+1octoh'!A26,"")</f>
        <v/>
      </c>
      <c r="H214" s="1" t="n">
        <f aca="false">IFERROR('dens_visc_beta+1octoh'!F26,"")</f>
        <v>0</v>
      </c>
      <c r="I214" s="1" t="str">
        <f aca="false">IFERROR('dens_visc_beta+1octoh'!K26,"")</f>
        <v/>
      </c>
      <c r="J214" s="1" t="n">
        <f aca="false">IFERROR('dens_visc_beta+1octoh'!F40,"")</f>
        <v>0</v>
      </c>
      <c r="K214" s="1" t="str">
        <f aca="false">IF(AND(ISNUMBER(H214),ISNUMBER(I214),ISNUMBER(J214)),"✓",COUNTIF(H214:J214,"&gt;-999")&amp;"/3")</f>
        <v>2/3</v>
      </c>
    </row>
    <row r="215" customFormat="false" ht="15" hidden="false" customHeight="true" outlineLevel="0" collapsed="false">
      <c r="A215" s="1" t="s">
        <v>22</v>
      </c>
      <c r="B215" s="1" t="s">
        <v>12</v>
      </c>
      <c r="C215" s="1" t="s">
        <v>13</v>
      </c>
      <c r="D215" s="1" t="s">
        <v>23</v>
      </c>
      <c r="E215" s="1" t="s">
        <v>24</v>
      </c>
      <c r="F215" s="1" t="n">
        <f aca="false">IFERROR('dens_visc_beta+1octoh'!F22,"")</f>
        <v>60</v>
      </c>
      <c r="G215" s="1" t="str">
        <f aca="false">IFERROR('dens_visc_beta+1octoh'!A27,"")</f>
        <v/>
      </c>
      <c r="H215" s="1" t="n">
        <f aca="false">IFERROR('dens_visc_beta+1octoh'!F27,"")</f>
        <v>0</v>
      </c>
      <c r="I215" s="1" t="str">
        <f aca="false">IFERROR('dens_visc_beta+1octoh'!K27,"")</f>
        <v/>
      </c>
      <c r="J215" s="1" t="n">
        <f aca="false">IFERROR('dens_visc_beta+1octoh'!F41,"")</f>
        <v>0</v>
      </c>
      <c r="K215" s="1" t="str">
        <f aca="false">IF(AND(ISNUMBER(H215),ISNUMBER(I215),ISNUMBER(J215)),"✓",COUNTIF(H215:J215,"&gt;-999")&amp;"/3")</f>
        <v>2/3</v>
      </c>
    </row>
    <row r="216" customFormat="false" ht="15" hidden="false" customHeight="true" outlineLevel="0" collapsed="false">
      <c r="A216" s="1" t="s">
        <v>22</v>
      </c>
      <c r="B216" s="1" t="s">
        <v>12</v>
      </c>
      <c r="C216" s="1" t="s">
        <v>13</v>
      </c>
      <c r="D216" s="1" t="s">
        <v>23</v>
      </c>
      <c r="E216" s="1" t="s">
        <v>24</v>
      </c>
      <c r="F216" s="1" t="n">
        <f aca="false">IFERROR('dens_visc_beta+1octoh'!F22,"")</f>
        <v>60</v>
      </c>
      <c r="G216" s="1" t="str">
        <f aca="false">IFERROR('dens_visc_beta+1octoh'!A28,"")</f>
        <v/>
      </c>
      <c r="H216" s="1" t="n">
        <f aca="false">IFERROR('dens_visc_beta+1octoh'!F28,"")</f>
        <v>0</v>
      </c>
      <c r="I216" s="1" t="str">
        <f aca="false">IFERROR('dens_visc_beta+1octoh'!K28,"")</f>
        <v/>
      </c>
      <c r="J216" s="1" t="n">
        <f aca="false">IFERROR('dens_visc_beta+1octoh'!F42,"")</f>
        <v>0</v>
      </c>
      <c r="K216" s="1" t="str">
        <f aca="false">IF(AND(ISNUMBER(H216),ISNUMBER(I216),ISNUMBER(J216)),"✓",COUNTIF(H216:J216,"&gt;-999")&amp;"/3")</f>
        <v>2/3</v>
      </c>
    </row>
    <row r="217" customFormat="false" ht="15" hidden="false" customHeight="true" outlineLevel="0" collapsed="false">
      <c r="A217" s="1" t="s">
        <v>22</v>
      </c>
      <c r="B217" s="1" t="s">
        <v>12</v>
      </c>
      <c r="C217" s="1" t="s">
        <v>13</v>
      </c>
      <c r="D217" s="1" t="s">
        <v>23</v>
      </c>
      <c r="E217" s="1" t="s">
        <v>24</v>
      </c>
      <c r="F217" s="1" t="n">
        <f aca="false">IFERROR('dens_visc_beta+1octoh'!F22,"")</f>
        <v>60</v>
      </c>
      <c r="G217" s="1" t="str">
        <f aca="false">IFERROR('dens_visc_beta+1octoh'!A29,"")</f>
        <v/>
      </c>
      <c r="H217" s="1" t="n">
        <f aca="false">IFERROR('dens_visc_beta+1octoh'!F29,"")</f>
        <v>0</v>
      </c>
      <c r="I217" s="1" t="str">
        <f aca="false">IFERROR('dens_visc_beta+1octoh'!K29,"")</f>
        <v/>
      </c>
      <c r="J217" s="1" t="n">
        <f aca="false">IFERROR('dens_visc_beta+1octoh'!F43,"")</f>
        <v>0</v>
      </c>
      <c r="K217" s="1" t="str">
        <f aca="false">IF(AND(ISNUMBER(H217),ISNUMBER(I217),ISNUMBER(J217)),"✓",COUNTIF(H217:J217,"&gt;-999")&amp;"/3")</f>
        <v>2/3</v>
      </c>
    </row>
    <row r="218" customFormat="false" ht="15" hidden="false" customHeight="true" outlineLevel="0" collapsed="false">
      <c r="A218" s="1" t="s">
        <v>22</v>
      </c>
      <c r="B218" s="1" t="s">
        <v>12</v>
      </c>
      <c r="C218" s="1" t="s">
        <v>13</v>
      </c>
      <c r="D218" s="1" t="s">
        <v>23</v>
      </c>
      <c r="E218" s="1" t="s">
        <v>24</v>
      </c>
      <c r="F218" s="1" t="n">
        <f aca="false">IFERROR('dens_visc_beta+1octoh'!F22,"")</f>
        <v>60</v>
      </c>
      <c r="G218" s="1" t="str">
        <f aca="false">IFERROR('dens_visc_beta+1octoh'!A30,"")</f>
        <v/>
      </c>
      <c r="H218" s="1" t="n">
        <f aca="false">IFERROR('dens_visc_beta+1octoh'!F30,"")</f>
        <v>0</v>
      </c>
      <c r="I218" s="1" t="str">
        <f aca="false">IFERROR('dens_visc_beta+1octoh'!K30,"")</f>
        <v/>
      </c>
      <c r="J218" s="1" t="n">
        <f aca="false">IFERROR('dens_visc_beta+1octoh'!F44,"")</f>
        <v>0</v>
      </c>
      <c r="K218" s="1" t="str">
        <f aca="false">IF(AND(ISNUMBER(H218),ISNUMBER(I218),ISNUMBER(J218)),"✓",COUNTIF(H218:J218,"&gt;-999")&amp;"/3")</f>
        <v>2/3</v>
      </c>
    </row>
    <row r="219" customFormat="false" ht="15" hidden="false" customHeight="true" outlineLevel="0" collapsed="false">
      <c r="A219" s="1" t="s">
        <v>22</v>
      </c>
      <c r="B219" s="1" t="s">
        <v>12</v>
      </c>
      <c r="C219" s="1" t="s">
        <v>13</v>
      </c>
      <c r="D219" s="1" t="s">
        <v>23</v>
      </c>
      <c r="E219" s="1" t="s">
        <v>24</v>
      </c>
      <c r="F219" s="1" t="n">
        <f aca="false">IFERROR('dens_visc_beta+1octoh'!F22,"")</f>
        <v>60</v>
      </c>
      <c r="G219" s="1" t="str">
        <f aca="false">IFERROR('dens_visc_beta+1octoh'!A31,"")</f>
        <v/>
      </c>
      <c r="H219" s="1" t="n">
        <f aca="false">IFERROR('dens_visc_beta+1octoh'!F31,"")</f>
        <v>0</v>
      </c>
      <c r="I219" s="1" t="str">
        <f aca="false">IFERROR('dens_visc_beta+1octoh'!K31,"")</f>
        <v/>
      </c>
      <c r="J219" s="1" t="n">
        <f aca="false">IFERROR('dens_visc_beta+1octoh'!F45,"")</f>
        <v>0</v>
      </c>
      <c r="K219" s="1" t="str">
        <f aca="false">IF(AND(ISNUMBER(H219),ISNUMBER(I219),ISNUMBER(J219)),"✓",COUNTIF(H219:J219,"&gt;-999")&amp;"/3")</f>
        <v>2/3</v>
      </c>
    </row>
    <row r="220" customFormat="false" ht="15" hidden="false" customHeight="true" outlineLevel="0" collapsed="false">
      <c r="A220" s="1" t="s">
        <v>22</v>
      </c>
      <c r="B220" s="1" t="s">
        <v>12</v>
      </c>
      <c r="C220" s="1" t="s">
        <v>13</v>
      </c>
      <c r="D220" s="1" t="s">
        <v>23</v>
      </c>
      <c r="E220" s="1" t="s">
        <v>24</v>
      </c>
      <c r="F220" s="1" t="n">
        <f aca="false">IFERROR('dens_visc_beta+1octoh'!F22,"")</f>
        <v>60</v>
      </c>
      <c r="G220" s="1" t="str">
        <f aca="false">IFERROR('dens_visc_beta+1octoh'!A32,"")</f>
        <v/>
      </c>
      <c r="H220" s="1" t="n">
        <f aca="false">IFERROR('dens_visc_beta+1octoh'!F32,"")</f>
        <v>0</v>
      </c>
      <c r="I220" s="1" t="str">
        <f aca="false">IFERROR('dens_visc_beta+1octoh'!K32,"")</f>
        <v/>
      </c>
      <c r="J220" s="1" t="n">
        <f aca="false">IFERROR('dens_visc_beta+1octoh'!F46,"")</f>
        <v>0</v>
      </c>
      <c r="K220" s="1" t="str">
        <f aca="false">IF(AND(ISNUMBER(H220),ISNUMBER(I220),ISNUMBER(J220)),"✓",COUNTIF(H220:J220,"&gt;-999")&amp;"/3")</f>
        <v>2/3</v>
      </c>
    </row>
    <row r="221" customFormat="false" ht="15" hidden="false" customHeight="true" outlineLevel="0" collapsed="false">
      <c r="A221" s="1" t="s">
        <v>22</v>
      </c>
      <c r="B221" s="1" t="s">
        <v>12</v>
      </c>
      <c r="C221" s="1" t="s">
        <v>13</v>
      </c>
      <c r="D221" s="1" t="s">
        <v>23</v>
      </c>
      <c r="E221" s="1" t="s">
        <v>24</v>
      </c>
      <c r="F221" s="1" t="n">
        <f aca="false">IFERROR('dens_visc_beta+1octoh'!F22,"")</f>
        <v>60</v>
      </c>
      <c r="G221" s="1" t="str">
        <f aca="false">IFERROR('dens_visc_beta+1octoh'!A33,"")</f>
        <v/>
      </c>
      <c r="H221" s="1" t="n">
        <f aca="false">IFERROR('dens_visc_beta+1octoh'!F33,"")</f>
        <v>0.91396</v>
      </c>
      <c r="I221" s="1" t="str">
        <f aca="false">IFERROR('dens_visc_beta+1octoh'!K33,"")</f>
        <v/>
      </c>
      <c r="J221" s="1" t="n">
        <f aca="false">IFERROR('dens_visc_beta+1octoh'!F47,"")</f>
        <v>2.938</v>
      </c>
      <c r="K221" s="1" t="str">
        <f aca="false">IF(AND(ISNUMBER(H221),ISNUMBER(I221),ISNUMBER(J221)),"✓",COUNTIF(H221:J221,"&gt;-999")&amp;"/3")</f>
        <v>2/3</v>
      </c>
    </row>
    <row r="222" customFormat="false" ht="15" hidden="false" customHeight="true" outlineLevel="0" collapsed="false">
      <c r="A222" s="1" t="s">
        <v>25</v>
      </c>
      <c r="B222" s="1" t="s">
        <v>12</v>
      </c>
      <c r="C222" s="1" t="s">
        <v>13</v>
      </c>
      <c r="D222" s="1" t="s">
        <v>26</v>
      </c>
      <c r="E222" s="1" t="s">
        <v>27</v>
      </c>
      <c r="F222" s="1" t="n">
        <f aca="false">IFERROR('dens_visc_beta+mibk'!B22,"")</f>
        <v>20</v>
      </c>
      <c r="G222" s="1" t="n">
        <f aca="false">IFERROR('dens_visc_beta+mibk'!A23,"")</f>
        <v>0</v>
      </c>
      <c r="H222" s="4" t="n">
        <f aca="false">IFERROR('dens_visc_beta+mibk'!B23,"")</f>
        <v>0.80143</v>
      </c>
      <c r="I222" s="1" t="n">
        <f aca="false">IFERROR('dens_visc_beta+mibk'!G23,"")</f>
        <v>0</v>
      </c>
      <c r="J222" s="5" t="n">
        <f aca="false">IFERROR('dens_visc_beta+mibk'!B37,"")</f>
        <v>0.58507</v>
      </c>
      <c r="K222" s="1" t="str">
        <f aca="false">IF(AND(ISNUMBER(H222),ISNUMBER(I222),ISNUMBER(J222)),"✓",COUNTIF(H222:J222,"&gt;-999")&amp;"/3")</f>
        <v>✓</v>
      </c>
    </row>
    <row r="223" customFormat="false" ht="15" hidden="false" customHeight="true" outlineLevel="0" collapsed="false">
      <c r="A223" s="1" t="s">
        <v>25</v>
      </c>
      <c r="B223" s="1" t="s">
        <v>12</v>
      </c>
      <c r="C223" s="1" t="s">
        <v>13</v>
      </c>
      <c r="D223" s="1" t="s">
        <v>26</v>
      </c>
      <c r="E223" s="1" t="s">
        <v>27</v>
      </c>
      <c r="F223" s="1" t="n">
        <f aca="false">IFERROR('dens_visc_beta+mibk'!B22,"")</f>
        <v>20</v>
      </c>
      <c r="G223" s="1" t="str">
        <f aca="false">IFERROR('dens_visc_beta+mibk'!A24,"")</f>
        <v/>
      </c>
      <c r="H223" s="1" t="n">
        <f aca="false">IFERROR('dens_visc_beta+mibk'!B24,"")</f>
        <v>0.81671</v>
      </c>
      <c r="I223" s="1" t="str">
        <f aca="false">IFERROR('dens_visc_beta+mibk'!G24,"")</f>
        <v/>
      </c>
      <c r="J223" s="1" t="n">
        <f aca="false">IFERROR('dens_visc_beta+mibk'!B38,"")</f>
        <v>0.702</v>
      </c>
      <c r="K223" s="1" t="str">
        <f aca="false">IF(AND(ISNUMBER(H223),ISNUMBER(I223),ISNUMBER(J223)),"✓",COUNTIF(H223:J223,"&gt;-999")&amp;"/3")</f>
        <v>2/3</v>
      </c>
    </row>
    <row r="224" customFormat="false" ht="15" hidden="false" customHeight="true" outlineLevel="0" collapsed="false">
      <c r="A224" s="1" t="s">
        <v>25</v>
      </c>
      <c r="B224" s="1" t="s">
        <v>12</v>
      </c>
      <c r="C224" s="1" t="s">
        <v>13</v>
      </c>
      <c r="D224" s="1" t="s">
        <v>26</v>
      </c>
      <c r="E224" s="1" t="s">
        <v>27</v>
      </c>
      <c r="F224" s="1" t="n">
        <f aca="false">IFERROR('dens_visc_beta+mibk'!B22,"")</f>
        <v>20</v>
      </c>
      <c r="G224" s="1" t="str">
        <f aca="false">IFERROR('dens_visc_beta+mibk'!A25,"")</f>
        <v/>
      </c>
      <c r="H224" s="1" t="n">
        <f aca="false">IFERROR('dens_visc_beta+mibk'!B25,"")</f>
        <v>0.83112</v>
      </c>
      <c r="I224" s="1" t="str">
        <f aca="false">IFERROR('dens_visc_beta+mibk'!G25,"")</f>
        <v/>
      </c>
      <c r="J224" s="1" t="n">
        <f aca="false">IFERROR('dens_visc_beta+mibk'!B39,"")</f>
        <v>0.837</v>
      </c>
      <c r="K224" s="1" t="str">
        <f aca="false">IF(AND(ISNUMBER(H224),ISNUMBER(I224),ISNUMBER(J224)),"✓",COUNTIF(H224:J224,"&gt;-999")&amp;"/3")</f>
        <v>2/3</v>
      </c>
    </row>
    <row r="225" customFormat="false" ht="15" hidden="false" customHeight="true" outlineLevel="0" collapsed="false">
      <c r="A225" s="1" t="s">
        <v>25</v>
      </c>
      <c r="B225" s="1" t="s">
        <v>12</v>
      </c>
      <c r="C225" s="1" t="s">
        <v>13</v>
      </c>
      <c r="D225" s="1" t="s">
        <v>26</v>
      </c>
      <c r="E225" s="1" t="s">
        <v>27</v>
      </c>
      <c r="F225" s="1" t="n">
        <f aca="false">IFERROR('dens_visc_beta+mibk'!B22,"")</f>
        <v>20</v>
      </c>
      <c r="G225" s="1" t="str">
        <f aca="false">IFERROR('dens_visc_beta+mibk'!A26,"")</f>
        <v/>
      </c>
      <c r="H225" s="1" t="n">
        <f aca="false">IFERROR('dens_visc_beta+mibk'!B26,"")</f>
        <v>0.8456</v>
      </c>
      <c r="I225" s="1" t="str">
        <f aca="false">IFERROR('dens_visc_beta+mibk'!G26,"")</f>
        <v/>
      </c>
      <c r="J225" s="1" t="n">
        <f aca="false">IFERROR('dens_visc_beta+mibk'!B40,"")</f>
        <v>1.065</v>
      </c>
      <c r="K225" s="1" t="str">
        <f aca="false">IF(AND(ISNUMBER(H225),ISNUMBER(I225),ISNUMBER(J225)),"✓",COUNTIF(H225:J225,"&gt;-999")&amp;"/3")</f>
        <v>2/3</v>
      </c>
    </row>
    <row r="226" customFormat="false" ht="15" hidden="false" customHeight="true" outlineLevel="0" collapsed="false">
      <c r="A226" s="1" t="s">
        <v>25</v>
      </c>
      <c r="B226" s="1" t="s">
        <v>12</v>
      </c>
      <c r="C226" s="1" t="s">
        <v>13</v>
      </c>
      <c r="D226" s="1" t="s">
        <v>26</v>
      </c>
      <c r="E226" s="1" t="s">
        <v>27</v>
      </c>
      <c r="F226" s="1" t="n">
        <f aca="false">IFERROR('dens_visc_beta+mibk'!B22,"")</f>
        <v>20</v>
      </c>
      <c r="G226" s="1" t="str">
        <f aca="false">IFERROR('dens_visc_beta+mibk'!A27,"")</f>
        <v/>
      </c>
      <c r="H226" s="1" t="n">
        <f aca="false">IFERROR('dens_visc_beta+mibk'!B27,"")</f>
        <v>0.86044</v>
      </c>
      <c r="I226" s="1" t="str">
        <f aca="false">IFERROR('dens_visc_beta+mibk'!G27,"")</f>
        <v/>
      </c>
      <c r="J226" s="1" t="n">
        <f aca="false">IFERROR('dens_visc_beta+mibk'!B41,"")</f>
        <v>1.305</v>
      </c>
      <c r="K226" s="1" t="str">
        <f aca="false">IF(AND(ISNUMBER(H226),ISNUMBER(I226),ISNUMBER(J226)),"✓",COUNTIF(H226:J226,"&gt;-999")&amp;"/3")</f>
        <v>2/3</v>
      </c>
    </row>
    <row r="227" customFormat="false" ht="15" hidden="false" customHeight="true" outlineLevel="0" collapsed="false">
      <c r="A227" s="1" t="s">
        <v>25</v>
      </c>
      <c r="B227" s="1" t="s">
        <v>12</v>
      </c>
      <c r="C227" s="1" t="s">
        <v>13</v>
      </c>
      <c r="D227" s="1" t="s">
        <v>26</v>
      </c>
      <c r="E227" s="1" t="s">
        <v>27</v>
      </c>
      <c r="F227" s="1" t="n">
        <f aca="false">IFERROR('dens_visc_beta+mibk'!B22,"")</f>
        <v>20</v>
      </c>
      <c r="G227" s="1" t="str">
        <f aca="false">IFERROR('dens_visc_beta+mibk'!A28,"")</f>
        <v/>
      </c>
      <c r="H227" s="1" t="n">
        <f aca="false">IFERROR('dens_visc_beta+mibk'!B28,"")</f>
        <v>0.87562</v>
      </c>
      <c r="I227" s="1" t="str">
        <f aca="false">IFERROR('dens_visc_beta+mibk'!G28,"")</f>
        <v/>
      </c>
      <c r="J227" s="1" t="n">
        <f aca="false">IFERROR('dens_visc_beta+mibk'!B42,"")</f>
        <v>1.681</v>
      </c>
      <c r="K227" s="1" t="str">
        <f aca="false">IF(AND(ISNUMBER(H227),ISNUMBER(I227),ISNUMBER(J227)),"✓",COUNTIF(H227:J227,"&gt;-999")&amp;"/3")</f>
        <v>2/3</v>
      </c>
    </row>
    <row r="228" customFormat="false" ht="15" hidden="false" customHeight="true" outlineLevel="0" collapsed="false">
      <c r="A228" s="1" t="s">
        <v>25</v>
      </c>
      <c r="B228" s="1" t="s">
        <v>12</v>
      </c>
      <c r="C228" s="1" t="s">
        <v>13</v>
      </c>
      <c r="D228" s="1" t="s">
        <v>26</v>
      </c>
      <c r="E228" s="1" t="s">
        <v>27</v>
      </c>
      <c r="F228" s="1" t="n">
        <f aca="false">IFERROR('dens_visc_beta+mibk'!B22,"")</f>
        <v>20</v>
      </c>
      <c r="G228" s="1" t="str">
        <f aca="false">IFERROR('dens_visc_beta+mibk'!A29,"")</f>
        <v/>
      </c>
      <c r="H228" s="1" t="n">
        <f aca="false">IFERROR('dens_visc_beta+mibk'!B29,"")</f>
        <v>0.88947</v>
      </c>
      <c r="I228" s="1" t="str">
        <f aca="false">IFERROR('dens_visc_beta+mibk'!G29,"")</f>
        <v/>
      </c>
      <c r="J228" s="1" t="n">
        <f aca="false">IFERROR('dens_visc_beta+mibk'!B43,"")</f>
        <v>2.205</v>
      </c>
      <c r="K228" s="1" t="str">
        <f aca="false">IF(AND(ISNUMBER(H228),ISNUMBER(I228),ISNUMBER(J228)),"✓",COUNTIF(H228:J228,"&gt;-999")&amp;"/3")</f>
        <v>2/3</v>
      </c>
    </row>
    <row r="229" customFormat="false" ht="15" hidden="false" customHeight="true" outlineLevel="0" collapsed="false">
      <c r="A229" s="1" t="s">
        <v>25</v>
      </c>
      <c r="B229" s="1" t="s">
        <v>12</v>
      </c>
      <c r="C229" s="1" t="s">
        <v>13</v>
      </c>
      <c r="D229" s="1" t="s">
        <v>26</v>
      </c>
      <c r="E229" s="1" t="s">
        <v>27</v>
      </c>
      <c r="F229" s="1" t="n">
        <f aca="false">IFERROR('dens_visc_beta+mibk'!B22,"")</f>
        <v>20</v>
      </c>
      <c r="G229" s="1" t="str">
        <f aca="false">IFERROR('dens_visc_beta+mibk'!A30,"")</f>
        <v/>
      </c>
      <c r="H229" s="1" t="n">
        <f aca="false">IFERROR('dens_visc_beta+mibk'!B30,"")</f>
        <v>0.90349</v>
      </c>
      <c r="I229" s="1" t="str">
        <f aca="false">IFERROR('dens_visc_beta+mibk'!G30,"")</f>
        <v/>
      </c>
      <c r="J229" s="1" t="n">
        <f aca="false">IFERROR('dens_visc_beta+mibk'!B44,"")</f>
        <v>2.98</v>
      </c>
      <c r="K229" s="1" t="str">
        <f aca="false">IF(AND(ISNUMBER(H229),ISNUMBER(I229),ISNUMBER(J229)),"✓",COUNTIF(H229:J229,"&gt;-999")&amp;"/3")</f>
        <v>2/3</v>
      </c>
    </row>
    <row r="230" customFormat="false" ht="15" hidden="false" customHeight="true" outlineLevel="0" collapsed="false">
      <c r="A230" s="1" t="s">
        <v>25</v>
      </c>
      <c r="B230" s="1" t="s">
        <v>12</v>
      </c>
      <c r="C230" s="1" t="s">
        <v>13</v>
      </c>
      <c r="D230" s="1" t="s">
        <v>26</v>
      </c>
      <c r="E230" s="1" t="s">
        <v>27</v>
      </c>
      <c r="F230" s="1" t="n">
        <f aca="false">IFERROR('dens_visc_beta+mibk'!B22,"")</f>
        <v>20</v>
      </c>
      <c r="G230" s="1" t="str">
        <f aca="false">IFERROR('dens_visc_beta+mibk'!A31,"")</f>
        <v/>
      </c>
      <c r="H230" s="1" t="n">
        <f aca="false">IFERROR('dens_visc_beta+mibk'!B31,"")</f>
        <v>0.91698</v>
      </c>
      <c r="I230" s="1" t="str">
        <f aca="false">IFERROR('dens_visc_beta+mibk'!G31,"")</f>
        <v/>
      </c>
      <c r="J230" s="1" t="n">
        <f aca="false">IFERROR('dens_visc_beta+mibk'!B45,"")</f>
        <v>4.251</v>
      </c>
      <c r="K230" s="1" t="str">
        <f aca="false">IF(AND(ISNUMBER(H230),ISNUMBER(I230),ISNUMBER(J230)),"✓",COUNTIF(H230:J230,"&gt;-999")&amp;"/3")</f>
        <v>2/3</v>
      </c>
    </row>
    <row r="231" customFormat="false" ht="15" hidden="false" customHeight="true" outlineLevel="0" collapsed="false">
      <c r="A231" s="1" t="s">
        <v>25</v>
      </c>
      <c r="B231" s="1" t="s">
        <v>12</v>
      </c>
      <c r="C231" s="1" t="s">
        <v>13</v>
      </c>
      <c r="D231" s="1" t="s">
        <v>26</v>
      </c>
      <c r="E231" s="1" t="s">
        <v>27</v>
      </c>
      <c r="F231" s="1" t="n">
        <f aca="false">IFERROR('dens_visc_beta+mibk'!B22,"")</f>
        <v>20</v>
      </c>
      <c r="G231" s="1" t="str">
        <f aca="false">IFERROR('dens_visc_beta+mibk'!A32,"")</f>
        <v/>
      </c>
      <c r="H231" s="1" t="n">
        <f aca="false">IFERROR('dens_visc_beta+mibk'!B32,"")</f>
        <v>0.9306</v>
      </c>
      <c r="I231" s="1" t="str">
        <f aca="false">IFERROR('dens_visc_beta+mibk'!G32,"")</f>
        <v/>
      </c>
      <c r="J231" s="1" t="n">
        <f aca="false">IFERROR('dens_visc_beta+mibk'!B46,"")</f>
        <v>6.532</v>
      </c>
      <c r="K231" s="1" t="str">
        <f aca="false">IF(AND(ISNUMBER(H231),ISNUMBER(I231),ISNUMBER(J231)),"✓",COUNTIF(H231:J231,"&gt;-999")&amp;"/3")</f>
        <v>2/3</v>
      </c>
    </row>
    <row r="232" customFormat="false" ht="15" hidden="false" customHeight="true" outlineLevel="0" collapsed="false">
      <c r="A232" s="1" t="s">
        <v>25</v>
      </c>
      <c r="B232" s="1" t="s">
        <v>12</v>
      </c>
      <c r="C232" s="1" t="s">
        <v>13</v>
      </c>
      <c r="D232" s="1" t="s">
        <v>26</v>
      </c>
      <c r="E232" s="1" t="s">
        <v>27</v>
      </c>
      <c r="F232" s="1" t="n">
        <f aca="false">IFERROR('dens_visc_beta+mibk'!B22,"")</f>
        <v>20</v>
      </c>
      <c r="G232" s="1" t="n">
        <f aca="false">IFERROR('dens_visc_beta+mibk'!A33,"")</f>
        <v>1</v>
      </c>
      <c r="H232" s="1" t="n">
        <f aca="false">IFERROR('dens_visc_beta+mibk'!B33,"")</f>
        <v>0.94498</v>
      </c>
      <c r="I232" s="1" t="n">
        <f aca="false">IFERROR('dens_visc_beta+mibk'!G33,"")</f>
        <v>0</v>
      </c>
      <c r="J232" s="1" t="n">
        <f aca="false">IFERROR('dens_visc_beta+mibk'!B47,"")</f>
        <v>11.31</v>
      </c>
      <c r="K232" s="1" t="str">
        <f aca="false">IF(AND(ISNUMBER(H232),ISNUMBER(I232),ISNUMBER(J232)),"✓",COUNTIF(H232:J232,"&gt;-999")&amp;"/3")</f>
        <v>✓</v>
      </c>
    </row>
    <row r="233" customFormat="false" ht="15" hidden="false" customHeight="true" outlineLevel="0" collapsed="false">
      <c r="A233" s="1" t="s">
        <v>25</v>
      </c>
      <c r="B233" s="1" t="s">
        <v>12</v>
      </c>
      <c r="C233" s="1" t="s">
        <v>13</v>
      </c>
      <c r="D233" s="1" t="s">
        <v>26</v>
      </c>
      <c r="E233" s="1" t="s">
        <v>27</v>
      </c>
      <c r="F233" s="1" t="n">
        <f aca="false">IFERROR('dens_visc_beta+mibk'!C22,"")</f>
        <v>30</v>
      </c>
      <c r="G233" s="1" t="n">
        <f aca="false">IFERROR('dens_visc_beta+mibk'!A23,"")</f>
        <v>0</v>
      </c>
      <c r="H233" s="4" t="n">
        <f aca="false">IFERROR('dens_visc_beta+mibk'!C23,"")</f>
        <v>0.79234</v>
      </c>
      <c r="I233" s="1" t="n">
        <f aca="false">IFERROR('dens_visc_beta+mibk'!H23,"")</f>
        <v>0</v>
      </c>
      <c r="J233" s="5" t="n">
        <f aca="false">IFERROR('dens_visc_beta+mibk'!C37,"")</f>
        <v>0.5218</v>
      </c>
      <c r="K233" s="1" t="str">
        <f aca="false">IF(AND(ISNUMBER(H233),ISNUMBER(I233),ISNUMBER(J233)),"✓",COUNTIF(H233:J233,"&gt;-999")&amp;"/3")</f>
        <v>✓</v>
      </c>
    </row>
    <row r="234" customFormat="false" ht="15" hidden="false" customHeight="true" outlineLevel="0" collapsed="false">
      <c r="A234" s="1" t="s">
        <v>25</v>
      </c>
      <c r="B234" s="1" t="s">
        <v>12</v>
      </c>
      <c r="C234" s="1" t="s">
        <v>13</v>
      </c>
      <c r="D234" s="1" t="s">
        <v>26</v>
      </c>
      <c r="E234" s="1" t="s">
        <v>27</v>
      </c>
      <c r="F234" s="1" t="n">
        <f aca="false">IFERROR('dens_visc_beta+mibk'!C22,"")</f>
        <v>30</v>
      </c>
      <c r="G234" s="1" t="str">
        <f aca="false">IFERROR('dens_visc_beta+mibk'!A24,"")</f>
        <v/>
      </c>
      <c r="H234" s="1" t="n">
        <f aca="false">IFERROR('dens_visc_beta+mibk'!C24,"")</f>
        <v>0.80775</v>
      </c>
      <c r="I234" s="1" t="str">
        <f aca="false">IFERROR('dens_visc_beta+mibk'!H24,"")</f>
        <v/>
      </c>
      <c r="J234" s="1" t="n">
        <f aca="false">IFERROR('dens_visc_beta+mibk'!C38,"")</f>
        <v>0.618</v>
      </c>
      <c r="K234" s="1" t="str">
        <f aca="false">IF(AND(ISNUMBER(H234),ISNUMBER(I234),ISNUMBER(J234)),"✓",COUNTIF(H234:J234,"&gt;-999")&amp;"/3")</f>
        <v>2/3</v>
      </c>
    </row>
    <row r="235" customFormat="false" ht="15" hidden="false" customHeight="true" outlineLevel="0" collapsed="false">
      <c r="A235" s="1" t="s">
        <v>25</v>
      </c>
      <c r="B235" s="1" t="s">
        <v>12</v>
      </c>
      <c r="C235" s="1" t="s">
        <v>13</v>
      </c>
      <c r="D235" s="1" t="s">
        <v>26</v>
      </c>
      <c r="E235" s="1" t="s">
        <v>27</v>
      </c>
      <c r="F235" s="1" t="n">
        <f aca="false">IFERROR('dens_visc_beta+mibk'!C22,"")</f>
        <v>30</v>
      </c>
      <c r="G235" s="1" t="str">
        <f aca="false">IFERROR('dens_visc_beta+mibk'!A25,"")</f>
        <v/>
      </c>
      <c r="H235" s="1" t="n">
        <f aca="false">IFERROR('dens_visc_beta+mibk'!C25,"")</f>
        <v>0.8223</v>
      </c>
      <c r="I235" s="1" t="str">
        <f aca="false">IFERROR('dens_visc_beta+mibk'!H25,"")</f>
        <v/>
      </c>
      <c r="J235" s="1" t="n">
        <f aca="false">IFERROR('dens_visc_beta+mibk'!C39,"")</f>
        <v>0.728</v>
      </c>
      <c r="K235" s="1" t="str">
        <f aca="false">IF(AND(ISNUMBER(H235),ISNUMBER(I235),ISNUMBER(J235)),"✓",COUNTIF(H235:J235,"&gt;-999")&amp;"/3")</f>
        <v>2/3</v>
      </c>
    </row>
    <row r="236" customFormat="false" ht="15" hidden="false" customHeight="true" outlineLevel="0" collapsed="false">
      <c r="A236" s="1" t="s">
        <v>25</v>
      </c>
      <c r="B236" s="1" t="s">
        <v>12</v>
      </c>
      <c r="C236" s="1" t="s">
        <v>13</v>
      </c>
      <c r="D236" s="1" t="s">
        <v>26</v>
      </c>
      <c r="E236" s="1" t="s">
        <v>27</v>
      </c>
      <c r="F236" s="1" t="n">
        <f aca="false">IFERROR('dens_visc_beta+mibk'!C22,"")</f>
        <v>30</v>
      </c>
      <c r="G236" s="1" t="str">
        <f aca="false">IFERROR('dens_visc_beta+mibk'!A26,"")</f>
        <v/>
      </c>
      <c r="H236" s="1" t="n">
        <f aca="false">IFERROR('dens_visc_beta+mibk'!C26,"")</f>
        <v>0.83692</v>
      </c>
      <c r="I236" s="1" t="str">
        <f aca="false">IFERROR('dens_visc_beta+mibk'!H26,"")</f>
        <v/>
      </c>
      <c r="J236" s="1" t="n">
        <f aca="false">IFERROR('dens_visc_beta+mibk'!C40,"")</f>
        <v>0.919</v>
      </c>
      <c r="K236" s="1" t="str">
        <f aca="false">IF(AND(ISNUMBER(H236),ISNUMBER(I236),ISNUMBER(J236)),"✓",COUNTIF(H236:J236,"&gt;-999")&amp;"/3")</f>
        <v>2/3</v>
      </c>
    </row>
    <row r="237" customFormat="false" ht="15" hidden="false" customHeight="true" outlineLevel="0" collapsed="false">
      <c r="A237" s="1" t="s">
        <v>25</v>
      </c>
      <c r="B237" s="1" t="s">
        <v>12</v>
      </c>
      <c r="C237" s="1" t="s">
        <v>13</v>
      </c>
      <c r="D237" s="1" t="s">
        <v>26</v>
      </c>
      <c r="E237" s="1" t="s">
        <v>27</v>
      </c>
      <c r="F237" s="1" t="n">
        <f aca="false">IFERROR('dens_visc_beta+mibk'!C22,"")</f>
        <v>30</v>
      </c>
      <c r="G237" s="1" t="str">
        <f aca="false">IFERROR('dens_visc_beta+mibk'!A27,"")</f>
        <v/>
      </c>
      <c r="H237" s="1" t="n">
        <f aca="false">IFERROR('dens_visc_beta+mibk'!C27,"")</f>
        <v>0.8519</v>
      </c>
      <c r="I237" s="1" t="str">
        <f aca="false">IFERROR('dens_visc_beta+mibk'!H27,"")</f>
        <v/>
      </c>
      <c r="J237" s="1" t="n">
        <f aca="false">IFERROR('dens_visc_beta+mibk'!C41,"")</f>
        <v>1.1</v>
      </c>
      <c r="K237" s="1" t="str">
        <f aca="false">IF(AND(ISNUMBER(H237),ISNUMBER(I237),ISNUMBER(J237)),"✓",COUNTIF(H237:J237,"&gt;-999")&amp;"/3")</f>
        <v>2/3</v>
      </c>
    </row>
    <row r="238" customFormat="false" ht="15" hidden="false" customHeight="true" outlineLevel="0" collapsed="false">
      <c r="A238" s="1" t="s">
        <v>25</v>
      </c>
      <c r="B238" s="1" t="s">
        <v>12</v>
      </c>
      <c r="C238" s="1" t="s">
        <v>13</v>
      </c>
      <c r="D238" s="1" t="s">
        <v>26</v>
      </c>
      <c r="E238" s="1" t="s">
        <v>27</v>
      </c>
      <c r="F238" s="1" t="n">
        <f aca="false">IFERROR('dens_visc_beta+mibk'!C22,"")</f>
        <v>30</v>
      </c>
      <c r="G238" s="1" t="str">
        <f aca="false">IFERROR('dens_visc_beta+mibk'!A28,"")</f>
        <v/>
      </c>
      <c r="H238" s="1" t="n">
        <f aca="false">IFERROR('dens_visc_beta+mibk'!C28,"")</f>
        <v>0.86721</v>
      </c>
      <c r="I238" s="1" t="str">
        <f aca="false">IFERROR('dens_visc_beta+mibk'!H28,"")</f>
        <v/>
      </c>
      <c r="J238" s="1" t="n">
        <f aca="false">IFERROR('dens_visc_beta+mibk'!C42,"")</f>
        <v>1.386</v>
      </c>
      <c r="K238" s="1" t="str">
        <f aca="false">IF(AND(ISNUMBER(H238),ISNUMBER(I238),ISNUMBER(J238)),"✓",COUNTIF(H238:J238,"&gt;-999")&amp;"/3")</f>
        <v>2/3</v>
      </c>
    </row>
    <row r="239" customFormat="false" ht="15" hidden="false" customHeight="true" outlineLevel="0" collapsed="false">
      <c r="A239" s="1" t="s">
        <v>25</v>
      </c>
      <c r="B239" s="1" t="s">
        <v>12</v>
      </c>
      <c r="C239" s="1" t="s">
        <v>13</v>
      </c>
      <c r="D239" s="1" t="s">
        <v>26</v>
      </c>
      <c r="E239" s="1" t="s">
        <v>27</v>
      </c>
      <c r="F239" s="1" t="n">
        <f aca="false">IFERROR('dens_visc_beta+mibk'!C22,"")</f>
        <v>30</v>
      </c>
      <c r="G239" s="1" t="str">
        <f aca="false">IFERROR('dens_visc_beta+mibk'!A29,"")</f>
        <v/>
      </c>
      <c r="H239" s="1" t="n">
        <f aca="false">IFERROR('dens_visc_beta+mibk'!C29,"")</f>
        <v>0.88119</v>
      </c>
      <c r="I239" s="1" t="str">
        <f aca="false">IFERROR('dens_visc_beta+mibk'!H29,"")</f>
        <v/>
      </c>
      <c r="J239" s="1" t="n">
        <f aca="false">IFERROR('dens_visc_beta+mibk'!C43,"")</f>
        <v>1.774</v>
      </c>
      <c r="K239" s="1" t="str">
        <f aca="false">IF(AND(ISNUMBER(H239),ISNUMBER(I239),ISNUMBER(J239)),"✓",COUNTIF(H239:J239,"&gt;-999")&amp;"/3")</f>
        <v>2/3</v>
      </c>
    </row>
    <row r="240" customFormat="false" ht="15" hidden="false" customHeight="true" outlineLevel="0" collapsed="false">
      <c r="A240" s="1" t="s">
        <v>25</v>
      </c>
      <c r="B240" s="1" t="s">
        <v>12</v>
      </c>
      <c r="C240" s="1" t="s">
        <v>13</v>
      </c>
      <c r="D240" s="1" t="s">
        <v>26</v>
      </c>
      <c r="E240" s="1" t="s">
        <v>27</v>
      </c>
      <c r="F240" s="1" t="n">
        <f aca="false">IFERROR('dens_visc_beta+mibk'!C22,"")</f>
        <v>30</v>
      </c>
      <c r="G240" s="1" t="str">
        <f aca="false">IFERROR('dens_visc_beta+mibk'!A30,"")</f>
        <v/>
      </c>
      <c r="H240" s="1" t="n">
        <f aca="false">IFERROR('dens_visc_beta+mibk'!C30,"")</f>
        <v>0.89533</v>
      </c>
      <c r="I240" s="1" t="str">
        <f aca="false">IFERROR('dens_visc_beta+mibk'!H30,"")</f>
        <v/>
      </c>
      <c r="J240" s="1" t="n">
        <f aca="false">IFERROR('dens_visc_beta+mibk'!C44,"")</f>
        <v>2.32</v>
      </c>
      <c r="K240" s="1" t="str">
        <f aca="false">IF(AND(ISNUMBER(H240),ISNUMBER(I240),ISNUMBER(J240)),"✓",COUNTIF(H240:J240,"&gt;-999")&amp;"/3")</f>
        <v>2/3</v>
      </c>
    </row>
    <row r="241" customFormat="false" ht="15" hidden="false" customHeight="true" outlineLevel="0" collapsed="false">
      <c r="A241" s="1" t="s">
        <v>25</v>
      </c>
      <c r="B241" s="1" t="s">
        <v>12</v>
      </c>
      <c r="C241" s="1" t="s">
        <v>13</v>
      </c>
      <c r="D241" s="1" t="s">
        <v>26</v>
      </c>
      <c r="E241" s="1" t="s">
        <v>27</v>
      </c>
      <c r="F241" s="1" t="n">
        <f aca="false">IFERROR('dens_visc_beta+mibk'!C22,"")</f>
        <v>30</v>
      </c>
      <c r="G241" s="1" t="str">
        <f aca="false">IFERROR('dens_visc_beta+mibk'!A31,"")</f>
        <v/>
      </c>
      <c r="H241" s="1" t="n">
        <f aca="false">IFERROR('dens_visc_beta+mibk'!C31,"")</f>
        <v>0.90893</v>
      </c>
      <c r="I241" s="1" t="str">
        <f aca="false">IFERROR('dens_visc_beta+mibk'!H31,"")</f>
        <v/>
      </c>
      <c r="J241" s="1" t="n">
        <f aca="false">IFERROR('dens_visc_beta+mibk'!C45,"")</f>
        <v>3.175</v>
      </c>
      <c r="K241" s="1" t="str">
        <f aca="false">IF(AND(ISNUMBER(H241),ISNUMBER(I241),ISNUMBER(J241)),"✓",COUNTIF(H241:J241,"&gt;-999")&amp;"/3")</f>
        <v>2/3</v>
      </c>
    </row>
    <row r="242" customFormat="false" ht="15" hidden="false" customHeight="true" outlineLevel="0" collapsed="false">
      <c r="A242" s="1" t="s">
        <v>25</v>
      </c>
      <c r="B242" s="1" t="s">
        <v>12</v>
      </c>
      <c r="C242" s="1" t="s">
        <v>13</v>
      </c>
      <c r="D242" s="1" t="s">
        <v>26</v>
      </c>
      <c r="E242" s="1" t="s">
        <v>27</v>
      </c>
      <c r="F242" s="1" t="n">
        <f aca="false">IFERROR('dens_visc_beta+mibk'!C22,"")</f>
        <v>30</v>
      </c>
      <c r="G242" s="1" t="str">
        <f aca="false">IFERROR('dens_visc_beta+mibk'!A32,"")</f>
        <v/>
      </c>
      <c r="H242" s="1" t="n">
        <f aca="false">IFERROR('dens_visc_beta+mibk'!C32,"")</f>
        <v>0.92266</v>
      </c>
      <c r="I242" s="1" t="str">
        <f aca="false">IFERROR('dens_visc_beta+mibk'!H32,"")</f>
        <v/>
      </c>
      <c r="J242" s="1" t="n">
        <f aca="false">IFERROR('dens_visc_beta+mibk'!C46,"")</f>
        <v>4.607</v>
      </c>
      <c r="K242" s="1" t="str">
        <f aca="false">IF(AND(ISNUMBER(H242),ISNUMBER(I242),ISNUMBER(J242)),"✓",COUNTIF(H242:J242,"&gt;-999")&amp;"/3")</f>
        <v>2/3</v>
      </c>
    </row>
    <row r="243" customFormat="false" ht="15" hidden="false" customHeight="true" outlineLevel="0" collapsed="false">
      <c r="A243" s="1" t="s">
        <v>25</v>
      </c>
      <c r="B243" s="1" t="s">
        <v>12</v>
      </c>
      <c r="C243" s="1" t="s">
        <v>13</v>
      </c>
      <c r="D243" s="1" t="s">
        <v>26</v>
      </c>
      <c r="E243" s="1" t="s">
        <v>27</v>
      </c>
      <c r="F243" s="1" t="n">
        <f aca="false">IFERROR('dens_visc_beta+mibk'!C22,"")</f>
        <v>30</v>
      </c>
      <c r="G243" s="1" t="n">
        <f aca="false">IFERROR('dens_visc_beta+mibk'!A33,"")</f>
        <v>1</v>
      </c>
      <c r="H243" s="1" t="n">
        <f aca="false">IFERROR('dens_visc_beta+mibk'!C33,"")</f>
        <v>0.93726</v>
      </c>
      <c r="I243" s="1" t="n">
        <f aca="false">IFERROR('dens_visc_beta+mibk'!H33,"")</f>
        <v>0</v>
      </c>
      <c r="J243" s="1" t="n">
        <f aca="false">IFERROR('dens_visc_beta+mibk'!C47,"")</f>
        <v>7.323</v>
      </c>
      <c r="K243" s="1" t="str">
        <f aca="false">IF(AND(ISNUMBER(H243),ISNUMBER(I243),ISNUMBER(J243)),"✓",COUNTIF(H243:J243,"&gt;-999")&amp;"/3")</f>
        <v>✓</v>
      </c>
    </row>
    <row r="244" customFormat="false" ht="15" hidden="false" customHeight="true" outlineLevel="0" collapsed="false">
      <c r="A244" s="1" t="s">
        <v>25</v>
      </c>
      <c r="B244" s="1" t="s">
        <v>12</v>
      </c>
      <c r="C244" s="1" t="s">
        <v>13</v>
      </c>
      <c r="D244" s="1" t="s">
        <v>26</v>
      </c>
      <c r="E244" s="1" t="s">
        <v>27</v>
      </c>
      <c r="F244" s="1" t="n">
        <f aca="false">IFERROR('dens_visc_beta+mibk'!D22,"")</f>
        <v>40</v>
      </c>
      <c r="G244" s="1" t="n">
        <f aca="false">IFERROR('dens_visc_beta+mibk'!A23,"")</f>
        <v>0</v>
      </c>
      <c r="H244" s="4" t="n">
        <f aca="false">IFERROR('dens_visc_beta+mibk'!D23,"")</f>
        <v>0.78314</v>
      </c>
      <c r="I244" s="1" t="n">
        <f aca="false">IFERROR('dens_visc_beta+mibk'!I23,"")</f>
        <v>0</v>
      </c>
      <c r="J244" s="5" t="n">
        <f aca="false">IFERROR('dens_visc_beta+mibk'!D37,"")</f>
        <v>0.46729</v>
      </c>
      <c r="K244" s="1" t="str">
        <f aca="false">IF(AND(ISNUMBER(H244),ISNUMBER(I244),ISNUMBER(J244)),"✓",COUNTIF(H244:J244,"&gt;-999")&amp;"/3")</f>
        <v>✓</v>
      </c>
    </row>
    <row r="245" customFormat="false" ht="15" hidden="false" customHeight="true" outlineLevel="0" collapsed="false">
      <c r="A245" s="1" t="s">
        <v>25</v>
      </c>
      <c r="B245" s="1" t="s">
        <v>12</v>
      </c>
      <c r="C245" s="1" t="s">
        <v>13</v>
      </c>
      <c r="D245" s="1" t="s">
        <v>26</v>
      </c>
      <c r="E245" s="1" t="s">
        <v>27</v>
      </c>
      <c r="F245" s="1" t="n">
        <f aca="false">IFERROR('dens_visc_beta+mibk'!D22,"")</f>
        <v>40</v>
      </c>
      <c r="G245" s="1" t="str">
        <f aca="false">IFERROR('dens_visc_beta+mibk'!A24,"")</f>
        <v/>
      </c>
      <c r="H245" s="1" t="n">
        <f aca="false">IFERROR('dens_visc_beta+mibk'!D24,"")</f>
        <v>0.79866</v>
      </c>
      <c r="I245" s="1" t="str">
        <f aca="false">IFERROR('dens_visc_beta+mibk'!I24,"")</f>
        <v/>
      </c>
      <c r="J245" s="1" t="n">
        <f aca="false">IFERROR('dens_visc_beta+mibk'!D38,"")</f>
        <v>0.549</v>
      </c>
      <c r="K245" s="1" t="str">
        <f aca="false">IF(AND(ISNUMBER(H245),ISNUMBER(I245),ISNUMBER(J245)),"✓",COUNTIF(H245:J245,"&gt;-999")&amp;"/3")</f>
        <v>2/3</v>
      </c>
    </row>
    <row r="246" customFormat="false" ht="15" hidden="false" customHeight="true" outlineLevel="0" collapsed="false">
      <c r="A246" s="1" t="s">
        <v>25</v>
      </c>
      <c r="B246" s="1" t="s">
        <v>12</v>
      </c>
      <c r="C246" s="1" t="s">
        <v>13</v>
      </c>
      <c r="D246" s="1" t="s">
        <v>26</v>
      </c>
      <c r="E246" s="1" t="s">
        <v>27</v>
      </c>
      <c r="F246" s="1" t="n">
        <f aca="false">IFERROR('dens_visc_beta+mibk'!D22,"")</f>
        <v>40</v>
      </c>
      <c r="G246" s="1" t="str">
        <f aca="false">IFERROR('dens_visc_beta+mibk'!A25,"")</f>
        <v/>
      </c>
      <c r="H246" s="1" t="n">
        <f aca="false">IFERROR('dens_visc_beta+mibk'!D25,"")</f>
        <v>0.81337</v>
      </c>
      <c r="I246" s="1" t="str">
        <f aca="false">IFERROR('dens_visc_beta+mibk'!I25,"")</f>
        <v/>
      </c>
      <c r="J246" s="1" t="n">
        <f aca="false">IFERROR('dens_visc_beta+mibk'!D39,"")</f>
        <v>0.639</v>
      </c>
      <c r="K246" s="1" t="str">
        <f aca="false">IF(AND(ISNUMBER(H246),ISNUMBER(I246),ISNUMBER(J246)),"✓",COUNTIF(H246:J246,"&gt;-999")&amp;"/3")</f>
        <v>2/3</v>
      </c>
    </row>
    <row r="247" customFormat="false" ht="15" hidden="false" customHeight="true" outlineLevel="0" collapsed="false">
      <c r="A247" s="1" t="s">
        <v>25</v>
      </c>
      <c r="B247" s="1" t="s">
        <v>12</v>
      </c>
      <c r="C247" s="1" t="s">
        <v>13</v>
      </c>
      <c r="D247" s="1" t="s">
        <v>26</v>
      </c>
      <c r="E247" s="1" t="s">
        <v>27</v>
      </c>
      <c r="F247" s="1" t="n">
        <f aca="false">IFERROR('dens_visc_beta+mibk'!D22,"")</f>
        <v>40</v>
      </c>
      <c r="G247" s="1" t="str">
        <f aca="false">IFERROR('dens_visc_beta+mibk'!A26,"")</f>
        <v/>
      </c>
      <c r="H247" s="1" t="n">
        <f aca="false">IFERROR('dens_visc_beta+mibk'!D26,"")</f>
        <v>0.82814</v>
      </c>
      <c r="I247" s="1" t="str">
        <f aca="false">IFERROR('dens_visc_beta+mibk'!I26,"")</f>
        <v/>
      </c>
      <c r="J247" s="1" t="n">
        <f aca="false">IFERROR('dens_visc_beta+mibk'!D40,"")</f>
        <v>0.795</v>
      </c>
      <c r="K247" s="1" t="str">
        <f aca="false">IF(AND(ISNUMBER(H247),ISNUMBER(I247),ISNUMBER(J247)),"✓",COUNTIF(H247:J247,"&gt;-999")&amp;"/3")</f>
        <v>2/3</v>
      </c>
    </row>
    <row r="248" customFormat="false" ht="15" hidden="false" customHeight="true" outlineLevel="0" collapsed="false">
      <c r="A248" s="1" t="s">
        <v>25</v>
      </c>
      <c r="B248" s="1" t="s">
        <v>12</v>
      </c>
      <c r="C248" s="1" t="s">
        <v>13</v>
      </c>
      <c r="D248" s="1" t="s">
        <v>26</v>
      </c>
      <c r="E248" s="1" t="s">
        <v>27</v>
      </c>
      <c r="F248" s="1" t="n">
        <f aca="false">IFERROR('dens_visc_beta+mibk'!D22,"")</f>
        <v>40</v>
      </c>
      <c r="G248" s="1" t="str">
        <f aca="false">IFERROR('dens_visc_beta+mibk'!A27,"")</f>
        <v/>
      </c>
      <c r="H248" s="1" t="n">
        <f aca="false">IFERROR('dens_visc_beta+mibk'!D27,"")</f>
        <v>0.84327</v>
      </c>
      <c r="I248" s="1" t="str">
        <f aca="false">IFERROR('dens_visc_beta+mibk'!I27,"")</f>
        <v/>
      </c>
      <c r="J248" s="1" t="n">
        <f aca="false">IFERROR('dens_visc_beta+mibk'!D41,"")</f>
        <v>0.942</v>
      </c>
      <c r="K248" s="1" t="str">
        <f aca="false">IF(AND(ISNUMBER(H248),ISNUMBER(I248),ISNUMBER(J248)),"✓",COUNTIF(H248:J248,"&gt;-999")&amp;"/3")</f>
        <v>2/3</v>
      </c>
    </row>
    <row r="249" customFormat="false" ht="15" hidden="false" customHeight="true" outlineLevel="0" collapsed="false">
      <c r="A249" s="1" t="s">
        <v>25</v>
      </c>
      <c r="B249" s="1" t="s">
        <v>12</v>
      </c>
      <c r="C249" s="1" t="s">
        <v>13</v>
      </c>
      <c r="D249" s="1" t="s">
        <v>26</v>
      </c>
      <c r="E249" s="1" t="s">
        <v>27</v>
      </c>
      <c r="F249" s="1" t="n">
        <f aca="false">IFERROR('dens_visc_beta+mibk'!D22,"")</f>
        <v>40</v>
      </c>
      <c r="G249" s="1" t="str">
        <f aca="false">IFERROR('dens_visc_beta+mibk'!A28,"")</f>
        <v/>
      </c>
      <c r="H249" s="1" t="n">
        <f aca="false">IFERROR('dens_visc_beta+mibk'!D28,"")</f>
        <v>0.85873</v>
      </c>
      <c r="I249" s="1" t="str">
        <f aca="false">IFERROR('dens_visc_beta+mibk'!I28,"")</f>
        <v/>
      </c>
      <c r="J249" s="1" t="n">
        <f aca="false">IFERROR('dens_visc_beta+mibk'!D42,"")</f>
        <v>1.168</v>
      </c>
      <c r="K249" s="1" t="str">
        <f aca="false">IF(AND(ISNUMBER(H249),ISNUMBER(I249),ISNUMBER(J249)),"✓",COUNTIF(H249:J249,"&gt;-999")&amp;"/3")</f>
        <v>2/3</v>
      </c>
    </row>
    <row r="250" customFormat="false" ht="15" hidden="false" customHeight="true" outlineLevel="0" collapsed="false">
      <c r="A250" s="1" t="s">
        <v>25</v>
      </c>
      <c r="B250" s="1" t="s">
        <v>12</v>
      </c>
      <c r="C250" s="1" t="s">
        <v>13</v>
      </c>
      <c r="D250" s="1" t="s">
        <v>26</v>
      </c>
      <c r="E250" s="1" t="s">
        <v>27</v>
      </c>
      <c r="F250" s="1" t="n">
        <f aca="false">IFERROR('dens_visc_beta+mibk'!D22,"")</f>
        <v>40</v>
      </c>
      <c r="G250" s="1" t="str">
        <f aca="false">IFERROR('dens_visc_beta+mibk'!A29,"")</f>
        <v/>
      </c>
      <c r="H250" s="1" t="n">
        <f aca="false">IFERROR('dens_visc_beta+mibk'!D29,"")</f>
        <v>0.87285</v>
      </c>
      <c r="I250" s="1" t="str">
        <f aca="false">IFERROR('dens_visc_beta+mibk'!I29,"")</f>
        <v/>
      </c>
      <c r="J250" s="1" t="n">
        <f aca="false">IFERROR('dens_visc_beta+mibk'!D43,"")</f>
        <v>1.464</v>
      </c>
      <c r="K250" s="1" t="str">
        <f aca="false">IF(AND(ISNUMBER(H250),ISNUMBER(I250),ISNUMBER(J250)),"✓",COUNTIF(H250:J250,"&gt;-999")&amp;"/3")</f>
        <v>2/3</v>
      </c>
    </row>
    <row r="251" customFormat="false" ht="15" hidden="false" customHeight="true" outlineLevel="0" collapsed="false">
      <c r="A251" s="1" t="s">
        <v>25</v>
      </c>
      <c r="B251" s="1" t="s">
        <v>12</v>
      </c>
      <c r="C251" s="1" t="s">
        <v>13</v>
      </c>
      <c r="D251" s="1" t="s">
        <v>26</v>
      </c>
      <c r="E251" s="1" t="s">
        <v>27</v>
      </c>
      <c r="F251" s="1" t="n">
        <f aca="false">IFERROR('dens_visc_beta+mibk'!D22,"")</f>
        <v>40</v>
      </c>
      <c r="G251" s="1" t="str">
        <f aca="false">IFERROR('dens_visc_beta+mibk'!A30,"")</f>
        <v/>
      </c>
      <c r="H251" s="1" t="n">
        <f aca="false">IFERROR('dens_visc_beta+mibk'!D30,"")</f>
        <v>0.88712</v>
      </c>
      <c r="I251" s="1" t="str">
        <f aca="false">IFERROR('dens_visc_beta+mibk'!I30,"")</f>
        <v/>
      </c>
      <c r="J251" s="1" t="n">
        <f aca="false">IFERROR('dens_visc_beta+mibk'!D44,"")</f>
        <v>1.865</v>
      </c>
      <c r="K251" s="1" t="str">
        <f aca="false">IF(AND(ISNUMBER(H251),ISNUMBER(I251),ISNUMBER(J251)),"✓",COUNTIF(H251:J251,"&gt;-999")&amp;"/3")</f>
        <v>2/3</v>
      </c>
    </row>
    <row r="252" customFormat="false" ht="15" hidden="false" customHeight="true" outlineLevel="0" collapsed="false">
      <c r="A252" s="1" t="s">
        <v>25</v>
      </c>
      <c r="B252" s="1" t="s">
        <v>12</v>
      </c>
      <c r="C252" s="1" t="s">
        <v>13</v>
      </c>
      <c r="D252" s="1" t="s">
        <v>26</v>
      </c>
      <c r="E252" s="1" t="s">
        <v>27</v>
      </c>
      <c r="F252" s="1" t="n">
        <f aca="false">IFERROR('dens_visc_beta+mibk'!D22,"")</f>
        <v>40</v>
      </c>
      <c r="G252" s="1" t="str">
        <f aca="false">IFERROR('dens_visc_beta+mibk'!A31,"")</f>
        <v/>
      </c>
      <c r="H252" s="1" t="n">
        <f aca="false">IFERROR('dens_visc_beta+mibk'!D31,"")</f>
        <v>0.90086</v>
      </c>
      <c r="I252" s="1" t="str">
        <f aca="false">IFERROR('dens_visc_beta+mibk'!I31,"")</f>
        <v/>
      </c>
      <c r="J252" s="1" t="n">
        <f aca="false">IFERROR('dens_visc_beta+mibk'!D45,"")</f>
        <v>2.471</v>
      </c>
      <c r="K252" s="1" t="str">
        <f aca="false">IF(AND(ISNUMBER(H252),ISNUMBER(I252),ISNUMBER(J252)),"✓",COUNTIF(H252:J252,"&gt;-999")&amp;"/3")</f>
        <v>2/3</v>
      </c>
    </row>
    <row r="253" customFormat="false" ht="15" hidden="false" customHeight="true" outlineLevel="0" collapsed="false">
      <c r="A253" s="1" t="s">
        <v>25</v>
      </c>
      <c r="B253" s="1" t="s">
        <v>12</v>
      </c>
      <c r="C253" s="1" t="s">
        <v>13</v>
      </c>
      <c r="D253" s="1" t="s">
        <v>26</v>
      </c>
      <c r="E253" s="1" t="s">
        <v>27</v>
      </c>
      <c r="F253" s="1" t="n">
        <f aca="false">IFERROR('dens_visc_beta+mibk'!D22,"")</f>
        <v>40</v>
      </c>
      <c r="G253" s="1" t="str">
        <f aca="false">IFERROR('dens_visc_beta+mibk'!A32,"")</f>
        <v/>
      </c>
      <c r="H253" s="1" t="n">
        <f aca="false">IFERROR('dens_visc_beta+mibk'!D32,"")</f>
        <v>0.91471</v>
      </c>
      <c r="I253" s="1" t="str">
        <f aca="false">IFERROR('dens_visc_beta+mibk'!I32,"")</f>
        <v/>
      </c>
      <c r="J253" s="1" t="n">
        <f aca="false">IFERROR('dens_visc_beta+mibk'!D46,"")</f>
        <v>3.431</v>
      </c>
      <c r="K253" s="1" t="str">
        <f aca="false">IF(AND(ISNUMBER(H253),ISNUMBER(I253),ISNUMBER(J253)),"✓",COUNTIF(H253:J253,"&gt;-999")&amp;"/3")</f>
        <v>2/3</v>
      </c>
    </row>
    <row r="254" customFormat="false" ht="15" hidden="false" customHeight="true" outlineLevel="0" collapsed="false">
      <c r="A254" s="1" t="s">
        <v>25</v>
      </c>
      <c r="B254" s="1" t="s">
        <v>12</v>
      </c>
      <c r="C254" s="1" t="s">
        <v>13</v>
      </c>
      <c r="D254" s="1" t="s">
        <v>26</v>
      </c>
      <c r="E254" s="1" t="s">
        <v>27</v>
      </c>
      <c r="F254" s="1" t="n">
        <f aca="false">IFERROR('dens_visc_beta+mibk'!D22,"")</f>
        <v>40</v>
      </c>
      <c r="G254" s="1" t="n">
        <f aca="false">IFERROR('dens_visc_beta+mibk'!A33,"")</f>
        <v>1</v>
      </c>
      <c r="H254" s="1" t="n">
        <f aca="false">IFERROR('dens_visc_beta+mibk'!D33,"")</f>
        <v>0.9295</v>
      </c>
      <c r="I254" s="1" t="n">
        <f aca="false">IFERROR('dens_visc_beta+mibk'!I33,"")</f>
        <v>0</v>
      </c>
      <c r="J254" s="1" t="n">
        <f aca="false">IFERROR('dens_visc_beta+mibk'!D47,"")</f>
        <v>5.121</v>
      </c>
      <c r="K254" s="1" t="str">
        <f aca="false">IF(AND(ISNUMBER(H254),ISNUMBER(I254),ISNUMBER(J254)),"✓",COUNTIF(H254:J254,"&gt;-999")&amp;"/3")</f>
        <v>✓</v>
      </c>
    </row>
    <row r="255" customFormat="false" ht="15" hidden="false" customHeight="true" outlineLevel="0" collapsed="false">
      <c r="A255" s="1" t="s">
        <v>25</v>
      </c>
      <c r="B255" s="1" t="s">
        <v>12</v>
      </c>
      <c r="C255" s="1" t="s">
        <v>13</v>
      </c>
      <c r="D255" s="1" t="s">
        <v>26</v>
      </c>
      <c r="E255" s="1" t="s">
        <v>27</v>
      </c>
      <c r="F255" s="1" t="n">
        <f aca="false">IFERROR('dens_visc_beta+mibk'!E22,"")</f>
        <v>50</v>
      </c>
      <c r="G255" s="1" t="n">
        <f aca="false">IFERROR('dens_visc_beta+mibk'!A23,"")</f>
        <v>0</v>
      </c>
      <c r="H255" s="4" t="n">
        <f aca="false">IFERROR('dens_visc_beta+mibk'!E23,"")</f>
        <v>0.77383</v>
      </c>
      <c r="I255" s="1" t="n">
        <f aca="false">IFERROR('dens_visc_beta+mibk'!J23,"")</f>
        <v>0</v>
      </c>
      <c r="J255" s="5" t="n">
        <f aca="false">IFERROR('dens_visc_beta+mibk'!E37,"")</f>
        <v>0.42305</v>
      </c>
      <c r="K255" s="1" t="str">
        <f aca="false">IF(AND(ISNUMBER(H255),ISNUMBER(I255),ISNUMBER(J255)),"✓",COUNTIF(H255:J255,"&gt;-999")&amp;"/3")</f>
        <v>✓</v>
      </c>
    </row>
    <row r="256" customFormat="false" ht="15" hidden="false" customHeight="true" outlineLevel="0" collapsed="false">
      <c r="A256" s="1" t="s">
        <v>25</v>
      </c>
      <c r="B256" s="1" t="s">
        <v>12</v>
      </c>
      <c r="C256" s="1" t="s">
        <v>13</v>
      </c>
      <c r="D256" s="1" t="s">
        <v>26</v>
      </c>
      <c r="E256" s="1" t="s">
        <v>27</v>
      </c>
      <c r="F256" s="1" t="n">
        <f aca="false">IFERROR('dens_visc_beta+mibk'!E22,"")</f>
        <v>50</v>
      </c>
      <c r="G256" s="1" t="str">
        <f aca="false">IFERROR('dens_visc_beta+mibk'!A24,"")</f>
        <v/>
      </c>
      <c r="H256" s="1" t="n">
        <f aca="false">IFERROR('dens_visc_beta+mibk'!E24,"")</f>
        <v>0.7895</v>
      </c>
      <c r="I256" s="1" t="str">
        <f aca="false">IFERROR('dens_visc_beta+mibk'!J24,"")</f>
        <v/>
      </c>
      <c r="J256" s="1" t="n">
        <f aca="false">IFERROR('dens_visc_beta+mibk'!E38,"")</f>
        <v>0.49</v>
      </c>
      <c r="K256" s="1" t="str">
        <f aca="false">IF(AND(ISNUMBER(H256),ISNUMBER(I256),ISNUMBER(J256)),"✓",COUNTIF(H256:J256,"&gt;-999")&amp;"/3")</f>
        <v>2/3</v>
      </c>
    </row>
    <row r="257" customFormat="false" ht="15" hidden="false" customHeight="true" outlineLevel="0" collapsed="false">
      <c r="A257" s="1" t="s">
        <v>25</v>
      </c>
      <c r="B257" s="1" t="s">
        <v>12</v>
      </c>
      <c r="C257" s="1" t="s">
        <v>13</v>
      </c>
      <c r="D257" s="1" t="s">
        <v>26</v>
      </c>
      <c r="E257" s="1" t="s">
        <v>27</v>
      </c>
      <c r="F257" s="1" t="n">
        <f aca="false">IFERROR('dens_visc_beta+mibk'!E22,"")</f>
        <v>50</v>
      </c>
      <c r="G257" s="1" t="str">
        <f aca="false">IFERROR('dens_visc_beta+mibk'!A25,"")</f>
        <v/>
      </c>
      <c r="H257" s="1" t="n">
        <f aca="false">IFERROR('dens_visc_beta+mibk'!E25,"")</f>
        <v>0.80438</v>
      </c>
      <c r="I257" s="1" t="str">
        <f aca="false">IFERROR('dens_visc_beta+mibk'!J25,"")</f>
        <v/>
      </c>
      <c r="J257" s="1" t="n">
        <f aca="false">IFERROR('dens_visc_beta+mibk'!E39,"")</f>
        <v>0.567</v>
      </c>
      <c r="K257" s="1" t="str">
        <f aca="false">IF(AND(ISNUMBER(H257),ISNUMBER(I257),ISNUMBER(J257)),"✓",COUNTIF(H257:J257,"&gt;-999")&amp;"/3")</f>
        <v>2/3</v>
      </c>
    </row>
    <row r="258" customFormat="false" ht="15" hidden="false" customHeight="true" outlineLevel="0" collapsed="false">
      <c r="A258" s="1" t="s">
        <v>25</v>
      </c>
      <c r="B258" s="1" t="s">
        <v>12</v>
      </c>
      <c r="C258" s="1" t="s">
        <v>13</v>
      </c>
      <c r="D258" s="1" t="s">
        <v>26</v>
      </c>
      <c r="E258" s="1" t="s">
        <v>27</v>
      </c>
      <c r="F258" s="1" t="n">
        <f aca="false">IFERROR('dens_visc_beta+mibk'!E22,"")</f>
        <v>50</v>
      </c>
      <c r="G258" s="1" t="str">
        <f aca="false">IFERROR('dens_visc_beta+mibk'!A26,"")</f>
        <v/>
      </c>
      <c r="H258" s="1" t="n">
        <f aca="false">IFERROR('dens_visc_beta+mibk'!E26,"")</f>
        <v>0.81931</v>
      </c>
      <c r="I258" s="1" t="str">
        <f aca="false">IFERROR('dens_visc_beta+mibk'!J26,"")</f>
        <v/>
      </c>
      <c r="J258" s="1" t="n">
        <f aca="false">IFERROR('dens_visc_beta+mibk'!E40,"")</f>
        <v>0.696</v>
      </c>
      <c r="K258" s="1" t="str">
        <f aca="false">IF(AND(ISNUMBER(H258),ISNUMBER(I258),ISNUMBER(J258)),"✓",COUNTIF(H258:J258,"&gt;-999")&amp;"/3")</f>
        <v>2/3</v>
      </c>
    </row>
    <row r="259" customFormat="false" ht="15" hidden="false" customHeight="true" outlineLevel="0" collapsed="false">
      <c r="A259" s="1" t="s">
        <v>25</v>
      </c>
      <c r="B259" s="1" t="s">
        <v>12</v>
      </c>
      <c r="C259" s="1" t="s">
        <v>13</v>
      </c>
      <c r="D259" s="1" t="s">
        <v>26</v>
      </c>
      <c r="E259" s="1" t="s">
        <v>27</v>
      </c>
      <c r="F259" s="1" t="n">
        <f aca="false">IFERROR('dens_visc_beta+mibk'!E22,"")</f>
        <v>50</v>
      </c>
      <c r="G259" s="1" t="str">
        <f aca="false">IFERROR('dens_visc_beta+mibk'!A27,"")</f>
        <v/>
      </c>
      <c r="H259" s="1" t="n">
        <f aca="false">IFERROR('dens_visc_beta+mibk'!E27,"")</f>
        <v>0.8346</v>
      </c>
      <c r="I259" s="1" t="str">
        <f aca="false">IFERROR('dens_visc_beta+mibk'!J27,"")</f>
        <v/>
      </c>
      <c r="J259" s="1" t="n">
        <f aca="false">IFERROR('dens_visc_beta+mibk'!E41,"")</f>
        <v>0.819</v>
      </c>
      <c r="K259" s="1" t="str">
        <f aca="false">IF(AND(ISNUMBER(H259),ISNUMBER(I259),ISNUMBER(J259)),"✓",COUNTIF(H259:J259,"&gt;-999")&amp;"/3")</f>
        <v>2/3</v>
      </c>
    </row>
    <row r="260" customFormat="false" ht="15" hidden="false" customHeight="true" outlineLevel="0" collapsed="false">
      <c r="A260" s="1" t="s">
        <v>25</v>
      </c>
      <c r="B260" s="1" t="s">
        <v>12</v>
      </c>
      <c r="C260" s="1" t="s">
        <v>13</v>
      </c>
      <c r="D260" s="1" t="s">
        <v>26</v>
      </c>
      <c r="E260" s="1" t="s">
        <v>27</v>
      </c>
      <c r="F260" s="1" t="n">
        <f aca="false">IFERROR('dens_visc_beta+mibk'!E22,"")</f>
        <v>50</v>
      </c>
      <c r="G260" s="1" t="str">
        <f aca="false">IFERROR('dens_visc_beta+mibk'!A28,"")</f>
        <v/>
      </c>
      <c r="H260" s="1" t="n">
        <f aca="false">IFERROR('dens_visc_beta+mibk'!E28,"")</f>
        <v>0.85022</v>
      </c>
      <c r="I260" s="1" t="str">
        <f aca="false">IFERROR('dens_visc_beta+mibk'!J28,"")</f>
        <v/>
      </c>
      <c r="J260" s="1" t="n">
        <f aca="false">IFERROR('dens_visc_beta+mibk'!E42,"")</f>
        <v>1.001</v>
      </c>
      <c r="K260" s="1" t="str">
        <f aca="false">IF(AND(ISNUMBER(H260),ISNUMBER(I260),ISNUMBER(J260)),"✓",COUNTIF(H260:J260,"&gt;-999")&amp;"/3")</f>
        <v>2/3</v>
      </c>
    </row>
    <row r="261" customFormat="false" ht="15" hidden="false" customHeight="true" outlineLevel="0" collapsed="false">
      <c r="A261" s="1" t="s">
        <v>25</v>
      </c>
      <c r="B261" s="1" t="s">
        <v>12</v>
      </c>
      <c r="C261" s="1" t="s">
        <v>13</v>
      </c>
      <c r="D261" s="1" t="s">
        <v>26</v>
      </c>
      <c r="E261" s="1" t="s">
        <v>27</v>
      </c>
      <c r="F261" s="1" t="n">
        <f aca="false">IFERROR('dens_visc_beta+mibk'!E22,"")</f>
        <v>50</v>
      </c>
      <c r="G261" s="1" t="str">
        <f aca="false">IFERROR('dens_visc_beta+mibk'!A29,"")</f>
        <v/>
      </c>
      <c r="H261" s="1" t="n">
        <f aca="false">IFERROR('dens_visc_beta+mibk'!E29,"")</f>
        <v>0.86448</v>
      </c>
      <c r="I261" s="1" t="str">
        <f aca="false">IFERROR('dens_visc_beta+mibk'!J29,"")</f>
        <v/>
      </c>
      <c r="J261" s="1" t="n">
        <f aca="false">IFERROR('dens_visc_beta+mibk'!E43,"")</f>
        <v>1.232</v>
      </c>
      <c r="K261" s="1" t="str">
        <f aca="false">IF(AND(ISNUMBER(H261),ISNUMBER(I261),ISNUMBER(J261)),"✓",COUNTIF(H261:J261,"&gt;-999")&amp;"/3")</f>
        <v>2/3</v>
      </c>
    </row>
    <row r="262" customFormat="false" ht="15" hidden="false" customHeight="true" outlineLevel="0" collapsed="false">
      <c r="A262" s="1" t="s">
        <v>25</v>
      </c>
      <c r="B262" s="1" t="s">
        <v>12</v>
      </c>
      <c r="C262" s="1" t="s">
        <v>13</v>
      </c>
      <c r="D262" s="1" t="s">
        <v>26</v>
      </c>
      <c r="E262" s="1" t="s">
        <v>27</v>
      </c>
      <c r="F262" s="1" t="n">
        <f aca="false">IFERROR('dens_visc_beta+mibk'!E22,"")</f>
        <v>50</v>
      </c>
      <c r="G262" s="1" t="str">
        <f aca="false">IFERROR('dens_visc_beta+mibk'!A30,"")</f>
        <v/>
      </c>
      <c r="H262" s="1" t="n">
        <f aca="false">IFERROR('dens_visc_beta+mibk'!E30,"")</f>
        <v>0.8789</v>
      </c>
      <c r="I262" s="1" t="str">
        <f aca="false">IFERROR('dens_visc_beta+mibk'!J30,"")</f>
        <v/>
      </c>
      <c r="J262" s="1" t="n">
        <f aca="false">IFERROR('dens_visc_beta+mibk'!E44,"")</f>
        <v>1.539</v>
      </c>
      <c r="K262" s="1" t="str">
        <f aca="false">IF(AND(ISNUMBER(H262),ISNUMBER(I262),ISNUMBER(J262)),"✓",COUNTIF(H262:J262,"&gt;-999")&amp;"/3")</f>
        <v>2/3</v>
      </c>
    </row>
    <row r="263" customFormat="false" ht="15" hidden="false" customHeight="true" outlineLevel="0" collapsed="false">
      <c r="A263" s="1" t="s">
        <v>25</v>
      </c>
      <c r="B263" s="1" t="s">
        <v>12</v>
      </c>
      <c r="C263" s="1" t="s">
        <v>13</v>
      </c>
      <c r="D263" s="1" t="s">
        <v>26</v>
      </c>
      <c r="E263" s="1" t="s">
        <v>27</v>
      </c>
      <c r="F263" s="1" t="n">
        <f aca="false">IFERROR('dens_visc_beta+mibk'!E22,"")</f>
        <v>50</v>
      </c>
      <c r="G263" s="1" t="str">
        <f aca="false">IFERROR('dens_visc_beta+mibk'!A31,"")</f>
        <v/>
      </c>
      <c r="H263" s="1" t="n">
        <f aca="false">IFERROR('dens_visc_beta+mibk'!E31,"")</f>
        <v>0.89277</v>
      </c>
      <c r="I263" s="1" t="str">
        <f aca="false">IFERROR('dens_visc_beta+mibk'!J31,"")</f>
        <v/>
      </c>
      <c r="J263" s="1" t="n">
        <f aca="false">IFERROR('dens_visc_beta+mibk'!E45,"")</f>
        <v>1.987</v>
      </c>
      <c r="K263" s="1" t="str">
        <f aca="false">IF(AND(ISNUMBER(H263),ISNUMBER(I263),ISNUMBER(J263)),"✓",COUNTIF(H263:J263,"&gt;-999")&amp;"/3")</f>
        <v>2/3</v>
      </c>
    </row>
    <row r="264" customFormat="false" ht="15" hidden="false" customHeight="true" outlineLevel="0" collapsed="false">
      <c r="A264" s="1" t="s">
        <v>25</v>
      </c>
      <c r="B264" s="1" t="s">
        <v>12</v>
      </c>
      <c r="C264" s="1" t="s">
        <v>13</v>
      </c>
      <c r="D264" s="1" t="s">
        <v>26</v>
      </c>
      <c r="E264" s="1" t="s">
        <v>27</v>
      </c>
      <c r="F264" s="1" t="n">
        <f aca="false">IFERROR('dens_visc_beta+mibk'!E22,"")</f>
        <v>50</v>
      </c>
      <c r="G264" s="1" t="str">
        <f aca="false">IFERROR('dens_visc_beta+mibk'!A32,"")</f>
        <v/>
      </c>
      <c r="H264" s="1" t="n">
        <f aca="false">IFERROR('dens_visc_beta+mibk'!E32,"")</f>
        <v>0.90674</v>
      </c>
      <c r="I264" s="1" t="str">
        <f aca="false">IFERROR('dens_visc_beta+mibk'!J32,"")</f>
        <v/>
      </c>
      <c r="J264" s="1" t="n">
        <f aca="false">IFERROR('dens_visc_beta+mibk'!E46,"")</f>
        <v>2.665</v>
      </c>
      <c r="K264" s="1" t="str">
        <f aca="false">IF(AND(ISNUMBER(H264),ISNUMBER(I264),ISNUMBER(J264)),"✓",COUNTIF(H264:J264,"&gt;-999")&amp;"/3")</f>
        <v>2/3</v>
      </c>
    </row>
    <row r="265" customFormat="false" ht="15" hidden="false" customHeight="true" outlineLevel="0" collapsed="false">
      <c r="A265" s="1" t="s">
        <v>25</v>
      </c>
      <c r="B265" s="1" t="s">
        <v>12</v>
      </c>
      <c r="C265" s="1" t="s">
        <v>13</v>
      </c>
      <c r="D265" s="1" t="s">
        <v>26</v>
      </c>
      <c r="E265" s="1" t="s">
        <v>27</v>
      </c>
      <c r="F265" s="1" t="n">
        <f aca="false">IFERROR('dens_visc_beta+mibk'!E22,"")</f>
        <v>50</v>
      </c>
      <c r="G265" s="1" t="n">
        <f aca="false">IFERROR('dens_visc_beta+mibk'!A33,"")</f>
        <v>1</v>
      </c>
      <c r="H265" s="1" t="n">
        <f aca="false">IFERROR('dens_visc_beta+mibk'!E33,"")</f>
        <v>0.92172</v>
      </c>
      <c r="I265" s="1" t="n">
        <f aca="false">IFERROR('dens_visc_beta+mibk'!J33,"")</f>
        <v>0</v>
      </c>
      <c r="J265" s="1" t="n">
        <f aca="false">IFERROR('dens_visc_beta+mibk'!E47,"")</f>
        <v>3.792</v>
      </c>
      <c r="K265" s="1" t="str">
        <f aca="false">IF(AND(ISNUMBER(H265),ISNUMBER(I265),ISNUMBER(J265)),"✓",COUNTIF(H265:J265,"&gt;-999")&amp;"/3")</f>
        <v>✓</v>
      </c>
    </row>
    <row r="266" customFormat="false" ht="15" hidden="false" customHeight="true" outlineLevel="0" collapsed="false">
      <c r="A266" s="1" t="s">
        <v>25</v>
      </c>
      <c r="B266" s="1" t="s">
        <v>12</v>
      </c>
      <c r="C266" s="1" t="s">
        <v>13</v>
      </c>
      <c r="D266" s="1" t="s">
        <v>26</v>
      </c>
      <c r="E266" s="1" t="s">
        <v>27</v>
      </c>
      <c r="F266" s="1" t="n">
        <f aca="false">IFERROR('dens_visc_beta+mibk'!F22,"")</f>
        <v>60</v>
      </c>
      <c r="G266" s="1" t="n">
        <f aca="false">IFERROR('dens_visc_beta+mibk'!A23,"")</f>
        <v>0</v>
      </c>
      <c r="H266" s="4" t="n">
        <f aca="false">IFERROR('dens_visc_beta+mibk'!F23,"")</f>
        <v>0.76444</v>
      </c>
      <c r="I266" s="1" t="n">
        <f aca="false">IFERROR('dens_visc_beta+mibk'!K23,"")</f>
        <v>0</v>
      </c>
      <c r="J266" s="5" t="n">
        <f aca="false">IFERROR('dens_visc_beta+mibk'!F37,"")</f>
        <v>0.38771</v>
      </c>
      <c r="K266" s="1" t="str">
        <f aca="false">IF(AND(ISNUMBER(H266),ISNUMBER(I266),ISNUMBER(J266)),"✓",COUNTIF(H266:J266,"&gt;-999")&amp;"/3")</f>
        <v>✓</v>
      </c>
    </row>
    <row r="267" customFormat="false" ht="15" hidden="false" customHeight="true" outlineLevel="0" collapsed="false">
      <c r="A267" s="1" t="s">
        <v>25</v>
      </c>
      <c r="B267" s="1" t="s">
        <v>12</v>
      </c>
      <c r="C267" s="1" t="s">
        <v>13</v>
      </c>
      <c r="D267" s="1" t="s">
        <v>26</v>
      </c>
      <c r="E267" s="1" t="s">
        <v>27</v>
      </c>
      <c r="F267" s="1" t="n">
        <f aca="false">IFERROR('dens_visc_beta+mibk'!F22,"")</f>
        <v>60</v>
      </c>
      <c r="G267" s="1" t="str">
        <f aca="false">IFERROR('dens_visc_beta+mibk'!A24,"")</f>
        <v/>
      </c>
      <c r="H267" s="1" t="n">
        <f aca="false">IFERROR('dens_visc_beta+mibk'!F24,"")</f>
        <v>0.78026</v>
      </c>
      <c r="I267" s="1" t="str">
        <f aca="false">IFERROR('dens_visc_beta+mibk'!K24,"")</f>
        <v/>
      </c>
      <c r="J267" s="1" t="n">
        <f aca="false">IFERROR('dens_visc_beta+mibk'!F38,"")</f>
        <v>0.442</v>
      </c>
      <c r="K267" s="1" t="str">
        <f aca="false">IF(AND(ISNUMBER(H267),ISNUMBER(I267),ISNUMBER(J267)),"✓",COUNTIF(H267:J267,"&gt;-999")&amp;"/3")</f>
        <v>2/3</v>
      </c>
    </row>
    <row r="268" customFormat="false" ht="15" hidden="false" customHeight="true" outlineLevel="0" collapsed="false">
      <c r="A268" s="1" t="s">
        <v>25</v>
      </c>
      <c r="B268" s="1" t="s">
        <v>12</v>
      </c>
      <c r="C268" s="1" t="s">
        <v>13</v>
      </c>
      <c r="D268" s="1" t="s">
        <v>26</v>
      </c>
      <c r="E268" s="1" t="s">
        <v>27</v>
      </c>
      <c r="F268" s="1" t="n">
        <f aca="false">IFERROR('dens_visc_beta+mibk'!F22,"")</f>
        <v>60</v>
      </c>
      <c r="G268" s="1" t="str">
        <f aca="false">IFERROR('dens_visc_beta+mibk'!A25,"")</f>
        <v/>
      </c>
      <c r="H268" s="1" t="n">
        <f aca="false">IFERROR('dens_visc_beta+mibk'!F25,"")</f>
        <v>0.79532</v>
      </c>
      <c r="I268" s="1" t="str">
        <f aca="false">IFERROR('dens_visc_beta+mibk'!K25,"")</f>
        <v/>
      </c>
      <c r="J268" s="1" t="n">
        <f aca="false">IFERROR('dens_visc_beta+mibk'!F39,"")</f>
        <v>0.508</v>
      </c>
      <c r="K268" s="1" t="str">
        <f aca="false">IF(AND(ISNUMBER(H268),ISNUMBER(I268),ISNUMBER(J268)),"✓",COUNTIF(H268:J268,"&gt;-999")&amp;"/3")</f>
        <v>2/3</v>
      </c>
    </row>
    <row r="269" customFormat="false" ht="15" hidden="false" customHeight="true" outlineLevel="0" collapsed="false">
      <c r="A269" s="1" t="s">
        <v>25</v>
      </c>
      <c r="B269" s="1" t="s">
        <v>12</v>
      </c>
      <c r="C269" s="1" t="s">
        <v>13</v>
      </c>
      <c r="D269" s="1" t="s">
        <v>26</v>
      </c>
      <c r="E269" s="1" t="s">
        <v>27</v>
      </c>
      <c r="F269" s="1" t="n">
        <f aca="false">IFERROR('dens_visc_beta+mibk'!F22,"")</f>
        <v>60</v>
      </c>
      <c r="G269" s="1" t="str">
        <f aca="false">IFERROR('dens_visc_beta+mibk'!A26,"")</f>
        <v/>
      </c>
      <c r="H269" s="1" t="n">
        <f aca="false">IFERROR('dens_visc_beta+mibk'!F26,"")</f>
        <v>0.81042</v>
      </c>
      <c r="I269" s="1" t="str">
        <f aca="false">IFERROR('dens_visc_beta+mibk'!K26,"")</f>
        <v/>
      </c>
      <c r="J269" s="1" t="n">
        <f aca="false">IFERROR('dens_visc_beta+mibk'!F40,"")</f>
        <v>0.617</v>
      </c>
      <c r="K269" s="1" t="str">
        <f aca="false">IF(AND(ISNUMBER(H269),ISNUMBER(I269),ISNUMBER(J269)),"✓",COUNTIF(H269:J269,"&gt;-999")&amp;"/3")</f>
        <v>2/3</v>
      </c>
    </row>
    <row r="270" customFormat="false" ht="15" hidden="false" customHeight="true" outlineLevel="0" collapsed="false">
      <c r="A270" s="1" t="s">
        <v>25</v>
      </c>
      <c r="B270" s="1" t="s">
        <v>12</v>
      </c>
      <c r="C270" s="1" t="s">
        <v>13</v>
      </c>
      <c r="D270" s="1" t="s">
        <v>26</v>
      </c>
      <c r="E270" s="1" t="s">
        <v>27</v>
      </c>
      <c r="F270" s="1" t="n">
        <f aca="false">IFERROR('dens_visc_beta+mibk'!F22,"")</f>
        <v>60</v>
      </c>
      <c r="G270" s="1" t="str">
        <f aca="false">IFERROR('dens_visc_beta+mibk'!A27,"")</f>
        <v/>
      </c>
      <c r="H270" s="1" t="n">
        <f aca="false">IFERROR('dens_visc_beta+mibk'!F27,"")</f>
        <v>0.82588</v>
      </c>
      <c r="I270" s="1" t="str">
        <f aca="false">IFERROR('dens_visc_beta+mibk'!K27,"")</f>
        <v/>
      </c>
      <c r="J270" s="1" t="n">
        <f aca="false">IFERROR('dens_visc_beta+mibk'!F41,"")</f>
        <v>0.72</v>
      </c>
      <c r="K270" s="1" t="str">
        <f aca="false">IF(AND(ISNUMBER(H270),ISNUMBER(I270),ISNUMBER(J270)),"✓",COUNTIF(H270:J270,"&gt;-999")&amp;"/3")</f>
        <v>2/3</v>
      </c>
    </row>
    <row r="271" customFormat="false" ht="15" hidden="false" customHeight="true" outlineLevel="0" collapsed="false">
      <c r="A271" s="1" t="s">
        <v>25</v>
      </c>
      <c r="B271" s="1" t="s">
        <v>12</v>
      </c>
      <c r="C271" s="1" t="s">
        <v>13</v>
      </c>
      <c r="D271" s="1" t="s">
        <v>26</v>
      </c>
      <c r="E271" s="1" t="s">
        <v>27</v>
      </c>
      <c r="F271" s="1" t="n">
        <f aca="false">IFERROR('dens_visc_beta+mibk'!F22,"")</f>
        <v>60</v>
      </c>
      <c r="G271" s="1" t="str">
        <f aca="false">IFERROR('dens_visc_beta+mibk'!A28,"")</f>
        <v/>
      </c>
      <c r="H271" s="1" t="n">
        <f aca="false">IFERROR('dens_visc_beta+mibk'!F28,"")</f>
        <v>0.84167</v>
      </c>
      <c r="I271" s="1" t="str">
        <f aca="false">IFERROR('dens_visc_beta+mibk'!K28,"")</f>
        <v/>
      </c>
      <c r="J271" s="1" t="n">
        <f aca="false">IFERROR('dens_visc_beta+mibk'!F42,"")</f>
        <v>0.869</v>
      </c>
      <c r="K271" s="1" t="str">
        <f aca="false">IF(AND(ISNUMBER(H271),ISNUMBER(I271),ISNUMBER(J271)),"✓",COUNTIF(H271:J271,"&gt;-999")&amp;"/3")</f>
        <v>2/3</v>
      </c>
    </row>
    <row r="272" customFormat="false" ht="15" hidden="false" customHeight="true" outlineLevel="0" collapsed="false">
      <c r="A272" s="1" t="s">
        <v>25</v>
      </c>
      <c r="B272" s="1" t="s">
        <v>12</v>
      </c>
      <c r="C272" s="1" t="s">
        <v>13</v>
      </c>
      <c r="D272" s="1" t="s">
        <v>26</v>
      </c>
      <c r="E272" s="1" t="s">
        <v>27</v>
      </c>
      <c r="F272" s="1" t="n">
        <f aca="false">IFERROR('dens_visc_beta+mibk'!F22,"")</f>
        <v>60</v>
      </c>
      <c r="G272" s="1" t="str">
        <f aca="false">IFERROR('dens_visc_beta+mibk'!A29,"")</f>
        <v/>
      </c>
      <c r="H272" s="1" t="n">
        <f aca="false">IFERROR('dens_visc_beta+mibk'!F29,"")</f>
        <v>0.85608</v>
      </c>
      <c r="I272" s="1" t="str">
        <f aca="false">IFERROR('dens_visc_beta+mibk'!K29,"")</f>
        <v/>
      </c>
      <c r="J272" s="1" t="n">
        <f aca="false">IFERROR('dens_visc_beta+mibk'!F43,"")</f>
        <v>1.055</v>
      </c>
      <c r="K272" s="1" t="str">
        <f aca="false">IF(AND(ISNUMBER(H272),ISNUMBER(I272),ISNUMBER(J272)),"✓",COUNTIF(H272:J272,"&gt;-999")&amp;"/3")</f>
        <v>2/3</v>
      </c>
    </row>
    <row r="273" customFormat="false" ht="15" hidden="false" customHeight="true" outlineLevel="0" collapsed="false">
      <c r="A273" s="1" t="s">
        <v>25</v>
      </c>
      <c r="B273" s="1" t="s">
        <v>12</v>
      </c>
      <c r="C273" s="1" t="s">
        <v>13</v>
      </c>
      <c r="D273" s="1" t="s">
        <v>26</v>
      </c>
      <c r="E273" s="1" t="s">
        <v>27</v>
      </c>
      <c r="F273" s="1" t="n">
        <f aca="false">IFERROR('dens_visc_beta+mibk'!F22,"")</f>
        <v>60</v>
      </c>
      <c r="G273" s="1" t="str">
        <f aca="false">IFERROR('dens_visc_beta+mibk'!A30,"")</f>
        <v/>
      </c>
      <c r="H273" s="1" t="n">
        <f aca="false">IFERROR('dens_visc_beta+mibk'!F30,"")</f>
        <v>0.87065</v>
      </c>
      <c r="I273" s="1" t="str">
        <f aca="false">IFERROR('dens_visc_beta+mibk'!K30,"")</f>
        <v/>
      </c>
      <c r="J273" s="1" t="n">
        <f aca="false">IFERROR('dens_visc_beta+mibk'!F44,"")</f>
        <v>1.297</v>
      </c>
      <c r="K273" s="1" t="str">
        <f aca="false">IF(AND(ISNUMBER(H273),ISNUMBER(I273),ISNUMBER(J273)),"✓",COUNTIF(H273:J273,"&gt;-999")&amp;"/3")</f>
        <v>2/3</v>
      </c>
    </row>
    <row r="274" customFormat="false" ht="15" hidden="false" customHeight="true" outlineLevel="0" collapsed="false">
      <c r="A274" s="1" t="s">
        <v>25</v>
      </c>
      <c r="B274" s="1" t="s">
        <v>12</v>
      </c>
      <c r="C274" s="1" t="s">
        <v>13</v>
      </c>
      <c r="D274" s="1" t="s">
        <v>26</v>
      </c>
      <c r="E274" s="1" t="s">
        <v>27</v>
      </c>
      <c r="F274" s="1" t="n">
        <f aca="false">IFERROR('dens_visc_beta+mibk'!F22,"")</f>
        <v>60</v>
      </c>
      <c r="G274" s="1" t="str">
        <f aca="false">IFERROR('dens_visc_beta+mibk'!A31,"")</f>
        <v/>
      </c>
      <c r="H274" s="1" t="n">
        <f aca="false">IFERROR('dens_visc_beta+mibk'!F31,"")</f>
        <v>0.88464</v>
      </c>
      <c r="I274" s="1" t="str">
        <f aca="false">IFERROR('dens_visc_beta+mibk'!K31,"")</f>
        <v/>
      </c>
      <c r="J274" s="1" t="n">
        <f aca="false">IFERROR('dens_visc_beta+mibk'!F45,"")</f>
        <v>1.638</v>
      </c>
      <c r="K274" s="1" t="str">
        <f aca="false">IF(AND(ISNUMBER(H274),ISNUMBER(I274),ISNUMBER(J274)),"✓",COUNTIF(H274:J274,"&gt;-999")&amp;"/3")</f>
        <v>2/3</v>
      </c>
    </row>
    <row r="275" customFormat="false" ht="15" hidden="false" customHeight="true" outlineLevel="0" collapsed="false">
      <c r="A275" s="1" t="s">
        <v>25</v>
      </c>
      <c r="B275" s="1" t="s">
        <v>12</v>
      </c>
      <c r="C275" s="1" t="s">
        <v>13</v>
      </c>
      <c r="D275" s="1" t="s">
        <v>26</v>
      </c>
      <c r="E275" s="1" t="s">
        <v>27</v>
      </c>
      <c r="F275" s="1" t="n">
        <f aca="false">IFERROR('dens_visc_beta+mibk'!F22,"")</f>
        <v>60</v>
      </c>
      <c r="G275" s="1" t="str">
        <f aca="false">IFERROR('dens_visc_beta+mibk'!A32,"")</f>
        <v/>
      </c>
      <c r="H275" s="1" t="n">
        <f aca="false">IFERROR('dens_visc_beta+mibk'!F32,"")</f>
        <v>0.89876</v>
      </c>
      <c r="I275" s="1" t="str">
        <f aca="false">IFERROR('dens_visc_beta+mibk'!K32,"")</f>
        <v/>
      </c>
      <c r="J275" s="1" t="n">
        <f aca="false">IFERROR('dens_visc_beta+mibk'!F46,"")</f>
        <v>2.139</v>
      </c>
      <c r="K275" s="1" t="str">
        <f aca="false">IF(AND(ISNUMBER(H275),ISNUMBER(I275),ISNUMBER(J275)),"✓",COUNTIF(H275:J275,"&gt;-999")&amp;"/3")</f>
        <v>2/3</v>
      </c>
    </row>
    <row r="276" customFormat="false" ht="15" hidden="false" customHeight="true" outlineLevel="0" collapsed="false">
      <c r="A276" s="1" t="s">
        <v>25</v>
      </c>
      <c r="B276" s="1" t="s">
        <v>12</v>
      </c>
      <c r="C276" s="1" t="s">
        <v>13</v>
      </c>
      <c r="D276" s="1" t="s">
        <v>26</v>
      </c>
      <c r="E276" s="1" t="s">
        <v>27</v>
      </c>
      <c r="F276" s="1" t="n">
        <f aca="false">IFERROR('dens_visc_beta+mibk'!F22,"")</f>
        <v>60</v>
      </c>
      <c r="G276" s="1" t="n">
        <f aca="false">IFERROR('dens_visc_beta+mibk'!A33,"")</f>
        <v>1</v>
      </c>
      <c r="H276" s="1" t="n">
        <f aca="false">IFERROR('dens_visc_beta+mibk'!F33,"")</f>
        <v>0.91396</v>
      </c>
      <c r="I276" s="1" t="n">
        <f aca="false">IFERROR('dens_visc_beta+mibk'!K33,"")</f>
        <v>0</v>
      </c>
      <c r="J276" s="1" t="n">
        <f aca="false">IFERROR('dens_visc_beta+mibk'!F47,"")</f>
        <v>2.938</v>
      </c>
      <c r="K276" s="1" t="str">
        <f aca="false">IF(AND(ISNUMBER(H276),ISNUMBER(I276),ISNUMBER(J276)),"✓",COUNTIF(H276:J276,"&gt;-999")&amp;"/3")</f>
        <v>✓</v>
      </c>
    </row>
    <row r="277" customFormat="false" ht="15" hidden="false" customHeight="true" outlineLevel="0" collapsed="false">
      <c r="A277" s="1" t="s">
        <v>28</v>
      </c>
      <c r="B277" s="1" t="s">
        <v>12</v>
      </c>
      <c r="C277" s="1" t="s">
        <v>13</v>
      </c>
      <c r="D277" s="1" t="s">
        <v>29</v>
      </c>
      <c r="E277" s="1" t="s">
        <v>30</v>
      </c>
      <c r="F277" s="1" t="n">
        <f aca="false">IFERROR('dens_visc_beta+2octanone'!B22,"")</f>
        <v>20</v>
      </c>
      <c r="G277" s="1" t="str">
        <f aca="false">IFERROR('dens_visc_beta+2octanone'!A23,"")</f>
        <v/>
      </c>
      <c r="H277" s="1" t="n">
        <f aca="false">IFERROR('dens_visc_beta+2octanone'!B23,"")</f>
        <v>0.81906</v>
      </c>
      <c r="I277" s="1" t="str">
        <f aca="false">IFERROR('dens_visc_beta+2octanone'!G23,"")</f>
        <v/>
      </c>
      <c r="J277" s="1" t="n">
        <f aca="false">IFERROR('dens_visc_beta+2octanone'!B37,"")</f>
        <v>1.01</v>
      </c>
      <c r="K277" s="1" t="str">
        <f aca="false">IF(AND(ISNUMBER(H277),ISNUMBER(I277),ISNUMBER(J277)),"✓",COUNTIF(H277:J277,"&gt;-999")&amp;"/3")</f>
        <v>2/3</v>
      </c>
    </row>
    <row r="278" customFormat="false" ht="15" hidden="false" customHeight="true" outlineLevel="0" collapsed="false">
      <c r="A278" s="1" t="s">
        <v>28</v>
      </c>
      <c r="B278" s="1" t="s">
        <v>12</v>
      </c>
      <c r="C278" s="1" t="s">
        <v>13</v>
      </c>
      <c r="D278" s="1" t="s">
        <v>29</v>
      </c>
      <c r="E278" s="1" t="s">
        <v>30</v>
      </c>
      <c r="F278" s="1" t="n">
        <f aca="false">IFERROR('dens_visc_beta+2octanone'!B22,"")</f>
        <v>20</v>
      </c>
      <c r="G278" s="1" t="str">
        <f aca="false">IFERROR('dens_visc_beta+2octanone'!A24,"")</f>
        <v/>
      </c>
      <c r="H278" s="1" t="n">
        <f aca="false">IFERROR('dens_visc_beta+2octanone'!B24,"")</f>
        <v>0</v>
      </c>
      <c r="I278" s="1" t="str">
        <f aca="false">IFERROR('dens_visc_beta+2octanone'!G24,"")</f>
        <v/>
      </c>
      <c r="J278" s="1" t="n">
        <f aca="false">IFERROR('dens_visc_beta+2octanone'!B38,"")</f>
        <v>0</v>
      </c>
      <c r="K278" s="1" t="str">
        <f aca="false">IF(AND(ISNUMBER(H278),ISNUMBER(I278),ISNUMBER(J278)),"✓",COUNTIF(H278:J278,"&gt;-999")&amp;"/3")</f>
        <v>2/3</v>
      </c>
    </row>
    <row r="279" customFormat="false" ht="15" hidden="false" customHeight="true" outlineLevel="0" collapsed="false">
      <c r="A279" s="1" t="s">
        <v>28</v>
      </c>
      <c r="B279" s="1" t="s">
        <v>12</v>
      </c>
      <c r="C279" s="1" t="s">
        <v>13</v>
      </c>
      <c r="D279" s="1" t="s">
        <v>29</v>
      </c>
      <c r="E279" s="1" t="s">
        <v>30</v>
      </c>
      <c r="F279" s="1" t="n">
        <f aca="false">IFERROR('dens_visc_beta+2octanone'!B22,"")</f>
        <v>20</v>
      </c>
      <c r="G279" s="1" t="str">
        <f aca="false">IFERROR('dens_visc_beta+2octanone'!A25,"")</f>
        <v/>
      </c>
      <c r="H279" s="1" t="n">
        <f aca="false">IFERROR('dens_visc_beta+2octanone'!B25,"")</f>
        <v>0</v>
      </c>
      <c r="I279" s="1" t="str">
        <f aca="false">IFERROR('dens_visc_beta+2octanone'!G25,"")</f>
        <v/>
      </c>
      <c r="J279" s="1" t="n">
        <f aca="false">IFERROR('dens_visc_beta+2octanone'!B39,"")</f>
        <v>0</v>
      </c>
      <c r="K279" s="1" t="str">
        <f aca="false">IF(AND(ISNUMBER(H279),ISNUMBER(I279),ISNUMBER(J279)),"✓",COUNTIF(H279:J279,"&gt;-999")&amp;"/3")</f>
        <v>2/3</v>
      </c>
    </row>
    <row r="280" customFormat="false" ht="15" hidden="false" customHeight="true" outlineLevel="0" collapsed="false">
      <c r="A280" s="1" t="s">
        <v>28</v>
      </c>
      <c r="B280" s="1" t="s">
        <v>12</v>
      </c>
      <c r="C280" s="1" t="s">
        <v>13</v>
      </c>
      <c r="D280" s="1" t="s">
        <v>29</v>
      </c>
      <c r="E280" s="1" t="s">
        <v>30</v>
      </c>
      <c r="F280" s="1" t="n">
        <f aca="false">IFERROR('dens_visc_beta+2octanone'!B22,"")</f>
        <v>20</v>
      </c>
      <c r="G280" s="1" t="str">
        <f aca="false">IFERROR('dens_visc_beta+2octanone'!A26,"")</f>
        <v/>
      </c>
      <c r="H280" s="1" t="n">
        <f aca="false">IFERROR('dens_visc_beta+2octanone'!B26,"")</f>
        <v>0</v>
      </c>
      <c r="I280" s="1" t="str">
        <f aca="false">IFERROR('dens_visc_beta+2octanone'!G26,"")</f>
        <v/>
      </c>
      <c r="J280" s="1" t="n">
        <f aca="false">IFERROR('dens_visc_beta+2octanone'!B40,"")</f>
        <v>0</v>
      </c>
      <c r="K280" s="1" t="str">
        <f aca="false">IF(AND(ISNUMBER(H280),ISNUMBER(I280),ISNUMBER(J280)),"✓",COUNTIF(H280:J280,"&gt;-999")&amp;"/3")</f>
        <v>2/3</v>
      </c>
    </row>
    <row r="281" customFormat="false" ht="15" hidden="false" customHeight="true" outlineLevel="0" collapsed="false">
      <c r="A281" s="1" t="s">
        <v>28</v>
      </c>
      <c r="B281" s="1" t="s">
        <v>12</v>
      </c>
      <c r="C281" s="1" t="s">
        <v>13</v>
      </c>
      <c r="D281" s="1" t="s">
        <v>29</v>
      </c>
      <c r="E281" s="1" t="s">
        <v>30</v>
      </c>
      <c r="F281" s="1" t="n">
        <f aca="false">IFERROR('dens_visc_beta+2octanone'!B22,"")</f>
        <v>20</v>
      </c>
      <c r="G281" s="1" t="str">
        <f aca="false">IFERROR('dens_visc_beta+2octanone'!A27,"")</f>
        <v/>
      </c>
      <c r="H281" s="1" t="n">
        <f aca="false">IFERROR('dens_visc_beta+2octanone'!B27,"")</f>
        <v>0</v>
      </c>
      <c r="I281" s="1" t="str">
        <f aca="false">IFERROR('dens_visc_beta+2octanone'!G27,"")</f>
        <v/>
      </c>
      <c r="J281" s="1" t="n">
        <f aca="false">IFERROR('dens_visc_beta+2octanone'!B41,"")</f>
        <v>0</v>
      </c>
      <c r="K281" s="1" t="str">
        <f aca="false">IF(AND(ISNUMBER(H281),ISNUMBER(I281),ISNUMBER(J281)),"✓",COUNTIF(H281:J281,"&gt;-999")&amp;"/3")</f>
        <v>2/3</v>
      </c>
    </row>
    <row r="282" customFormat="false" ht="15" hidden="false" customHeight="true" outlineLevel="0" collapsed="false">
      <c r="A282" s="1" t="s">
        <v>28</v>
      </c>
      <c r="B282" s="1" t="s">
        <v>12</v>
      </c>
      <c r="C282" s="1" t="s">
        <v>13</v>
      </c>
      <c r="D282" s="1" t="s">
        <v>29</v>
      </c>
      <c r="E282" s="1" t="s">
        <v>30</v>
      </c>
      <c r="F282" s="1" t="n">
        <f aca="false">IFERROR('dens_visc_beta+2octanone'!B22,"")</f>
        <v>20</v>
      </c>
      <c r="G282" s="1" t="str">
        <f aca="false">IFERROR('dens_visc_beta+2octanone'!A28,"")</f>
        <v/>
      </c>
      <c r="H282" s="1" t="n">
        <f aca="false">IFERROR('dens_visc_beta+2octanone'!B28,"")</f>
        <v>0</v>
      </c>
      <c r="I282" s="1" t="str">
        <f aca="false">IFERROR('dens_visc_beta+2octanone'!G28,"")</f>
        <v/>
      </c>
      <c r="J282" s="1" t="n">
        <f aca="false">IFERROR('dens_visc_beta+2octanone'!B42,"")</f>
        <v>0</v>
      </c>
      <c r="K282" s="1" t="str">
        <f aca="false">IF(AND(ISNUMBER(H282),ISNUMBER(I282),ISNUMBER(J282)),"✓",COUNTIF(H282:J282,"&gt;-999")&amp;"/3")</f>
        <v>2/3</v>
      </c>
    </row>
    <row r="283" customFormat="false" ht="15" hidden="false" customHeight="true" outlineLevel="0" collapsed="false">
      <c r="A283" s="1" t="s">
        <v>28</v>
      </c>
      <c r="B283" s="1" t="s">
        <v>12</v>
      </c>
      <c r="C283" s="1" t="s">
        <v>13</v>
      </c>
      <c r="D283" s="1" t="s">
        <v>29</v>
      </c>
      <c r="E283" s="1" t="s">
        <v>30</v>
      </c>
      <c r="F283" s="1" t="n">
        <f aca="false">IFERROR('dens_visc_beta+2octanone'!B22,"")</f>
        <v>20</v>
      </c>
      <c r="G283" s="1" t="str">
        <f aca="false">IFERROR('dens_visc_beta+2octanone'!A29,"")</f>
        <v/>
      </c>
      <c r="H283" s="1" t="n">
        <f aca="false">IFERROR('dens_visc_beta+2octanone'!B29,"")</f>
        <v>0</v>
      </c>
      <c r="I283" s="1" t="str">
        <f aca="false">IFERROR('dens_visc_beta+2octanone'!G29,"")</f>
        <v/>
      </c>
      <c r="J283" s="1" t="n">
        <f aca="false">IFERROR('dens_visc_beta+2octanone'!B43,"")</f>
        <v>0</v>
      </c>
      <c r="K283" s="1" t="str">
        <f aca="false">IF(AND(ISNUMBER(H283),ISNUMBER(I283),ISNUMBER(J283)),"✓",COUNTIF(H283:J283,"&gt;-999")&amp;"/3")</f>
        <v>2/3</v>
      </c>
    </row>
    <row r="284" customFormat="false" ht="15" hidden="false" customHeight="true" outlineLevel="0" collapsed="false">
      <c r="A284" s="1" t="s">
        <v>28</v>
      </c>
      <c r="B284" s="1" t="s">
        <v>12</v>
      </c>
      <c r="C284" s="1" t="s">
        <v>13</v>
      </c>
      <c r="D284" s="1" t="s">
        <v>29</v>
      </c>
      <c r="E284" s="1" t="s">
        <v>30</v>
      </c>
      <c r="F284" s="1" t="n">
        <f aca="false">IFERROR('dens_visc_beta+2octanone'!B22,"")</f>
        <v>20</v>
      </c>
      <c r="G284" s="1" t="str">
        <f aca="false">IFERROR('dens_visc_beta+2octanone'!A30,"")</f>
        <v/>
      </c>
      <c r="H284" s="1" t="n">
        <f aca="false">IFERROR('dens_visc_beta+2octanone'!B30,"")</f>
        <v>0</v>
      </c>
      <c r="I284" s="1" t="str">
        <f aca="false">IFERROR('dens_visc_beta+2octanone'!G30,"")</f>
        <v/>
      </c>
      <c r="J284" s="1" t="n">
        <f aca="false">IFERROR('dens_visc_beta+2octanone'!B44,"")</f>
        <v>0</v>
      </c>
      <c r="K284" s="1" t="str">
        <f aca="false">IF(AND(ISNUMBER(H284),ISNUMBER(I284),ISNUMBER(J284)),"✓",COUNTIF(H284:J284,"&gt;-999")&amp;"/3")</f>
        <v>2/3</v>
      </c>
    </row>
    <row r="285" customFormat="false" ht="15" hidden="false" customHeight="true" outlineLevel="0" collapsed="false">
      <c r="A285" s="1" t="s">
        <v>28</v>
      </c>
      <c r="B285" s="1" t="s">
        <v>12</v>
      </c>
      <c r="C285" s="1" t="s">
        <v>13</v>
      </c>
      <c r="D285" s="1" t="s">
        <v>29</v>
      </c>
      <c r="E285" s="1" t="s">
        <v>30</v>
      </c>
      <c r="F285" s="1" t="n">
        <f aca="false">IFERROR('dens_visc_beta+2octanone'!B22,"")</f>
        <v>20</v>
      </c>
      <c r="G285" s="1" t="str">
        <f aca="false">IFERROR('dens_visc_beta+2octanone'!A31,"")</f>
        <v/>
      </c>
      <c r="H285" s="1" t="n">
        <f aca="false">IFERROR('dens_visc_beta+2octanone'!B31,"")</f>
        <v>0</v>
      </c>
      <c r="I285" s="1" t="str">
        <f aca="false">IFERROR('dens_visc_beta+2octanone'!G31,"")</f>
        <v/>
      </c>
      <c r="J285" s="1" t="n">
        <f aca="false">IFERROR('dens_visc_beta+2octanone'!B45,"")</f>
        <v>0</v>
      </c>
      <c r="K285" s="1" t="str">
        <f aca="false">IF(AND(ISNUMBER(H285),ISNUMBER(I285),ISNUMBER(J285)),"✓",COUNTIF(H285:J285,"&gt;-999")&amp;"/3")</f>
        <v>2/3</v>
      </c>
    </row>
    <row r="286" customFormat="false" ht="15" hidden="false" customHeight="true" outlineLevel="0" collapsed="false">
      <c r="A286" s="1" t="s">
        <v>28</v>
      </c>
      <c r="B286" s="1" t="s">
        <v>12</v>
      </c>
      <c r="C286" s="1" t="s">
        <v>13</v>
      </c>
      <c r="D286" s="1" t="s">
        <v>29</v>
      </c>
      <c r="E286" s="1" t="s">
        <v>30</v>
      </c>
      <c r="F286" s="1" t="n">
        <f aca="false">IFERROR('dens_visc_beta+2octanone'!B22,"")</f>
        <v>20</v>
      </c>
      <c r="G286" s="1" t="str">
        <f aca="false">IFERROR('dens_visc_beta+2octanone'!A32,"")</f>
        <v/>
      </c>
      <c r="H286" s="1" t="n">
        <f aca="false">IFERROR('dens_visc_beta+2octanone'!B32,"")</f>
        <v>0</v>
      </c>
      <c r="I286" s="1" t="str">
        <f aca="false">IFERROR('dens_visc_beta+2octanone'!G32,"")</f>
        <v/>
      </c>
      <c r="J286" s="1" t="n">
        <f aca="false">IFERROR('dens_visc_beta+2octanone'!B46,"")</f>
        <v>0</v>
      </c>
      <c r="K286" s="1" t="str">
        <f aca="false">IF(AND(ISNUMBER(H286),ISNUMBER(I286),ISNUMBER(J286)),"✓",COUNTIF(H286:J286,"&gt;-999")&amp;"/3")</f>
        <v>2/3</v>
      </c>
    </row>
    <row r="287" customFormat="false" ht="15" hidden="false" customHeight="true" outlineLevel="0" collapsed="false">
      <c r="A287" s="1" t="s">
        <v>28</v>
      </c>
      <c r="B287" s="1" t="s">
        <v>12</v>
      </c>
      <c r="C287" s="1" t="s">
        <v>13</v>
      </c>
      <c r="D287" s="1" t="s">
        <v>29</v>
      </c>
      <c r="E287" s="1" t="s">
        <v>30</v>
      </c>
      <c r="F287" s="1" t="n">
        <f aca="false">IFERROR('dens_visc_beta+2octanone'!B22,"")</f>
        <v>20</v>
      </c>
      <c r="G287" s="1" t="str">
        <f aca="false">IFERROR('dens_visc_beta+2octanone'!A33,"")</f>
        <v/>
      </c>
      <c r="H287" s="1" t="n">
        <f aca="false">IFERROR('dens_visc_beta+2octanone'!B33,"")</f>
        <v>0.94498</v>
      </c>
      <c r="I287" s="1" t="str">
        <f aca="false">IFERROR('dens_visc_beta+2octanone'!G33,"")</f>
        <v/>
      </c>
      <c r="J287" s="1" t="n">
        <f aca="false">IFERROR('dens_visc_beta+2octanone'!B47,"")</f>
        <v>11.31</v>
      </c>
      <c r="K287" s="1" t="str">
        <f aca="false">IF(AND(ISNUMBER(H287),ISNUMBER(I287),ISNUMBER(J287)),"✓",COUNTIF(H287:J287,"&gt;-999")&amp;"/3")</f>
        <v>2/3</v>
      </c>
    </row>
    <row r="288" customFormat="false" ht="15" hidden="false" customHeight="true" outlineLevel="0" collapsed="false">
      <c r="A288" s="1" t="s">
        <v>28</v>
      </c>
      <c r="B288" s="1" t="s">
        <v>12</v>
      </c>
      <c r="C288" s="1" t="s">
        <v>13</v>
      </c>
      <c r="D288" s="1" t="s">
        <v>29</v>
      </c>
      <c r="E288" s="1" t="s">
        <v>30</v>
      </c>
      <c r="F288" s="1" t="n">
        <f aca="false">IFERROR('dens_visc_beta+2octanone'!C22,"")</f>
        <v>30</v>
      </c>
      <c r="G288" s="1" t="str">
        <f aca="false">IFERROR('dens_visc_beta+2octanone'!A23,"")</f>
        <v/>
      </c>
      <c r="H288" s="1" t="n">
        <f aca="false">IFERROR('dens_visc_beta+2octanone'!C23,"")</f>
        <v>0.81089</v>
      </c>
      <c r="I288" s="1" t="str">
        <f aca="false">IFERROR('dens_visc_beta+2octanone'!H23,"")</f>
        <v/>
      </c>
      <c r="J288" s="1" t="n">
        <f aca="false">IFERROR('dens_visc_beta+2octanone'!C37,"")</f>
        <v>0.869</v>
      </c>
      <c r="K288" s="1" t="str">
        <f aca="false">IF(AND(ISNUMBER(H288),ISNUMBER(I288),ISNUMBER(J288)),"✓",COUNTIF(H288:J288,"&gt;-999")&amp;"/3")</f>
        <v>2/3</v>
      </c>
    </row>
    <row r="289" customFormat="false" ht="15" hidden="false" customHeight="true" outlineLevel="0" collapsed="false">
      <c r="A289" s="1" t="s">
        <v>28</v>
      </c>
      <c r="B289" s="1" t="s">
        <v>12</v>
      </c>
      <c r="C289" s="1" t="s">
        <v>13</v>
      </c>
      <c r="D289" s="1" t="s">
        <v>29</v>
      </c>
      <c r="E289" s="1" t="s">
        <v>30</v>
      </c>
      <c r="F289" s="1" t="n">
        <f aca="false">IFERROR('dens_visc_beta+2octanone'!C22,"")</f>
        <v>30</v>
      </c>
      <c r="G289" s="1" t="str">
        <f aca="false">IFERROR('dens_visc_beta+2octanone'!A24,"")</f>
        <v/>
      </c>
      <c r="H289" s="1" t="n">
        <f aca="false">IFERROR('dens_visc_beta+2octanone'!C24,"")</f>
        <v>0</v>
      </c>
      <c r="I289" s="1" t="str">
        <f aca="false">IFERROR('dens_visc_beta+2octanone'!H24,"")</f>
        <v/>
      </c>
      <c r="J289" s="1" t="n">
        <f aca="false">IFERROR('dens_visc_beta+2octanone'!C38,"")</f>
        <v>0</v>
      </c>
      <c r="K289" s="1" t="str">
        <f aca="false">IF(AND(ISNUMBER(H289),ISNUMBER(I289),ISNUMBER(J289)),"✓",COUNTIF(H289:J289,"&gt;-999")&amp;"/3")</f>
        <v>2/3</v>
      </c>
    </row>
    <row r="290" customFormat="false" ht="15" hidden="false" customHeight="true" outlineLevel="0" collapsed="false">
      <c r="A290" s="1" t="s">
        <v>28</v>
      </c>
      <c r="B290" s="1" t="s">
        <v>12</v>
      </c>
      <c r="C290" s="1" t="s">
        <v>13</v>
      </c>
      <c r="D290" s="1" t="s">
        <v>29</v>
      </c>
      <c r="E290" s="1" t="s">
        <v>30</v>
      </c>
      <c r="F290" s="1" t="n">
        <f aca="false">IFERROR('dens_visc_beta+2octanone'!C22,"")</f>
        <v>30</v>
      </c>
      <c r="G290" s="1" t="str">
        <f aca="false">IFERROR('dens_visc_beta+2octanone'!A25,"")</f>
        <v/>
      </c>
      <c r="H290" s="1" t="n">
        <f aca="false">IFERROR('dens_visc_beta+2octanone'!C25,"")</f>
        <v>0</v>
      </c>
      <c r="I290" s="1" t="str">
        <f aca="false">IFERROR('dens_visc_beta+2octanone'!H25,"")</f>
        <v/>
      </c>
      <c r="J290" s="1" t="n">
        <f aca="false">IFERROR('dens_visc_beta+2octanone'!C39,"")</f>
        <v>0</v>
      </c>
      <c r="K290" s="1" t="str">
        <f aca="false">IF(AND(ISNUMBER(H290),ISNUMBER(I290),ISNUMBER(J290)),"✓",COUNTIF(H290:J290,"&gt;-999")&amp;"/3")</f>
        <v>2/3</v>
      </c>
    </row>
    <row r="291" customFormat="false" ht="15" hidden="false" customHeight="true" outlineLevel="0" collapsed="false">
      <c r="A291" s="1" t="s">
        <v>28</v>
      </c>
      <c r="B291" s="1" t="s">
        <v>12</v>
      </c>
      <c r="C291" s="1" t="s">
        <v>13</v>
      </c>
      <c r="D291" s="1" t="s">
        <v>29</v>
      </c>
      <c r="E291" s="1" t="s">
        <v>30</v>
      </c>
      <c r="F291" s="1" t="n">
        <f aca="false">IFERROR('dens_visc_beta+2octanone'!C22,"")</f>
        <v>30</v>
      </c>
      <c r="G291" s="1" t="str">
        <f aca="false">IFERROR('dens_visc_beta+2octanone'!A26,"")</f>
        <v/>
      </c>
      <c r="H291" s="1" t="n">
        <f aca="false">IFERROR('dens_visc_beta+2octanone'!C26,"")</f>
        <v>0</v>
      </c>
      <c r="I291" s="1" t="str">
        <f aca="false">IFERROR('dens_visc_beta+2octanone'!H26,"")</f>
        <v/>
      </c>
      <c r="J291" s="1" t="n">
        <f aca="false">IFERROR('dens_visc_beta+2octanone'!C40,"")</f>
        <v>0</v>
      </c>
      <c r="K291" s="1" t="str">
        <f aca="false">IF(AND(ISNUMBER(H291),ISNUMBER(I291),ISNUMBER(J291)),"✓",COUNTIF(H291:J291,"&gt;-999")&amp;"/3")</f>
        <v>2/3</v>
      </c>
    </row>
    <row r="292" customFormat="false" ht="15" hidden="false" customHeight="true" outlineLevel="0" collapsed="false">
      <c r="A292" s="1" t="s">
        <v>28</v>
      </c>
      <c r="B292" s="1" t="s">
        <v>12</v>
      </c>
      <c r="C292" s="1" t="s">
        <v>13</v>
      </c>
      <c r="D292" s="1" t="s">
        <v>29</v>
      </c>
      <c r="E292" s="1" t="s">
        <v>30</v>
      </c>
      <c r="F292" s="1" t="n">
        <f aca="false">IFERROR('dens_visc_beta+2octanone'!C22,"")</f>
        <v>30</v>
      </c>
      <c r="G292" s="1" t="str">
        <f aca="false">IFERROR('dens_visc_beta+2octanone'!A27,"")</f>
        <v/>
      </c>
      <c r="H292" s="1" t="n">
        <f aca="false">IFERROR('dens_visc_beta+2octanone'!C27,"")</f>
        <v>0</v>
      </c>
      <c r="I292" s="1" t="str">
        <f aca="false">IFERROR('dens_visc_beta+2octanone'!H27,"")</f>
        <v/>
      </c>
      <c r="J292" s="1" t="n">
        <f aca="false">IFERROR('dens_visc_beta+2octanone'!C41,"")</f>
        <v>0</v>
      </c>
      <c r="K292" s="1" t="str">
        <f aca="false">IF(AND(ISNUMBER(H292),ISNUMBER(I292),ISNUMBER(J292)),"✓",COUNTIF(H292:J292,"&gt;-999")&amp;"/3")</f>
        <v>2/3</v>
      </c>
    </row>
    <row r="293" customFormat="false" ht="15" hidden="false" customHeight="true" outlineLevel="0" collapsed="false">
      <c r="A293" s="1" t="s">
        <v>28</v>
      </c>
      <c r="B293" s="1" t="s">
        <v>12</v>
      </c>
      <c r="C293" s="1" t="s">
        <v>13</v>
      </c>
      <c r="D293" s="1" t="s">
        <v>29</v>
      </c>
      <c r="E293" s="1" t="s">
        <v>30</v>
      </c>
      <c r="F293" s="1" t="n">
        <f aca="false">IFERROR('dens_visc_beta+2octanone'!C22,"")</f>
        <v>30</v>
      </c>
      <c r="G293" s="1" t="str">
        <f aca="false">IFERROR('dens_visc_beta+2octanone'!A28,"")</f>
        <v/>
      </c>
      <c r="H293" s="1" t="n">
        <f aca="false">IFERROR('dens_visc_beta+2octanone'!C28,"")</f>
        <v>0</v>
      </c>
      <c r="I293" s="1" t="str">
        <f aca="false">IFERROR('dens_visc_beta+2octanone'!H28,"")</f>
        <v/>
      </c>
      <c r="J293" s="1" t="n">
        <f aca="false">IFERROR('dens_visc_beta+2octanone'!C42,"")</f>
        <v>0</v>
      </c>
      <c r="K293" s="1" t="str">
        <f aca="false">IF(AND(ISNUMBER(H293),ISNUMBER(I293),ISNUMBER(J293)),"✓",COUNTIF(H293:J293,"&gt;-999")&amp;"/3")</f>
        <v>2/3</v>
      </c>
    </row>
    <row r="294" customFormat="false" ht="15" hidden="false" customHeight="true" outlineLevel="0" collapsed="false">
      <c r="A294" s="1" t="s">
        <v>28</v>
      </c>
      <c r="B294" s="1" t="s">
        <v>12</v>
      </c>
      <c r="C294" s="1" t="s">
        <v>13</v>
      </c>
      <c r="D294" s="1" t="s">
        <v>29</v>
      </c>
      <c r="E294" s="1" t="s">
        <v>30</v>
      </c>
      <c r="F294" s="1" t="n">
        <f aca="false">IFERROR('dens_visc_beta+2octanone'!C22,"")</f>
        <v>30</v>
      </c>
      <c r="G294" s="1" t="str">
        <f aca="false">IFERROR('dens_visc_beta+2octanone'!A29,"")</f>
        <v/>
      </c>
      <c r="H294" s="1" t="n">
        <f aca="false">IFERROR('dens_visc_beta+2octanone'!C29,"")</f>
        <v>0</v>
      </c>
      <c r="I294" s="1" t="str">
        <f aca="false">IFERROR('dens_visc_beta+2octanone'!H29,"")</f>
        <v/>
      </c>
      <c r="J294" s="1" t="n">
        <f aca="false">IFERROR('dens_visc_beta+2octanone'!C43,"")</f>
        <v>0</v>
      </c>
      <c r="K294" s="1" t="str">
        <f aca="false">IF(AND(ISNUMBER(H294),ISNUMBER(I294),ISNUMBER(J294)),"✓",COUNTIF(H294:J294,"&gt;-999")&amp;"/3")</f>
        <v>2/3</v>
      </c>
    </row>
    <row r="295" customFormat="false" ht="15" hidden="false" customHeight="true" outlineLevel="0" collapsed="false">
      <c r="A295" s="1" t="s">
        <v>28</v>
      </c>
      <c r="B295" s="1" t="s">
        <v>12</v>
      </c>
      <c r="C295" s="1" t="s">
        <v>13</v>
      </c>
      <c r="D295" s="1" t="s">
        <v>29</v>
      </c>
      <c r="E295" s="1" t="s">
        <v>30</v>
      </c>
      <c r="F295" s="1" t="n">
        <f aca="false">IFERROR('dens_visc_beta+2octanone'!C22,"")</f>
        <v>30</v>
      </c>
      <c r="G295" s="1" t="str">
        <f aca="false">IFERROR('dens_visc_beta+2octanone'!A30,"")</f>
        <v/>
      </c>
      <c r="H295" s="1" t="n">
        <f aca="false">IFERROR('dens_visc_beta+2octanone'!C30,"")</f>
        <v>0</v>
      </c>
      <c r="I295" s="1" t="str">
        <f aca="false">IFERROR('dens_visc_beta+2octanone'!H30,"")</f>
        <v/>
      </c>
      <c r="J295" s="1" t="n">
        <f aca="false">IFERROR('dens_visc_beta+2octanone'!C44,"")</f>
        <v>0</v>
      </c>
      <c r="K295" s="1" t="str">
        <f aca="false">IF(AND(ISNUMBER(H295),ISNUMBER(I295),ISNUMBER(J295)),"✓",COUNTIF(H295:J295,"&gt;-999")&amp;"/3")</f>
        <v>2/3</v>
      </c>
    </row>
    <row r="296" customFormat="false" ht="15" hidden="false" customHeight="true" outlineLevel="0" collapsed="false">
      <c r="A296" s="1" t="s">
        <v>28</v>
      </c>
      <c r="B296" s="1" t="s">
        <v>12</v>
      </c>
      <c r="C296" s="1" t="s">
        <v>13</v>
      </c>
      <c r="D296" s="1" t="s">
        <v>29</v>
      </c>
      <c r="E296" s="1" t="s">
        <v>30</v>
      </c>
      <c r="F296" s="1" t="n">
        <f aca="false">IFERROR('dens_visc_beta+2octanone'!C22,"")</f>
        <v>30</v>
      </c>
      <c r="G296" s="1" t="str">
        <f aca="false">IFERROR('dens_visc_beta+2octanone'!A31,"")</f>
        <v/>
      </c>
      <c r="H296" s="1" t="n">
        <f aca="false">IFERROR('dens_visc_beta+2octanone'!C31,"")</f>
        <v>0</v>
      </c>
      <c r="I296" s="1" t="str">
        <f aca="false">IFERROR('dens_visc_beta+2octanone'!H31,"")</f>
        <v/>
      </c>
      <c r="J296" s="1" t="n">
        <f aca="false">IFERROR('dens_visc_beta+2octanone'!C45,"")</f>
        <v>0</v>
      </c>
      <c r="K296" s="1" t="str">
        <f aca="false">IF(AND(ISNUMBER(H296),ISNUMBER(I296),ISNUMBER(J296)),"✓",COUNTIF(H296:J296,"&gt;-999")&amp;"/3")</f>
        <v>2/3</v>
      </c>
    </row>
    <row r="297" customFormat="false" ht="15" hidden="false" customHeight="true" outlineLevel="0" collapsed="false">
      <c r="A297" s="1" t="s">
        <v>28</v>
      </c>
      <c r="B297" s="1" t="s">
        <v>12</v>
      </c>
      <c r="C297" s="1" t="s">
        <v>13</v>
      </c>
      <c r="D297" s="1" t="s">
        <v>29</v>
      </c>
      <c r="E297" s="1" t="s">
        <v>30</v>
      </c>
      <c r="F297" s="1" t="n">
        <f aca="false">IFERROR('dens_visc_beta+2octanone'!C22,"")</f>
        <v>30</v>
      </c>
      <c r="G297" s="1" t="str">
        <f aca="false">IFERROR('dens_visc_beta+2octanone'!A32,"")</f>
        <v/>
      </c>
      <c r="H297" s="1" t="n">
        <f aca="false">IFERROR('dens_visc_beta+2octanone'!C32,"")</f>
        <v>0</v>
      </c>
      <c r="I297" s="1" t="str">
        <f aca="false">IFERROR('dens_visc_beta+2octanone'!H32,"")</f>
        <v/>
      </c>
      <c r="J297" s="1" t="n">
        <f aca="false">IFERROR('dens_visc_beta+2octanone'!C46,"")</f>
        <v>0</v>
      </c>
      <c r="K297" s="1" t="str">
        <f aca="false">IF(AND(ISNUMBER(H297),ISNUMBER(I297),ISNUMBER(J297)),"✓",COUNTIF(H297:J297,"&gt;-999")&amp;"/3")</f>
        <v>2/3</v>
      </c>
    </row>
    <row r="298" customFormat="false" ht="15" hidden="false" customHeight="true" outlineLevel="0" collapsed="false">
      <c r="A298" s="1" t="s">
        <v>28</v>
      </c>
      <c r="B298" s="1" t="s">
        <v>12</v>
      </c>
      <c r="C298" s="1" t="s">
        <v>13</v>
      </c>
      <c r="D298" s="1" t="s">
        <v>29</v>
      </c>
      <c r="E298" s="1" t="s">
        <v>30</v>
      </c>
      <c r="F298" s="1" t="n">
        <f aca="false">IFERROR('dens_visc_beta+2octanone'!C22,"")</f>
        <v>30</v>
      </c>
      <c r="G298" s="1" t="str">
        <f aca="false">IFERROR('dens_visc_beta+2octanone'!A33,"")</f>
        <v/>
      </c>
      <c r="H298" s="1" t="n">
        <f aca="false">IFERROR('dens_visc_beta+2octanone'!C33,"")</f>
        <v>0.93726</v>
      </c>
      <c r="I298" s="1" t="str">
        <f aca="false">IFERROR('dens_visc_beta+2octanone'!H33,"")</f>
        <v/>
      </c>
      <c r="J298" s="1" t="n">
        <f aca="false">IFERROR('dens_visc_beta+2octanone'!C47,"")</f>
        <v>7.323</v>
      </c>
      <c r="K298" s="1" t="str">
        <f aca="false">IF(AND(ISNUMBER(H298),ISNUMBER(I298),ISNUMBER(J298)),"✓",COUNTIF(H298:J298,"&gt;-999")&amp;"/3")</f>
        <v>2/3</v>
      </c>
    </row>
    <row r="299" customFormat="false" ht="15" hidden="false" customHeight="true" outlineLevel="0" collapsed="false">
      <c r="A299" s="1" t="s">
        <v>28</v>
      </c>
      <c r="B299" s="1" t="s">
        <v>12</v>
      </c>
      <c r="C299" s="1" t="s">
        <v>13</v>
      </c>
      <c r="D299" s="1" t="s">
        <v>29</v>
      </c>
      <c r="E299" s="1" t="s">
        <v>30</v>
      </c>
      <c r="F299" s="1" t="n">
        <f aca="false">IFERROR('dens_visc_beta+2octanone'!D22,"")</f>
        <v>40</v>
      </c>
      <c r="G299" s="1" t="str">
        <f aca="false">IFERROR('dens_visc_beta+2octanone'!A23,"")</f>
        <v/>
      </c>
      <c r="H299" s="1" t="n">
        <f aca="false">IFERROR('dens_visc_beta+2octanone'!D23,"")</f>
        <v>0.80264</v>
      </c>
      <c r="I299" s="1" t="str">
        <f aca="false">IFERROR('dens_visc_beta+2octanone'!I23,"")</f>
        <v/>
      </c>
      <c r="J299" s="1" t="n">
        <f aca="false">IFERROR('dens_visc_beta+2octanone'!D37,"")</f>
        <v>0.758</v>
      </c>
      <c r="K299" s="1" t="str">
        <f aca="false">IF(AND(ISNUMBER(H299),ISNUMBER(I299),ISNUMBER(J299)),"✓",COUNTIF(H299:J299,"&gt;-999")&amp;"/3")</f>
        <v>2/3</v>
      </c>
    </row>
    <row r="300" customFormat="false" ht="15" hidden="false" customHeight="true" outlineLevel="0" collapsed="false">
      <c r="A300" s="1" t="s">
        <v>28</v>
      </c>
      <c r="B300" s="1" t="s">
        <v>12</v>
      </c>
      <c r="C300" s="1" t="s">
        <v>13</v>
      </c>
      <c r="D300" s="1" t="s">
        <v>29</v>
      </c>
      <c r="E300" s="1" t="s">
        <v>30</v>
      </c>
      <c r="F300" s="1" t="n">
        <f aca="false">IFERROR('dens_visc_beta+2octanone'!D22,"")</f>
        <v>40</v>
      </c>
      <c r="G300" s="1" t="str">
        <f aca="false">IFERROR('dens_visc_beta+2octanone'!A24,"")</f>
        <v/>
      </c>
      <c r="H300" s="1" t="n">
        <f aca="false">IFERROR('dens_visc_beta+2octanone'!D24,"")</f>
        <v>0</v>
      </c>
      <c r="I300" s="1" t="str">
        <f aca="false">IFERROR('dens_visc_beta+2octanone'!I24,"")</f>
        <v/>
      </c>
      <c r="J300" s="1" t="n">
        <f aca="false">IFERROR('dens_visc_beta+2octanone'!D38,"")</f>
        <v>0</v>
      </c>
      <c r="K300" s="1" t="str">
        <f aca="false">IF(AND(ISNUMBER(H300),ISNUMBER(I300),ISNUMBER(J300)),"✓",COUNTIF(H300:J300,"&gt;-999")&amp;"/3")</f>
        <v>2/3</v>
      </c>
    </row>
    <row r="301" customFormat="false" ht="15" hidden="false" customHeight="true" outlineLevel="0" collapsed="false">
      <c r="A301" s="1" t="s">
        <v>28</v>
      </c>
      <c r="B301" s="1" t="s">
        <v>12</v>
      </c>
      <c r="C301" s="1" t="s">
        <v>13</v>
      </c>
      <c r="D301" s="1" t="s">
        <v>29</v>
      </c>
      <c r="E301" s="1" t="s">
        <v>30</v>
      </c>
      <c r="F301" s="1" t="n">
        <f aca="false">IFERROR('dens_visc_beta+2octanone'!D22,"")</f>
        <v>40</v>
      </c>
      <c r="G301" s="1" t="str">
        <f aca="false">IFERROR('dens_visc_beta+2octanone'!A25,"")</f>
        <v/>
      </c>
      <c r="H301" s="1" t="n">
        <f aca="false">IFERROR('dens_visc_beta+2octanone'!D25,"")</f>
        <v>0</v>
      </c>
      <c r="I301" s="1" t="str">
        <f aca="false">IFERROR('dens_visc_beta+2octanone'!I25,"")</f>
        <v/>
      </c>
      <c r="J301" s="1" t="n">
        <f aca="false">IFERROR('dens_visc_beta+2octanone'!D39,"")</f>
        <v>0</v>
      </c>
      <c r="K301" s="1" t="str">
        <f aca="false">IF(AND(ISNUMBER(H301),ISNUMBER(I301),ISNUMBER(J301)),"✓",COUNTIF(H301:J301,"&gt;-999")&amp;"/3")</f>
        <v>2/3</v>
      </c>
    </row>
    <row r="302" customFormat="false" ht="15" hidden="false" customHeight="true" outlineLevel="0" collapsed="false">
      <c r="A302" s="1" t="s">
        <v>28</v>
      </c>
      <c r="B302" s="1" t="s">
        <v>12</v>
      </c>
      <c r="C302" s="1" t="s">
        <v>13</v>
      </c>
      <c r="D302" s="1" t="s">
        <v>29</v>
      </c>
      <c r="E302" s="1" t="s">
        <v>30</v>
      </c>
      <c r="F302" s="1" t="n">
        <f aca="false">IFERROR('dens_visc_beta+2octanone'!D22,"")</f>
        <v>40</v>
      </c>
      <c r="G302" s="1" t="str">
        <f aca="false">IFERROR('dens_visc_beta+2octanone'!A26,"")</f>
        <v/>
      </c>
      <c r="H302" s="1" t="n">
        <f aca="false">IFERROR('dens_visc_beta+2octanone'!D26,"")</f>
        <v>0</v>
      </c>
      <c r="I302" s="1" t="str">
        <f aca="false">IFERROR('dens_visc_beta+2octanone'!I26,"")</f>
        <v/>
      </c>
      <c r="J302" s="1" t="n">
        <f aca="false">IFERROR('dens_visc_beta+2octanone'!D40,"")</f>
        <v>0</v>
      </c>
      <c r="K302" s="1" t="str">
        <f aca="false">IF(AND(ISNUMBER(H302),ISNUMBER(I302),ISNUMBER(J302)),"✓",COUNTIF(H302:J302,"&gt;-999")&amp;"/3")</f>
        <v>2/3</v>
      </c>
    </row>
    <row r="303" customFormat="false" ht="15" hidden="false" customHeight="true" outlineLevel="0" collapsed="false">
      <c r="A303" s="1" t="s">
        <v>28</v>
      </c>
      <c r="B303" s="1" t="s">
        <v>12</v>
      </c>
      <c r="C303" s="1" t="s">
        <v>13</v>
      </c>
      <c r="D303" s="1" t="s">
        <v>29</v>
      </c>
      <c r="E303" s="1" t="s">
        <v>30</v>
      </c>
      <c r="F303" s="1" t="n">
        <f aca="false">IFERROR('dens_visc_beta+2octanone'!D22,"")</f>
        <v>40</v>
      </c>
      <c r="G303" s="1" t="str">
        <f aca="false">IFERROR('dens_visc_beta+2octanone'!A27,"")</f>
        <v/>
      </c>
      <c r="H303" s="1" t="n">
        <f aca="false">IFERROR('dens_visc_beta+2octanone'!D27,"")</f>
        <v>0</v>
      </c>
      <c r="I303" s="1" t="str">
        <f aca="false">IFERROR('dens_visc_beta+2octanone'!I27,"")</f>
        <v/>
      </c>
      <c r="J303" s="1" t="n">
        <f aca="false">IFERROR('dens_visc_beta+2octanone'!D41,"")</f>
        <v>0</v>
      </c>
      <c r="K303" s="1" t="str">
        <f aca="false">IF(AND(ISNUMBER(H303),ISNUMBER(I303),ISNUMBER(J303)),"✓",COUNTIF(H303:J303,"&gt;-999")&amp;"/3")</f>
        <v>2/3</v>
      </c>
    </row>
    <row r="304" customFormat="false" ht="15" hidden="false" customHeight="true" outlineLevel="0" collapsed="false">
      <c r="A304" s="1" t="s">
        <v>28</v>
      </c>
      <c r="B304" s="1" t="s">
        <v>12</v>
      </c>
      <c r="C304" s="1" t="s">
        <v>13</v>
      </c>
      <c r="D304" s="1" t="s">
        <v>29</v>
      </c>
      <c r="E304" s="1" t="s">
        <v>30</v>
      </c>
      <c r="F304" s="1" t="n">
        <f aca="false">IFERROR('dens_visc_beta+2octanone'!D22,"")</f>
        <v>40</v>
      </c>
      <c r="G304" s="1" t="str">
        <f aca="false">IFERROR('dens_visc_beta+2octanone'!A28,"")</f>
        <v/>
      </c>
      <c r="H304" s="1" t="n">
        <f aca="false">IFERROR('dens_visc_beta+2octanone'!D28,"")</f>
        <v>0</v>
      </c>
      <c r="I304" s="1" t="str">
        <f aca="false">IFERROR('dens_visc_beta+2octanone'!I28,"")</f>
        <v/>
      </c>
      <c r="J304" s="1" t="n">
        <f aca="false">IFERROR('dens_visc_beta+2octanone'!D42,"")</f>
        <v>0</v>
      </c>
      <c r="K304" s="1" t="str">
        <f aca="false">IF(AND(ISNUMBER(H304),ISNUMBER(I304),ISNUMBER(J304)),"✓",COUNTIF(H304:J304,"&gt;-999")&amp;"/3")</f>
        <v>2/3</v>
      </c>
    </row>
    <row r="305" customFormat="false" ht="15" hidden="false" customHeight="true" outlineLevel="0" collapsed="false">
      <c r="A305" s="1" t="s">
        <v>28</v>
      </c>
      <c r="B305" s="1" t="s">
        <v>12</v>
      </c>
      <c r="C305" s="1" t="s">
        <v>13</v>
      </c>
      <c r="D305" s="1" t="s">
        <v>29</v>
      </c>
      <c r="E305" s="1" t="s">
        <v>30</v>
      </c>
      <c r="F305" s="1" t="n">
        <f aca="false">IFERROR('dens_visc_beta+2octanone'!D22,"")</f>
        <v>40</v>
      </c>
      <c r="G305" s="1" t="str">
        <f aca="false">IFERROR('dens_visc_beta+2octanone'!A29,"")</f>
        <v/>
      </c>
      <c r="H305" s="1" t="n">
        <f aca="false">IFERROR('dens_visc_beta+2octanone'!D29,"")</f>
        <v>0</v>
      </c>
      <c r="I305" s="1" t="str">
        <f aca="false">IFERROR('dens_visc_beta+2octanone'!I29,"")</f>
        <v/>
      </c>
      <c r="J305" s="1" t="n">
        <f aca="false">IFERROR('dens_visc_beta+2octanone'!D43,"")</f>
        <v>0</v>
      </c>
      <c r="K305" s="1" t="str">
        <f aca="false">IF(AND(ISNUMBER(H305),ISNUMBER(I305),ISNUMBER(J305)),"✓",COUNTIF(H305:J305,"&gt;-999")&amp;"/3")</f>
        <v>2/3</v>
      </c>
    </row>
    <row r="306" customFormat="false" ht="15" hidden="false" customHeight="true" outlineLevel="0" collapsed="false">
      <c r="A306" s="1" t="s">
        <v>28</v>
      </c>
      <c r="B306" s="1" t="s">
        <v>12</v>
      </c>
      <c r="C306" s="1" t="s">
        <v>13</v>
      </c>
      <c r="D306" s="1" t="s">
        <v>29</v>
      </c>
      <c r="E306" s="1" t="s">
        <v>30</v>
      </c>
      <c r="F306" s="1" t="n">
        <f aca="false">IFERROR('dens_visc_beta+2octanone'!D22,"")</f>
        <v>40</v>
      </c>
      <c r="G306" s="1" t="str">
        <f aca="false">IFERROR('dens_visc_beta+2octanone'!A30,"")</f>
        <v/>
      </c>
      <c r="H306" s="1" t="n">
        <f aca="false">IFERROR('dens_visc_beta+2octanone'!D30,"")</f>
        <v>0</v>
      </c>
      <c r="I306" s="1" t="str">
        <f aca="false">IFERROR('dens_visc_beta+2octanone'!I30,"")</f>
        <v/>
      </c>
      <c r="J306" s="1" t="n">
        <f aca="false">IFERROR('dens_visc_beta+2octanone'!D44,"")</f>
        <v>0</v>
      </c>
      <c r="K306" s="1" t="str">
        <f aca="false">IF(AND(ISNUMBER(H306),ISNUMBER(I306),ISNUMBER(J306)),"✓",COUNTIF(H306:J306,"&gt;-999")&amp;"/3")</f>
        <v>2/3</v>
      </c>
    </row>
    <row r="307" customFormat="false" ht="15" hidden="false" customHeight="true" outlineLevel="0" collapsed="false">
      <c r="A307" s="1" t="s">
        <v>28</v>
      </c>
      <c r="B307" s="1" t="s">
        <v>12</v>
      </c>
      <c r="C307" s="1" t="s">
        <v>13</v>
      </c>
      <c r="D307" s="1" t="s">
        <v>29</v>
      </c>
      <c r="E307" s="1" t="s">
        <v>30</v>
      </c>
      <c r="F307" s="1" t="n">
        <f aca="false">IFERROR('dens_visc_beta+2octanone'!D22,"")</f>
        <v>40</v>
      </c>
      <c r="G307" s="1" t="str">
        <f aca="false">IFERROR('dens_visc_beta+2octanone'!A31,"")</f>
        <v/>
      </c>
      <c r="H307" s="1" t="n">
        <f aca="false">IFERROR('dens_visc_beta+2octanone'!D31,"")</f>
        <v>0</v>
      </c>
      <c r="I307" s="1" t="str">
        <f aca="false">IFERROR('dens_visc_beta+2octanone'!I31,"")</f>
        <v/>
      </c>
      <c r="J307" s="1" t="n">
        <f aca="false">IFERROR('dens_visc_beta+2octanone'!D45,"")</f>
        <v>0</v>
      </c>
      <c r="K307" s="1" t="str">
        <f aca="false">IF(AND(ISNUMBER(H307),ISNUMBER(I307),ISNUMBER(J307)),"✓",COUNTIF(H307:J307,"&gt;-999")&amp;"/3")</f>
        <v>2/3</v>
      </c>
    </row>
    <row r="308" customFormat="false" ht="15" hidden="false" customHeight="true" outlineLevel="0" collapsed="false">
      <c r="A308" s="1" t="s">
        <v>28</v>
      </c>
      <c r="B308" s="1" t="s">
        <v>12</v>
      </c>
      <c r="C308" s="1" t="s">
        <v>13</v>
      </c>
      <c r="D308" s="1" t="s">
        <v>29</v>
      </c>
      <c r="E308" s="1" t="s">
        <v>30</v>
      </c>
      <c r="F308" s="1" t="n">
        <f aca="false">IFERROR('dens_visc_beta+2octanone'!D22,"")</f>
        <v>40</v>
      </c>
      <c r="G308" s="1" t="str">
        <f aca="false">IFERROR('dens_visc_beta+2octanone'!A32,"")</f>
        <v/>
      </c>
      <c r="H308" s="1" t="n">
        <f aca="false">IFERROR('dens_visc_beta+2octanone'!D32,"")</f>
        <v>0</v>
      </c>
      <c r="I308" s="1" t="str">
        <f aca="false">IFERROR('dens_visc_beta+2octanone'!I32,"")</f>
        <v/>
      </c>
      <c r="J308" s="1" t="n">
        <f aca="false">IFERROR('dens_visc_beta+2octanone'!D46,"")</f>
        <v>0</v>
      </c>
      <c r="K308" s="1" t="str">
        <f aca="false">IF(AND(ISNUMBER(H308),ISNUMBER(I308),ISNUMBER(J308)),"✓",COUNTIF(H308:J308,"&gt;-999")&amp;"/3")</f>
        <v>2/3</v>
      </c>
    </row>
    <row r="309" customFormat="false" ht="15" hidden="false" customHeight="true" outlineLevel="0" collapsed="false">
      <c r="A309" s="1" t="s">
        <v>28</v>
      </c>
      <c r="B309" s="1" t="s">
        <v>12</v>
      </c>
      <c r="C309" s="1" t="s">
        <v>13</v>
      </c>
      <c r="D309" s="1" t="s">
        <v>29</v>
      </c>
      <c r="E309" s="1" t="s">
        <v>30</v>
      </c>
      <c r="F309" s="1" t="n">
        <f aca="false">IFERROR('dens_visc_beta+2octanone'!D22,"")</f>
        <v>40</v>
      </c>
      <c r="G309" s="1" t="str">
        <f aca="false">IFERROR('dens_visc_beta+2octanone'!A33,"")</f>
        <v/>
      </c>
      <c r="H309" s="1" t="n">
        <f aca="false">IFERROR('dens_visc_beta+2octanone'!D33,"")</f>
        <v>0.9295</v>
      </c>
      <c r="I309" s="1" t="str">
        <f aca="false">IFERROR('dens_visc_beta+2octanone'!I33,"")</f>
        <v/>
      </c>
      <c r="J309" s="1" t="n">
        <f aca="false">IFERROR('dens_visc_beta+2octanone'!D47,"")</f>
        <v>5.121</v>
      </c>
      <c r="K309" s="1" t="str">
        <f aca="false">IF(AND(ISNUMBER(H309),ISNUMBER(I309),ISNUMBER(J309)),"✓",COUNTIF(H309:J309,"&gt;-999")&amp;"/3")</f>
        <v>2/3</v>
      </c>
    </row>
    <row r="310" customFormat="false" ht="15" hidden="false" customHeight="true" outlineLevel="0" collapsed="false">
      <c r="A310" s="1" t="s">
        <v>28</v>
      </c>
      <c r="B310" s="1" t="s">
        <v>12</v>
      </c>
      <c r="C310" s="1" t="s">
        <v>13</v>
      </c>
      <c r="D310" s="1" t="s">
        <v>29</v>
      </c>
      <c r="E310" s="1" t="s">
        <v>30</v>
      </c>
      <c r="F310" s="1" t="n">
        <f aca="false">IFERROR('dens_visc_beta+2octanone'!E22,"")</f>
        <v>50</v>
      </c>
      <c r="G310" s="1" t="str">
        <f aca="false">IFERROR('dens_visc_beta+2octanone'!A23,"")</f>
        <v/>
      </c>
      <c r="H310" s="1" t="n">
        <f aca="false">IFERROR('dens_visc_beta+2octanone'!E23,"")</f>
        <v>0.79435</v>
      </c>
      <c r="I310" s="1" t="str">
        <f aca="false">IFERROR('dens_visc_beta+2octanone'!J23,"")</f>
        <v/>
      </c>
      <c r="J310" s="1" t="n">
        <f aca="false">IFERROR('dens_visc_beta+2octanone'!E37,"")</f>
        <v>0.668</v>
      </c>
      <c r="K310" s="1" t="str">
        <f aca="false">IF(AND(ISNUMBER(H310),ISNUMBER(I310),ISNUMBER(J310)),"✓",COUNTIF(H310:J310,"&gt;-999")&amp;"/3")</f>
        <v>2/3</v>
      </c>
    </row>
    <row r="311" customFormat="false" ht="15" hidden="false" customHeight="true" outlineLevel="0" collapsed="false">
      <c r="A311" s="1" t="s">
        <v>28</v>
      </c>
      <c r="B311" s="1" t="s">
        <v>12</v>
      </c>
      <c r="C311" s="1" t="s">
        <v>13</v>
      </c>
      <c r="D311" s="1" t="s">
        <v>29</v>
      </c>
      <c r="E311" s="1" t="s">
        <v>30</v>
      </c>
      <c r="F311" s="1" t="n">
        <f aca="false">IFERROR('dens_visc_beta+2octanone'!E22,"")</f>
        <v>50</v>
      </c>
      <c r="G311" s="1" t="str">
        <f aca="false">IFERROR('dens_visc_beta+2octanone'!A24,"")</f>
        <v/>
      </c>
      <c r="H311" s="1" t="n">
        <f aca="false">IFERROR('dens_visc_beta+2octanone'!E24,"")</f>
        <v>0</v>
      </c>
      <c r="I311" s="1" t="str">
        <f aca="false">IFERROR('dens_visc_beta+2octanone'!J24,"")</f>
        <v/>
      </c>
      <c r="J311" s="1" t="n">
        <f aca="false">IFERROR('dens_visc_beta+2octanone'!E38,"")</f>
        <v>0</v>
      </c>
      <c r="K311" s="1" t="str">
        <f aca="false">IF(AND(ISNUMBER(H311),ISNUMBER(I311),ISNUMBER(J311)),"✓",COUNTIF(H311:J311,"&gt;-999")&amp;"/3")</f>
        <v>2/3</v>
      </c>
    </row>
    <row r="312" customFormat="false" ht="15" hidden="false" customHeight="true" outlineLevel="0" collapsed="false">
      <c r="A312" s="1" t="s">
        <v>28</v>
      </c>
      <c r="B312" s="1" t="s">
        <v>12</v>
      </c>
      <c r="C312" s="1" t="s">
        <v>13</v>
      </c>
      <c r="D312" s="1" t="s">
        <v>29</v>
      </c>
      <c r="E312" s="1" t="s">
        <v>30</v>
      </c>
      <c r="F312" s="1" t="n">
        <f aca="false">IFERROR('dens_visc_beta+2octanone'!E22,"")</f>
        <v>50</v>
      </c>
      <c r="G312" s="1" t="str">
        <f aca="false">IFERROR('dens_visc_beta+2octanone'!A25,"")</f>
        <v/>
      </c>
      <c r="H312" s="1" t="n">
        <f aca="false">IFERROR('dens_visc_beta+2octanone'!E25,"")</f>
        <v>0</v>
      </c>
      <c r="I312" s="1" t="str">
        <f aca="false">IFERROR('dens_visc_beta+2octanone'!J25,"")</f>
        <v/>
      </c>
      <c r="J312" s="1" t="n">
        <f aca="false">IFERROR('dens_visc_beta+2octanone'!E39,"")</f>
        <v>0</v>
      </c>
      <c r="K312" s="1" t="str">
        <f aca="false">IF(AND(ISNUMBER(H312),ISNUMBER(I312),ISNUMBER(J312)),"✓",COUNTIF(H312:J312,"&gt;-999")&amp;"/3")</f>
        <v>2/3</v>
      </c>
    </row>
    <row r="313" customFormat="false" ht="15" hidden="false" customHeight="true" outlineLevel="0" collapsed="false">
      <c r="A313" s="1" t="s">
        <v>28</v>
      </c>
      <c r="B313" s="1" t="s">
        <v>12</v>
      </c>
      <c r="C313" s="1" t="s">
        <v>13</v>
      </c>
      <c r="D313" s="1" t="s">
        <v>29</v>
      </c>
      <c r="E313" s="1" t="s">
        <v>30</v>
      </c>
      <c r="F313" s="1" t="n">
        <f aca="false">IFERROR('dens_visc_beta+2octanone'!E22,"")</f>
        <v>50</v>
      </c>
      <c r="G313" s="1" t="str">
        <f aca="false">IFERROR('dens_visc_beta+2octanone'!A26,"")</f>
        <v/>
      </c>
      <c r="H313" s="1" t="n">
        <f aca="false">IFERROR('dens_visc_beta+2octanone'!E26,"")</f>
        <v>0</v>
      </c>
      <c r="I313" s="1" t="str">
        <f aca="false">IFERROR('dens_visc_beta+2octanone'!J26,"")</f>
        <v/>
      </c>
      <c r="J313" s="1" t="n">
        <f aca="false">IFERROR('dens_visc_beta+2octanone'!E40,"")</f>
        <v>0</v>
      </c>
      <c r="K313" s="1" t="str">
        <f aca="false">IF(AND(ISNUMBER(H313),ISNUMBER(I313),ISNUMBER(J313)),"✓",COUNTIF(H313:J313,"&gt;-999")&amp;"/3")</f>
        <v>2/3</v>
      </c>
    </row>
    <row r="314" customFormat="false" ht="15" hidden="false" customHeight="true" outlineLevel="0" collapsed="false">
      <c r="A314" s="1" t="s">
        <v>28</v>
      </c>
      <c r="B314" s="1" t="s">
        <v>12</v>
      </c>
      <c r="C314" s="1" t="s">
        <v>13</v>
      </c>
      <c r="D314" s="1" t="s">
        <v>29</v>
      </c>
      <c r="E314" s="1" t="s">
        <v>30</v>
      </c>
      <c r="F314" s="1" t="n">
        <f aca="false">IFERROR('dens_visc_beta+2octanone'!E22,"")</f>
        <v>50</v>
      </c>
      <c r="G314" s="1" t="str">
        <f aca="false">IFERROR('dens_visc_beta+2octanone'!A27,"")</f>
        <v/>
      </c>
      <c r="H314" s="1" t="n">
        <f aca="false">IFERROR('dens_visc_beta+2octanone'!E27,"")</f>
        <v>0</v>
      </c>
      <c r="I314" s="1" t="str">
        <f aca="false">IFERROR('dens_visc_beta+2octanone'!J27,"")</f>
        <v/>
      </c>
      <c r="J314" s="1" t="n">
        <f aca="false">IFERROR('dens_visc_beta+2octanone'!E41,"")</f>
        <v>0</v>
      </c>
      <c r="K314" s="1" t="str">
        <f aca="false">IF(AND(ISNUMBER(H314),ISNUMBER(I314),ISNUMBER(J314)),"✓",COUNTIF(H314:J314,"&gt;-999")&amp;"/3")</f>
        <v>2/3</v>
      </c>
    </row>
    <row r="315" customFormat="false" ht="15" hidden="false" customHeight="true" outlineLevel="0" collapsed="false">
      <c r="A315" s="1" t="s">
        <v>28</v>
      </c>
      <c r="B315" s="1" t="s">
        <v>12</v>
      </c>
      <c r="C315" s="1" t="s">
        <v>13</v>
      </c>
      <c r="D315" s="1" t="s">
        <v>29</v>
      </c>
      <c r="E315" s="1" t="s">
        <v>30</v>
      </c>
      <c r="F315" s="1" t="n">
        <f aca="false">IFERROR('dens_visc_beta+2octanone'!E22,"")</f>
        <v>50</v>
      </c>
      <c r="G315" s="1" t="str">
        <f aca="false">IFERROR('dens_visc_beta+2octanone'!A28,"")</f>
        <v/>
      </c>
      <c r="H315" s="1" t="n">
        <f aca="false">IFERROR('dens_visc_beta+2octanone'!E28,"")</f>
        <v>0</v>
      </c>
      <c r="I315" s="1" t="str">
        <f aca="false">IFERROR('dens_visc_beta+2octanone'!J28,"")</f>
        <v/>
      </c>
      <c r="J315" s="1" t="n">
        <f aca="false">IFERROR('dens_visc_beta+2octanone'!E42,"")</f>
        <v>0</v>
      </c>
      <c r="K315" s="1" t="str">
        <f aca="false">IF(AND(ISNUMBER(H315),ISNUMBER(I315),ISNUMBER(J315)),"✓",COUNTIF(H315:J315,"&gt;-999")&amp;"/3")</f>
        <v>2/3</v>
      </c>
    </row>
    <row r="316" customFormat="false" ht="15" hidden="false" customHeight="true" outlineLevel="0" collapsed="false">
      <c r="A316" s="1" t="s">
        <v>28</v>
      </c>
      <c r="B316" s="1" t="s">
        <v>12</v>
      </c>
      <c r="C316" s="1" t="s">
        <v>13</v>
      </c>
      <c r="D316" s="1" t="s">
        <v>29</v>
      </c>
      <c r="E316" s="1" t="s">
        <v>30</v>
      </c>
      <c r="F316" s="1" t="n">
        <f aca="false">IFERROR('dens_visc_beta+2octanone'!E22,"")</f>
        <v>50</v>
      </c>
      <c r="G316" s="1" t="str">
        <f aca="false">IFERROR('dens_visc_beta+2octanone'!A29,"")</f>
        <v/>
      </c>
      <c r="H316" s="1" t="n">
        <f aca="false">IFERROR('dens_visc_beta+2octanone'!E29,"")</f>
        <v>0</v>
      </c>
      <c r="I316" s="1" t="str">
        <f aca="false">IFERROR('dens_visc_beta+2octanone'!J29,"")</f>
        <v/>
      </c>
      <c r="J316" s="1" t="n">
        <f aca="false">IFERROR('dens_visc_beta+2octanone'!E43,"")</f>
        <v>0</v>
      </c>
      <c r="K316" s="1" t="str">
        <f aca="false">IF(AND(ISNUMBER(H316),ISNUMBER(I316),ISNUMBER(J316)),"✓",COUNTIF(H316:J316,"&gt;-999")&amp;"/3")</f>
        <v>2/3</v>
      </c>
    </row>
    <row r="317" customFormat="false" ht="15" hidden="false" customHeight="true" outlineLevel="0" collapsed="false">
      <c r="A317" s="1" t="s">
        <v>28</v>
      </c>
      <c r="B317" s="1" t="s">
        <v>12</v>
      </c>
      <c r="C317" s="1" t="s">
        <v>13</v>
      </c>
      <c r="D317" s="1" t="s">
        <v>29</v>
      </c>
      <c r="E317" s="1" t="s">
        <v>30</v>
      </c>
      <c r="F317" s="1" t="n">
        <f aca="false">IFERROR('dens_visc_beta+2octanone'!E22,"")</f>
        <v>50</v>
      </c>
      <c r="G317" s="1" t="str">
        <f aca="false">IFERROR('dens_visc_beta+2octanone'!A30,"")</f>
        <v/>
      </c>
      <c r="H317" s="1" t="n">
        <f aca="false">IFERROR('dens_visc_beta+2octanone'!E30,"")</f>
        <v>0</v>
      </c>
      <c r="I317" s="1" t="str">
        <f aca="false">IFERROR('dens_visc_beta+2octanone'!J30,"")</f>
        <v/>
      </c>
      <c r="J317" s="1" t="n">
        <f aca="false">IFERROR('dens_visc_beta+2octanone'!E44,"")</f>
        <v>0</v>
      </c>
      <c r="K317" s="1" t="str">
        <f aca="false">IF(AND(ISNUMBER(H317),ISNUMBER(I317),ISNUMBER(J317)),"✓",COUNTIF(H317:J317,"&gt;-999")&amp;"/3")</f>
        <v>2/3</v>
      </c>
    </row>
    <row r="318" customFormat="false" ht="15" hidden="false" customHeight="true" outlineLevel="0" collapsed="false">
      <c r="A318" s="1" t="s">
        <v>28</v>
      </c>
      <c r="B318" s="1" t="s">
        <v>12</v>
      </c>
      <c r="C318" s="1" t="s">
        <v>13</v>
      </c>
      <c r="D318" s="1" t="s">
        <v>29</v>
      </c>
      <c r="E318" s="1" t="s">
        <v>30</v>
      </c>
      <c r="F318" s="1" t="n">
        <f aca="false">IFERROR('dens_visc_beta+2octanone'!E22,"")</f>
        <v>50</v>
      </c>
      <c r="G318" s="1" t="str">
        <f aca="false">IFERROR('dens_visc_beta+2octanone'!A31,"")</f>
        <v/>
      </c>
      <c r="H318" s="1" t="n">
        <f aca="false">IFERROR('dens_visc_beta+2octanone'!E31,"")</f>
        <v>0</v>
      </c>
      <c r="I318" s="1" t="str">
        <f aca="false">IFERROR('dens_visc_beta+2octanone'!J31,"")</f>
        <v/>
      </c>
      <c r="J318" s="1" t="n">
        <f aca="false">IFERROR('dens_visc_beta+2octanone'!E45,"")</f>
        <v>0</v>
      </c>
      <c r="K318" s="1" t="str">
        <f aca="false">IF(AND(ISNUMBER(H318),ISNUMBER(I318),ISNUMBER(J318)),"✓",COUNTIF(H318:J318,"&gt;-999")&amp;"/3")</f>
        <v>2/3</v>
      </c>
    </row>
    <row r="319" customFormat="false" ht="15" hidden="false" customHeight="true" outlineLevel="0" collapsed="false">
      <c r="A319" s="1" t="s">
        <v>28</v>
      </c>
      <c r="B319" s="1" t="s">
        <v>12</v>
      </c>
      <c r="C319" s="1" t="s">
        <v>13</v>
      </c>
      <c r="D319" s="1" t="s">
        <v>29</v>
      </c>
      <c r="E319" s="1" t="s">
        <v>30</v>
      </c>
      <c r="F319" s="1" t="n">
        <f aca="false">IFERROR('dens_visc_beta+2octanone'!E22,"")</f>
        <v>50</v>
      </c>
      <c r="G319" s="1" t="str">
        <f aca="false">IFERROR('dens_visc_beta+2octanone'!A32,"")</f>
        <v/>
      </c>
      <c r="H319" s="1" t="n">
        <f aca="false">IFERROR('dens_visc_beta+2octanone'!E32,"")</f>
        <v>0</v>
      </c>
      <c r="I319" s="1" t="str">
        <f aca="false">IFERROR('dens_visc_beta+2octanone'!J32,"")</f>
        <v/>
      </c>
      <c r="J319" s="1" t="n">
        <f aca="false">IFERROR('dens_visc_beta+2octanone'!E46,"")</f>
        <v>0</v>
      </c>
      <c r="K319" s="1" t="str">
        <f aca="false">IF(AND(ISNUMBER(H319),ISNUMBER(I319),ISNUMBER(J319)),"✓",COUNTIF(H319:J319,"&gt;-999")&amp;"/3")</f>
        <v>2/3</v>
      </c>
    </row>
    <row r="320" customFormat="false" ht="15" hidden="false" customHeight="true" outlineLevel="0" collapsed="false">
      <c r="A320" s="1" t="s">
        <v>28</v>
      </c>
      <c r="B320" s="1" t="s">
        <v>12</v>
      </c>
      <c r="C320" s="1" t="s">
        <v>13</v>
      </c>
      <c r="D320" s="1" t="s">
        <v>29</v>
      </c>
      <c r="E320" s="1" t="s">
        <v>30</v>
      </c>
      <c r="F320" s="1" t="n">
        <f aca="false">IFERROR('dens_visc_beta+2octanone'!E22,"")</f>
        <v>50</v>
      </c>
      <c r="G320" s="1" t="str">
        <f aca="false">IFERROR('dens_visc_beta+2octanone'!A33,"")</f>
        <v/>
      </c>
      <c r="H320" s="1" t="n">
        <f aca="false">IFERROR('dens_visc_beta+2octanone'!E33,"")</f>
        <v>0.92172</v>
      </c>
      <c r="I320" s="1" t="str">
        <f aca="false">IFERROR('dens_visc_beta+2octanone'!J33,"")</f>
        <v/>
      </c>
      <c r="J320" s="1" t="n">
        <f aca="false">IFERROR('dens_visc_beta+2octanone'!E47,"")</f>
        <v>3.792</v>
      </c>
      <c r="K320" s="1" t="str">
        <f aca="false">IF(AND(ISNUMBER(H320),ISNUMBER(I320),ISNUMBER(J320)),"✓",COUNTIF(H320:J320,"&gt;-999")&amp;"/3")</f>
        <v>2/3</v>
      </c>
    </row>
    <row r="321" customFormat="false" ht="15" hidden="false" customHeight="true" outlineLevel="0" collapsed="false">
      <c r="A321" s="1" t="s">
        <v>28</v>
      </c>
      <c r="B321" s="1" t="s">
        <v>12</v>
      </c>
      <c r="C321" s="1" t="s">
        <v>13</v>
      </c>
      <c r="D321" s="1" t="s">
        <v>29</v>
      </c>
      <c r="E321" s="1" t="s">
        <v>30</v>
      </c>
      <c r="F321" s="1" t="n">
        <f aca="false">IFERROR('dens_visc_beta+2octanone'!F22,"")</f>
        <v>60</v>
      </c>
      <c r="G321" s="1" t="str">
        <f aca="false">IFERROR('dens_visc_beta+2octanone'!A23,"")</f>
        <v/>
      </c>
      <c r="H321" s="1" t="n">
        <f aca="false">IFERROR('dens_visc_beta+2octanone'!F23,"")</f>
        <v>0.78598</v>
      </c>
      <c r="I321" s="1" t="str">
        <f aca="false">IFERROR('dens_visc_beta+2octanone'!K23,"")</f>
        <v/>
      </c>
      <c r="J321" s="1" t="n">
        <f aca="false">IFERROR('dens_visc_beta+2octanone'!F37,"")</f>
        <v>0.595</v>
      </c>
      <c r="K321" s="1" t="str">
        <f aca="false">IF(AND(ISNUMBER(H321),ISNUMBER(I321),ISNUMBER(J321)),"✓",COUNTIF(H321:J321,"&gt;-999")&amp;"/3")</f>
        <v>2/3</v>
      </c>
    </row>
    <row r="322" customFormat="false" ht="15" hidden="false" customHeight="true" outlineLevel="0" collapsed="false">
      <c r="A322" s="1" t="s">
        <v>28</v>
      </c>
      <c r="B322" s="1" t="s">
        <v>12</v>
      </c>
      <c r="C322" s="1" t="s">
        <v>13</v>
      </c>
      <c r="D322" s="1" t="s">
        <v>29</v>
      </c>
      <c r="E322" s="1" t="s">
        <v>30</v>
      </c>
      <c r="F322" s="1" t="n">
        <f aca="false">IFERROR('dens_visc_beta+2octanone'!F22,"")</f>
        <v>60</v>
      </c>
      <c r="G322" s="1" t="str">
        <f aca="false">IFERROR('dens_visc_beta+2octanone'!A24,"")</f>
        <v/>
      </c>
      <c r="H322" s="1" t="n">
        <f aca="false">IFERROR('dens_visc_beta+2octanone'!F24,"")</f>
        <v>0</v>
      </c>
      <c r="I322" s="1" t="str">
        <f aca="false">IFERROR('dens_visc_beta+2octanone'!K24,"")</f>
        <v/>
      </c>
      <c r="J322" s="1" t="n">
        <f aca="false">IFERROR('dens_visc_beta+2octanone'!F38,"")</f>
        <v>0</v>
      </c>
      <c r="K322" s="1" t="str">
        <f aca="false">IF(AND(ISNUMBER(H322),ISNUMBER(I322),ISNUMBER(J322)),"✓",COUNTIF(H322:J322,"&gt;-999")&amp;"/3")</f>
        <v>2/3</v>
      </c>
    </row>
    <row r="323" customFormat="false" ht="15" hidden="false" customHeight="true" outlineLevel="0" collapsed="false">
      <c r="A323" s="1" t="s">
        <v>28</v>
      </c>
      <c r="B323" s="1" t="s">
        <v>12</v>
      </c>
      <c r="C323" s="1" t="s">
        <v>13</v>
      </c>
      <c r="D323" s="1" t="s">
        <v>29</v>
      </c>
      <c r="E323" s="1" t="s">
        <v>30</v>
      </c>
      <c r="F323" s="1" t="n">
        <f aca="false">IFERROR('dens_visc_beta+2octanone'!F22,"")</f>
        <v>60</v>
      </c>
      <c r="G323" s="1" t="str">
        <f aca="false">IFERROR('dens_visc_beta+2octanone'!A25,"")</f>
        <v/>
      </c>
      <c r="H323" s="1" t="n">
        <f aca="false">IFERROR('dens_visc_beta+2octanone'!F25,"")</f>
        <v>0</v>
      </c>
      <c r="I323" s="1" t="str">
        <f aca="false">IFERROR('dens_visc_beta+2octanone'!K25,"")</f>
        <v/>
      </c>
      <c r="J323" s="1" t="n">
        <f aca="false">IFERROR('dens_visc_beta+2octanone'!F39,"")</f>
        <v>0</v>
      </c>
      <c r="K323" s="1" t="str">
        <f aca="false">IF(AND(ISNUMBER(H323),ISNUMBER(I323),ISNUMBER(J323)),"✓",COUNTIF(H323:J323,"&gt;-999")&amp;"/3")</f>
        <v>2/3</v>
      </c>
    </row>
    <row r="324" customFormat="false" ht="15" hidden="false" customHeight="true" outlineLevel="0" collapsed="false">
      <c r="A324" s="1" t="s">
        <v>28</v>
      </c>
      <c r="B324" s="1" t="s">
        <v>12</v>
      </c>
      <c r="C324" s="1" t="s">
        <v>13</v>
      </c>
      <c r="D324" s="1" t="s">
        <v>29</v>
      </c>
      <c r="E324" s="1" t="s">
        <v>30</v>
      </c>
      <c r="F324" s="1" t="n">
        <f aca="false">IFERROR('dens_visc_beta+2octanone'!F22,"")</f>
        <v>60</v>
      </c>
      <c r="G324" s="1" t="str">
        <f aca="false">IFERROR('dens_visc_beta+2octanone'!A26,"")</f>
        <v/>
      </c>
      <c r="H324" s="1" t="n">
        <f aca="false">IFERROR('dens_visc_beta+2octanone'!F26,"")</f>
        <v>0</v>
      </c>
      <c r="I324" s="1" t="str">
        <f aca="false">IFERROR('dens_visc_beta+2octanone'!K26,"")</f>
        <v/>
      </c>
      <c r="J324" s="1" t="n">
        <f aca="false">IFERROR('dens_visc_beta+2octanone'!F40,"")</f>
        <v>0</v>
      </c>
      <c r="K324" s="1" t="str">
        <f aca="false">IF(AND(ISNUMBER(H324),ISNUMBER(I324),ISNUMBER(J324)),"✓",COUNTIF(H324:J324,"&gt;-999")&amp;"/3")</f>
        <v>2/3</v>
      </c>
    </row>
    <row r="325" customFormat="false" ht="15" hidden="false" customHeight="true" outlineLevel="0" collapsed="false">
      <c r="A325" s="1" t="s">
        <v>28</v>
      </c>
      <c r="B325" s="1" t="s">
        <v>12</v>
      </c>
      <c r="C325" s="1" t="s">
        <v>13</v>
      </c>
      <c r="D325" s="1" t="s">
        <v>29</v>
      </c>
      <c r="E325" s="1" t="s">
        <v>30</v>
      </c>
      <c r="F325" s="1" t="n">
        <f aca="false">IFERROR('dens_visc_beta+2octanone'!F22,"")</f>
        <v>60</v>
      </c>
      <c r="G325" s="1" t="str">
        <f aca="false">IFERROR('dens_visc_beta+2octanone'!A27,"")</f>
        <v/>
      </c>
      <c r="H325" s="1" t="n">
        <f aca="false">IFERROR('dens_visc_beta+2octanone'!F27,"")</f>
        <v>0</v>
      </c>
      <c r="I325" s="1" t="str">
        <f aca="false">IFERROR('dens_visc_beta+2octanone'!K27,"")</f>
        <v/>
      </c>
      <c r="J325" s="1" t="n">
        <f aca="false">IFERROR('dens_visc_beta+2octanone'!F41,"")</f>
        <v>0</v>
      </c>
      <c r="K325" s="1" t="str">
        <f aca="false">IF(AND(ISNUMBER(H325),ISNUMBER(I325),ISNUMBER(J325)),"✓",COUNTIF(H325:J325,"&gt;-999")&amp;"/3")</f>
        <v>2/3</v>
      </c>
    </row>
    <row r="326" customFormat="false" ht="15" hidden="false" customHeight="true" outlineLevel="0" collapsed="false">
      <c r="A326" s="1" t="s">
        <v>28</v>
      </c>
      <c r="B326" s="1" t="s">
        <v>12</v>
      </c>
      <c r="C326" s="1" t="s">
        <v>13</v>
      </c>
      <c r="D326" s="1" t="s">
        <v>29</v>
      </c>
      <c r="E326" s="1" t="s">
        <v>30</v>
      </c>
      <c r="F326" s="1" t="n">
        <f aca="false">IFERROR('dens_visc_beta+2octanone'!F22,"")</f>
        <v>60</v>
      </c>
      <c r="G326" s="1" t="str">
        <f aca="false">IFERROR('dens_visc_beta+2octanone'!A28,"")</f>
        <v/>
      </c>
      <c r="H326" s="1" t="n">
        <f aca="false">IFERROR('dens_visc_beta+2octanone'!F28,"")</f>
        <v>0</v>
      </c>
      <c r="I326" s="1" t="str">
        <f aca="false">IFERROR('dens_visc_beta+2octanone'!K28,"")</f>
        <v/>
      </c>
      <c r="J326" s="1" t="n">
        <f aca="false">IFERROR('dens_visc_beta+2octanone'!F42,"")</f>
        <v>0</v>
      </c>
      <c r="K326" s="1" t="str">
        <f aca="false">IF(AND(ISNUMBER(H326),ISNUMBER(I326),ISNUMBER(J326)),"✓",COUNTIF(H326:J326,"&gt;-999")&amp;"/3")</f>
        <v>2/3</v>
      </c>
    </row>
    <row r="327" customFormat="false" ht="15" hidden="false" customHeight="true" outlineLevel="0" collapsed="false">
      <c r="A327" s="1" t="s">
        <v>28</v>
      </c>
      <c r="B327" s="1" t="s">
        <v>12</v>
      </c>
      <c r="C327" s="1" t="s">
        <v>13</v>
      </c>
      <c r="D327" s="1" t="s">
        <v>29</v>
      </c>
      <c r="E327" s="1" t="s">
        <v>30</v>
      </c>
      <c r="F327" s="1" t="n">
        <f aca="false">IFERROR('dens_visc_beta+2octanone'!F22,"")</f>
        <v>60</v>
      </c>
      <c r="G327" s="1" t="str">
        <f aca="false">IFERROR('dens_visc_beta+2octanone'!A29,"")</f>
        <v/>
      </c>
      <c r="H327" s="1" t="n">
        <f aca="false">IFERROR('dens_visc_beta+2octanone'!F29,"")</f>
        <v>0</v>
      </c>
      <c r="I327" s="1" t="str">
        <f aca="false">IFERROR('dens_visc_beta+2octanone'!K29,"")</f>
        <v/>
      </c>
      <c r="J327" s="1" t="n">
        <f aca="false">IFERROR('dens_visc_beta+2octanone'!F43,"")</f>
        <v>0</v>
      </c>
      <c r="K327" s="1" t="str">
        <f aca="false">IF(AND(ISNUMBER(H327),ISNUMBER(I327),ISNUMBER(J327)),"✓",COUNTIF(H327:J327,"&gt;-999")&amp;"/3")</f>
        <v>2/3</v>
      </c>
    </row>
    <row r="328" customFormat="false" ht="15" hidden="false" customHeight="true" outlineLevel="0" collapsed="false">
      <c r="A328" s="1" t="s">
        <v>28</v>
      </c>
      <c r="B328" s="1" t="s">
        <v>12</v>
      </c>
      <c r="C328" s="1" t="s">
        <v>13</v>
      </c>
      <c r="D328" s="1" t="s">
        <v>29</v>
      </c>
      <c r="E328" s="1" t="s">
        <v>30</v>
      </c>
      <c r="F328" s="1" t="n">
        <f aca="false">IFERROR('dens_visc_beta+2octanone'!F22,"")</f>
        <v>60</v>
      </c>
      <c r="G328" s="1" t="str">
        <f aca="false">IFERROR('dens_visc_beta+2octanone'!A30,"")</f>
        <v/>
      </c>
      <c r="H328" s="1" t="n">
        <f aca="false">IFERROR('dens_visc_beta+2octanone'!F30,"")</f>
        <v>0</v>
      </c>
      <c r="I328" s="1" t="str">
        <f aca="false">IFERROR('dens_visc_beta+2octanone'!K30,"")</f>
        <v/>
      </c>
      <c r="J328" s="1" t="n">
        <f aca="false">IFERROR('dens_visc_beta+2octanone'!F44,"")</f>
        <v>0</v>
      </c>
      <c r="K328" s="1" t="str">
        <f aca="false">IF(AND(ISNUMBER(H328),ISNUMBER(I328),ISNUMBER(J328)),"✓",COUNTIF(H328:J328,"&gt;-999")&amp;"/3")</f>
        <v>2/3</v>
      </c>
    </row>
    <row r="329" customFormat="false" ht="15" hidden="false" customHeight="true" outlineLevel="0" collapsed="false">
      <c r="A329" s="1" t="s">
        <v>28</v>
      </c>
      <c r="B329" s="1" t="s">
        <v>12</v>
      </c>
      <c r="C329" s="1" t="s">
        <v>13</v>
      </c>
      <c r="D329" s="1" t="s">
        <v>29</v>
      </c>
      <c r="E329" s="1" t="s">
        <v>30</v>
      </c>
      <c r="F329" s="1" t="n">
        <f aca="false">IFERROR('dens_visc_beta+2octanone'!F22,"")</f>
        <v>60</v>
      </c>
      <c r="G329" s="1" t="str">
        <f aca="false">IFERROR('dens_visc_beta+2octanone'!A31,"")</f>
        <v/>
      </c>
      <c r="H329" s="1" t="n">
        <f aca="false">IFERROR('dens_visc_beta+2octanone'!F31,"")</f>
        <v>0</v>
      </c>
      <c r="I329" s="1" t="str">
        <f aca="false">IFERROR('dens_visc_beta+2octanone'!K31,"")</f>
        <v/>
      </c>
      <c r="J329" s="1" t="n">
        <f aca="false">IFERROR('dens_visc_beta+2octanone'!F45,"")</f>
        <v>0</v>
      </c>
      <c r="K329" s="1" t="str">
        <f aca="false">IF(AND(ISNUMBER(H329),ISNUMBER(I329),ISNUMBER(J329)),"✓",COUNTIF(H329:J329,"&gt;-999")&amp;"/3")</f>
        <v>2/3</v>
      </c>
    </row>
    <row r="330" customFormat="false" ht="15" hidden="false" customHeight="true" outlineLevel="0" collapsed="false">
      <c r="A330" s="1" t="s">
        <v>28</v>
      </c>
      <c r="B330" s="1" t="s">
        <v>12</v>
      </c>
      <c r="C330" s="1" t="s">
        <v>13</v>
      </c>
      <c r="D330" s="1" t="s">
        <v>29</v>
      </c>
      <c r="E330" s="1" t="s">
        <v>30</v>
      </c>
      <c r="F330" s="1" t="n">
        <f aca="false">IFERROR('dens_visc_beta+2octanone'!F22,"")</f>
        <v>60</v>
      </c>
      <c r="G330" s="1" t="str">
        <f aca="false">IFERROR('dens_visc_beta+2octanone'!A32,"")</f>
        <v/>
      </c>
      <c r="H330" s="1" t="n">
        <f aca="false">IFERROR('dens_visc_beta+2octanone'!F32,"")</f>
        <v>0</v>
      </c>
      <c r="I330" s="1" t="str">
        <f aca="false">IFERROR('dens_visc_beta+2octanone'!K32,"")</f>
        <v/>
      </c>
      <c r="J330" s="1" t="n">
        <f aca="false">IFERROR('dens_visc_beta+2octanone'!F46,"")</f>
        <v>0</v>
      </c>
      <c r="K330" s="1" t="str">
        <f aca="false">IF(AND(ISNUMBER(H330),ISNUMBER(I330),ISNUMBER(J330)),"✓",COUNTIF(H330:J330,"&gt;-999")&amp;"/3")</f>
        <v>2/3</v>
      </c>
    </row>
    <row r="331" customFormat="false" ht="15" hidden="false" customHeight="true" outlineLevel="0" collapsed="false">
      <c r="A331" s="1" t="s">
        <v>28</v>
      </c>
      <c r="B331" s="1" t="s">
        <v>12</v>
      </c>
      <c r="C331" s="1" t="s">
        <v>13</v>
      </c>
      <c r="D331" s="1" t="s">
        <v>29</v>
      </c>
      <c r="E331" s="1" t="s">
        <v>30</v>
      </c>
      <c r="F331" s="1" t="n">
        <f aca="false">IFERROR('dens_visc_beta+2octanone'!F22,"")</f>
        <v>60</v>
      </c>
      <c r="G331" s="1" t="str">
        <f aca="false">IFERROR('dens_visc_beta+2octanone'!A33,"")</f>
        <v/>
      </c>
      <c r="H331" s="1" t="n">
        <f aca="false">IFERROR('dens_visc_beta+2octanone'!F33,"")</f>
        <v>0.91396</v>
      </c>
      <c r="I331" s="1" t="str">
        <f aca="false">IFERROR('dens_visc_beta+2octanone'!K33,"")</f>
        <v/>
      </c>
      <c r="J331" s="1" t="n">
        <f aca="false">IFERROR('dens_visc_beta+2octanone'!F47,"")</f>
        <v>2.938</v>
      </c>
      <c r="K331" s="1" t="str">
        <f aca="false">IF(AND(ISNUMBER(H331),ISNUMBER(I331),ISNUMBER(J331)),"✓",COUNTIF(H331:J331,"&gt;-999")&amp;"/3")</f>
        <v>2/3</v>
      </c>
    </row>
    <row r="332" customFormat="false" ht="15" hidden="false" customHeight="true" outlineLevel="0" collapsed="false">
      <c r="A332" s="1" t="s">
        <v>31</v>
      </c>
      <c r="B332" s="1" t="s">
        <v>32</v>
      </c>
      <c r="C332" s="1" t="s">
        <v>33</v>
      </c>
      <c r="D332" s="1" t="s">
        <v>14</v>
      </c>
      <c r="E332" s="1" t="s">
        <v>15</v>
      </c>
      <c r="F332" s="1" t="n">
        <f aca="false">IFERROR('dens_visc_2pe+2m3b2oh'!B22,"")</f>
        <v>20</v>
      </c>
      <c r="G332" s="1" t="n">
        <f aca="false">IFERROR('dens_visc_2pe+2m3b2oh'!A23,"")</f>
        <v>0</v>
      </c>
      <c r="H332" s="1" t="n">
        <f aca="false">IFERROR('dens_visc_2pe+2m3b2oh'!B23,"")</f>
        <v>0.82388</v>
      </c>
      <c r="I332" s="1" t="n">
        <f aca="false">IFERROR('dens_visc_2pe+2m3b2oh'!G23,"")</f>
        <v>0</v>
      </c>
      <c r="J332" s="1" t="n">
        <f aca="false">IFERROR('dens_visc_2pe+2m3b2oh'!B37,"")</f>
        <v>2.353</v>
      </c>
      <c r="K332" s="1" t="str">
        <f aca="false">IF(AND(ISNUMBER(H332),ISNUMBER(I332),ISNUMBER(J332)),"✓",COUNTIF(H332:J332,"&gt;-999")&amp;"/3")</f>
        <v>✓</v>
      </c>
    </row>
    <row r="333" customFormat="false" ht="15" hidden="false" customHeight="true" outlineLevel="0" collapsed="false">
      <c r="A333" s="1" t="s">
        <v>31</v>
      </c>
      <c r="B333" s="1" t="s">
        <v>32</v>
      </c>
      <c r="C333" s="1" t="s">
        <v>33</v>
      </c>
      <c r="D333" s="1" t="s">
        <v>14</v>
      </c>
      <c r="E333" s="1" t="s">
        <v>15</v>
      </c>
      <c r="F333" s="1" t="n">
        <f aca="false">IFERROR('dens_visc_2pe+2m3b2oh'!B22,"")</f>
        <v>20</v>
      </c>
      <c r="G333" s="1" t="n">
        <f aca="false">IFERROR('dens_visc_2pe+2m3b2oh'!A24,"")</f>
        <v>0.104194568642053</v>
      </c>
      <c r="H333" s="1" t="n">
        <f aca="false">IFERROR('dens_visc_2pe+2m3b2oh'!B24,"")</f>
        <v>0.84994</v>
      </c>
      <c r="I333" s="1" t="n">
        <f aca="false">IFERROR('dens_visc_2pe+2m3b2oh'!G24,"")</f>
        <v>-0.376389599100193</v>
      </c>
      <c r="J333" s="1" t="n">
        <f aca="false">IFERROR('dens_visc_2pe+2m3b2oh'!B38,"")</f>
        <v>3.095</v>
      </c>
      <c r="K333" s="1" t="str">
        <f aca="false">IF(AND(ISNUMBER(H333),ISNUMBER(I333),ISNUMBER(J333)),"✓",COUNTIF(H333:J333,"&gt;-999")&amp;"/3")</f>
        <v>✓</v>
      </c>
    </row>
    <row r="334" customFormat="false" ht="15" hidden="false" customHeight="true" outlineLevel="0" collapsed="false">
      <c r="A334" s="1" t="s">
        <v>31</v>
      </c>
      <c r="B334" s="1" t="s">
        <v>32</v>
      </c>
      <c r="C334" s="1" t="s">
        <v>33</v>
      </c>
      <c r="D334" s="1" t="s">
        <v>14</v>
      </c>
      <c r="E334" s="1" t="s">
        <v>15</v>
      </c>
      <c r="F334" s="1" t="n">
        <f aca="false">IFERROR('dens_visc_2pe+2m3b2oh'!B22,"")</f>
        <v>20</v>
      </c>
      <c r="G334" s="1" t="n">
        <f aca="false">IFERROR('dens_visc_2pe+2m3b2oh'!A25,"")</f>
        <v>0.201090673405402</v>
      </c>
      <c r="H334" s="1" t="n">
        <f aca="false">IFERROR('dens_visc_2pe+2m3b2oh'!B25,"")</f>
        <v>0.87251</v>
      </c>
      <c r="I334" s="1" t="n">
        <f aca="false">IFERROR('dens_visc_2pe+2m3b2oh'!G25,"")</f>
        <v>-0.587454262529619</v>
      </c>
      <c r="J334" s="1" t="n">
        <f aca="false">IFERROR('dens_visc_2pe+2m3b2oh'!B39,"")</f>
        <v>4.023</v>
      </c>
      <c r="K334" s="1" t="str">
        <f aca="false">IF(AND(ISNUMBER(H334),ISNUMBER(I334),ISNUMBER(J334)),"✓",COUNTIF(H334:J334,"&gt;-999")&amp;"/3")</f>
        <v>✓</v>
      </c>
    </row>
    <row r="335" customFormat="false" ht="15" hidden="false" customHeight="true" outlineLevel="0" collapsed="false">
      <c r="A335" s="1" t="s">
        <v>31</v>
      </c>
      <c r="B335" s="1" t="s">
        <v>32</v>
      </c>
      <c r="C335" s="1" t="s">
        <v>33</v>
      </c>
      <c r="D335" s="1" t="s">
        <v>14</v>
      </c>
      <c r="E335" s="1" t="s">
        <v>15</v>
      </c>
      <c r="F335" s="1" t="n">
        <f aca="false">IFERROR('dens_visc_2pe+2m3b2oh'!B22,"")</f>
        <v>20</v>
      </c>
      <c r="G335" s="1" t="n">
        <f aca="false">IFERROR('dens_visc_2pe+2m3b2oh'!A26,"")</f>
        <v>0.300033004605369</v>
      </c>
      <c r="H335" s="1" t="n">
        <f aca="false">IFERROR('dens_visc_2pe+2m3b2oh'!B26,"")</f>
        <v>0.89367</v>
      </c>
      <c r="I335" s="1" t="n">
        <f aca="false">IFERROR('dens_visc_2pe+2m3b2oh'!G26,"")</f>
        <v>-0.640288897768031</v>
      </c>
      <c r="J335" s="1" t="n">
        <f aca="false">IFERROR('dens_visc_2pe+2m3b2oh'!B40,"")</f>
        <v>4.48</v>
      </c>
      <c r="K335" s="1" t="str">
        <f aca="false">IF(AND(ISNUMBER(H335),ISNUMBER(I335),ISNUMBER(J335)),"✓",COUNTIF(H335:J335,"&gt;-999")&amp;"/3")</f>
        <v>✓</v>
      </c>
    </row>
    <row r="336" customFormat="false" ht="15" hidden="false" customHeight="true" outlineLevel="0" collapsed="false">
      <c r="A336" s="1" t="s">
        <v>31</v>
      </c>
      <c r="B336" s="1" t="s">
        <v>32</v>
      </c>
      <c r="C336" s="1" t="s">
        <v>33</v>
      </c>
      <c r="D336" s="1" t="s">
        <v>14</v>
      </c>
      <c r="E336" s="1" t="s">
        <v>15</v>
      </c>
      <c r="F336" s="1" t="n">
        <f aca="false">IFERROR('dens_visc_2pe+2m3b2oh'!B22,"")</f>
        <v>20</v>
      </c>
      <c r="G336" s="1" t="n">
        <f aca="false">IFERROR('dens_visc_2pe+2m3b2oh'!A27,"")</f>
        <v>0.408179689951665</v>
      </c>
      <c r="H336" s="1" t="n">
        <f aca="false">IFERROR('dens_visc_2pe+2m3b2oh'!B27,"")</f>
        <v>0.91618</v>
      </c>
      <c r="I336" s="1" t="n">
        <f aca="false">IFERROR('dens_visc_2pe+2m3b2oh'!G27,"")</f>
        <v>-0.700623015033372</v>
      </c>
      <c r="J336" s="1" t="n">
        <f aca="false">IFERROR('dens_visc_2pe+2m3b2oh'!B41,"")</f>
        <v>6.064</v>
      </c>
      <c r="K336" s="1" t="str">
        <f aca="false">IF(AND(ISNUMBER(H336),ISNUMBER(I336),ISNUMBER(J336)),"✓",COUNTIF(H336:J336,"&gt;-999")&amp;"/3")</f>
        <v>✓</v>
      </c>
    </row>
    <row r="337" customFormat="false" ht="15" hidden="false" customHeight="true" outlineLevel="0" collapsed="false">
      <c r="A337" s="1" t="s">
        <v>31</v>
      </c>
      <c r="B337" s="1" t="s">
        <v>32</v>
      </c>
      <c r="C337" s="1" t="s">
        <v>33</v>
      </c>
      <c r="D337" s="1" t="s">
        <v>14</v>
      </c>
      <c r="E337" s="1" t="s">
        <v>15</v>
      </c>
      <c r="F337" s="1" t="n">
        <f aca="false">IFERROR('dens_visc_2pe+2m3b2oh'!B22,"")</f>
        <v>20</v>
      </c>
      <c r="G337" s="1" t="n">
        <f aca="false">IFERROR('dens_visc_2pe+2m3b2oh'!A28,"")</f>
        <v>0.492211673008868</v>
      </c>
      <c r="H337" s="1" t="n">
        <f aca="false">IFERROR('dens_visc_2pe+2m3b2oh'!B28,"")</f>
        <v>0.93261</v>
      </c>
      <c r="I337" s="1" t="n">
        <f aca="false">IFERROR('dens_visc_2pe+2m3b2oh'!G28,"")</f>
        <v>-0.673842296544876</v>
      </c>
      <c r="J337" s="1" t="n">
        <f aca="false">IFERROR('dens_visc_2pe+2m3b2oh'!B42,"")</f>
        <v>7.061</v>
      </c>
      <c r="K337" s="1" t="str">
        <f aca="false">IF(AND(ISNUMBER(H337),ISNUMBER(I337),ISNUMBER(J337)),"✓",COUNTIF(H337:J337,"&gt;-999")&amp;"/3")</f>
        <v>✓</v>
      </c>
    </row>
    <row r="338" customFormat="false" ht="15" hidden="false" customHeight="true" outlineLevel="0" collapsed="false">
      <c r="A338" s="1" t="s">
        <v>31</v>
      </c>
      <c r="B338" s="1" t="s">
        <v>32</v>
      </c>
      <c r="C338" s="1" t="s">
        <v>33</v>
      </c>
      <c r="D338" s="1" t="s">
        <v>14</v>
      </c>
      <c r="E338" s="1" t="s">
        <v>15</v>
      </c>
      <c r="F338" s="1" t="n">
        <f aca="false">IFERROR('dens_visc_2pe+2m3b2oh'!B22,"")</f>
        <v>20</v>
      </c>
      <c r="G338" s="1" t="n">
        <f aca="false">IFERROR('dens_visc_2pe+2m3b2oh'!A29,"")</f>
        <v>0.604732715235313</v>
      </c>
      <c r="H338" s="1" t="n">
        <f aca="false">IFERROR('dens_visc_2pe+2m3b2oh'!B29,"")</f>
        <v>0.95358</v>
      </c>
      <c r="I338" s="1" t="n">
        <f aca="false">IFERROR('dens_visc_2pe+2m3b2oh'!G29,"")</f>
        <v>-0.586328234899114</v>
      </c>
      <c r="J338" s="1" t="n">
        <f aca="false">IFERROR('dens_visc_2pe+2m3b2oh'!B43,"")</f>
        <v>8.918</v>
      </c>
      <c r="K338" s="1" t="str">
        <f aca="false">IF(AND(ISNUMBER(H338),ISNUMBER(I338),ISNUMBER(J338)),"✓",COUNTIF(H338:J338,"&gt;-999")&amp;"/3")</f>
        <v>✓</v>
      </c>
    </row>
    <row r="339" customFormat="false" ht="15" hidden="false" customHeight="true" outlineLevel="0" collapsed="false">
      <c r="A339" s="1" t="s">
        <v>31</v>
      </c>
      <c r="B339" s="1" t="s">
        <v>32</v>
      </c>
      <c r="C339" s="1" t="s">
        <v>33</v>
      </c>
      <c r="D339" s="1" t="s">
        <v>14</v>
      </c>
      <c r="E339" s="1" t="s">
        <v>15</v>
      </c>
      <c r="F339" s="1" t="n">
        <f aca="false">IFERROR('dens_visc_2pe+2m3b2oh'!B22,"")</f>
        <v>20</v>
      </c>
      <c r="G339" s="1" t="n">
        <f aca="false">IFERROR('dens_visc_2pe+2m3b2oh'!A30,"")</f>
        <v>0.701941849611573</v>
      </c>
      <c r="H339" s="1" t="n">
        <f aca="false">IFERROR('dens_visc_2pe+2m3b2oh'!B30,"")</f>
        <v>0.97081</v>
      </c>
      <c r="I339" s="1" t="n">
        <f aca="false">IFERROR('dens_visc_2pe+2m3b2oh'!G30,"")</f>
        <v>-0.468662034416056</v>
      </c>
      <c r="J339" s="1" t="n">
        <f aca="false">IFERROR('dens_visc_2pe+2m3b2oh'!B44,"")</f>
        <v>9.8</v>
      </c>
      <c r="K339" s="1" t="str">
        <f aca="false">IF(AND(ISNUMBER(H339),ISNUMBER(I339),ISNUMBER(J339)),"✓",COUNTIF(H339:J339,"&gt;-999")&amp;"/3")</f>
        <v>✓</v>
      </c>
    </row>
    <row r="340" customFormat="false" ht="15" hidden="false" customHeight="true" outlineLevel="0" collapsed="false">
      <c r="A340" s="1" t="s">
        <v>31</v>
      </c>
      <c r="B340" s="1" t="s">
        <v>32</v>
      </c>
      <c r="C340" s="1" t="s">
        <v>33</v>
      </c>
      <c r="D340" s="1" t="s">
        <v>14</v>
      </c>
      <c r="E340" s="1" t="s">
        <v>15</v>
      </c>
      <c r="F340" s="1" t="n">
        <f aca="false">IFERROR('dens_visc_2pe+2m3b2oh'!B22,"")</f>
        <v>20</v>
      </c>
      <c r="G340" s="1" t="n">
        <f aca="false">IFERROR('dens_visc_2pe+2m3b2oh'!A31,"")</f>
        <v>0.801863852851034</v>
      </c>
      <c r="H340" s="1" t="n">
        <f aca="false">IFERROR('dens_visc_2pe+2m3b2oh'!B31,"")</f>
        <v>0.98783</v>
      </c>
      <c r="I340" s="1" t="n">
        <f aca="false">IFERROR('dens_visc_2pe+2m3b2oh'!G31,"")</f>
        <v>-0.324439713135519</v>
      </c>
      <c r="J340" s="1" t="n">
        <f aca="false">IFERROR('dens_visc_2pe+2m3b2oh'!B45,"")</f>
        <v>11.18</v>
      </c>
      <c r="K340" s="1" t="str">
        <f aca="false">IF(AND(ISNUMBER(H340),ISNUMBER(I340),ISNUMBER(J340)),"✓",COUNTIF(H340:J340,"&gt;-999")&amp;"/3")</f>
        <v>✓</v>
      </c>
    </row>
    <row r="341" customFormat="false" ht="15" hidden="false" customHeight="true" outlineLevel="0" collapsed="false">
      <c r="A341" s="1" t="s">
        <v>31</v>
      </c>
      <c r="B341" s="1" t="s">
        <v>32</v>
      </c>
      <c r="C341" s="1" t="s">
        <v>33</v>
      </c>
      <c r="D341" s="1" t="s">
        <v>14</v>
      </c>
      <c r="E341" s="1" t="s">
        <v>15</v>
      </c>
      <c r="F341" s="1" t="n">
        <f aca="false">IFERROR('dens_visc_2pe+2m3b2oh'!B22,"")</f>
        <v>20</v>
      </c>
      <c r="G341" s="1" t="n">
        <f aca="false">IFERROR('dens_visc_2pe+2m3b2oh'!A32,"")</f>
        <v>0.900170194342918</v>
      </c>
      <c r="H341" s="1" t="n">
        <f aca="false">IFERROR('dens_visc_2pe+2m3b2oh'!B32,"")</f>
        <v>1.00393</v>
      </c>
      <c r="I341" s="1" t="n">
        <f aca="false">IFERROR('dens_visc_2pe+2m3b2oh'!G32,"")</f>
        <v>-0.161872003811027</v>
      </c>
      <c r="J341" s="1" t="n">
        <f aca="false">IFERROR('dens_visc_2pe+2m3b2oh'!B46,"")</f>
        <v>12.66</v>
      </c>
      <c r="K341" s="1" t="str">
        <f aca="false">IF(AND(ISNUMBER(H341),ISNUMBER(I341),ISNUMBER(J341)),"✓",COUNTIF(H341:J341,"&gt;-999")&amp;"/3")</f>
        <v>✓</v>
      </c>
    </row>
    <row r="342" customFormat="false" ht="15" hidden="false" customHeight="true" outlineLevel="0" collapsed="false">
      <c r="A342" s="1" t="s">
        <v>31</v>
      </c>
      <c r="B342" s="1" t="s">
        <v>32</v>
      </c>
      <c r="C342" s="1" t="s">
        <v>33</v>
      </c>
      <c r="D342" s="1" t="s">
        <v>14</v>
      </c>
      <c r="E342" s="1" t="s">
        <v>15</v>
      </c>
      <c r="F342" s="1" t="n">
        <f aca="false">IFERROR('dens_visc_2pe+2m3b2oh'!B22,"")</f>
        <v>20</v>
      </c>
      <c r="G342" s="1" t="n">
        <f aca="false">IFERROR('dens_visc_2pe+2m3b2oh'!A33,"")</f>
        <v>1</v>
      </c>
      <c r="H342" s="1" t="n">
        <f aca="false">IFERROR('dens_visc_2pe+2m3b2oh'!B33,"")</f>
        <v>1.01985</v>
      </c>
      <c r="I342" s="1" t="n">
        <f aca="false">IFERROR('dens_visc_2pe+2m3b2oh'!G33,"")</f>
        <v>0</v>
      </c>
      <c r="J342" s="1" t="n">
        <f aca="false">IFERROR('dens_visc_2pe+2m3b2oh'!B47,"")</f>
        <v>14.04</v>
      </c>
      <c r="K342" s="1" t="str">
        <f aca="false">IF(AND(ISNUMBER(H342),ISNUMBER(I342),ISNUMBER(J342)),"✓",COUNTIF(H342:J342,"&gt;-999")&amp;"/3")</f>
        <v>✓</v>
      </c>
    </row>
    <row r="343" customFormat="false" ht="15" hidden="false" customHeight="true" outlineLevel="0" collapsed="false">
      <c r="A343" s="1" t="s">
        <v>31</v>
      </c>
      <c r="B343" s="1" t="s">
        <v>32</v>
      </c>
      <c r="C343" s="1" t="s">
        <v>33</v>
      </c>
      <c r="D343" s="1" t="s">
        <v>14</v>
      </c>
      <c r="E343" s="1" t="s">
        <v>15</v>
      </c>
      <c r="F343" s="1" t="n">
        <f aca="false">IFERROR('dens_visc_2pe+2m3b2oh'!C22,"")</f>
        <v>30</v>
      </c>
      <c r="G343" s="1" t="n">
        <f aca="false">IFERROR('dens_visc_2pe+2m3b2oh'!A23,"")</f>
        <v>0</v>
      </c>
      <c r="H343" s="1" t="n">
        <f aca="false">IFERROR('dens_visc_2pe+2m3b2oh'!C23,"")</f>
        <v>0.81447</v>
      </c>
      <c r="I343" s="1" t="n">
        <f aca="false">IFERROR('dens_visc_2pe+2m3b2oh'!H23,"")</f>
        <v>0</v>
      </c>
      <c r="J343" s="1" t="n">
        <f aca="false">IFERROR('dens_visc_2pe+2m3b2oh'!C37,"")</f>
        <v>1.682</v>
      </c>
      <c r="K343" s="1" t="str">
        <f aca="false">IF(AND(ISNUMBER(H343),ISNUMBER(I343),ISNUMBER(J343)),"✓",COUNTIF(H343:J343,"&gt;-999")&amp;"/3")</f>
        <v>✓</v>
      </c>
    </row>
    <row r="344" customFormat="false" ht="15" hidden="false" customHeight="true" outlineLevel="0" collapsed="false">
      <c r="A344" s="1" t="s">
        <v>31</v>
      </c>
      <c r="B344" s="1" t="s">
        <v>32</v>
      </c>
      <c r="C344" s="1" t="s">
        <v>33</v>
      </c>
      <c r="D344" s="1" t="s">
        <v>14</v>
      </c>
      <c r="E344" s="1" t="s">
        <v>15</v>
      </c>
      <c r="F344" s="1" t="n">
        <f aca="false">IFERROR('dens_visc_2pe+2m3b2oh'!C22,"")</f>
        <v>30</v>
      </c>
      <c r="G344" s="1" t="n">
        <f aca="false">IFERROR('dens_visc_2pe+2m3b2oh'!A24,"")</f>
        <v>0.104194568642053</v>
      </c>
      <c r="H344" s="1" t="n">
        <f aca="false">IFERROR('dens_visc_2pe+2m3b2oh'!C24,"")</f>
        <v>0.84064</v>
      </c>
      <c r="I344" s="1" t="n">
        <f aca="false">IFERROR('dens_visc_2pe+2m3b2oh'!H24,"")</f>
        <v>-0.379762764921864</v>
      </c>
      <c r="J344" s="1" t="n">
        <f aca="false">IFERROR('dens_visc_2pe+2m3b2oh'!C38,"")</f>
        <v>2.161</v>
      </c>
      <c r="K344" s="1" t="str">
        <f aca="false">IF(AND(ISNUMBER(H344),ISNUMBER(I344),ISNUMBER(J344)),"✓",COUNTIF(H344:J344,"&gt;-999")&amp;"/3")</f>
        <v>✓</v>
      </c>
    </row>
    <row r="345" customFormat="false" ht="15" hidden="false" customHeight="true" outlineLevel="0" collapsed="false">
      <c r="A345" s="1" t="s">
        <v>31</v>
      </c>
      <c r="B345" s="1" t="s">
        <v>32</v>
      </c>
      <c r="C345" s="1" t="s">
        <v>33</v>
      </c>
      <c r="D345" s="1" t="s">
        <v>14</v>
      </c>
      <c r="E345" s="1" t="s">
        <v>15</v>
      </c>
      <c r="F345" s="1" t="n">
        <f aca="false">IFERROR('dens_visc_2pe+2m3b2oh'!C22,"")</f>
        <v>30</v>
      </c>
      <c r="G345" s="1" t="n">
        <f aca="false">IFERROR('dens_visc_2pe+2m3b2oh'!A25,"")</f>
        <v>0.201090673405402</v>
      </c>
      <c r="H345" s="1" t="n">
        <f aca="false">IFERROR('dens_visc_2pe+2m3b2oh'!C25,"")</f>
        <v>0.86356</v>
      </c>
      <c r="I345" s="1" t="n">
        <f aca="false">IFERROR('dens_visc_2pe+2m3b2oh'!H25,"")</f>
        <v>-0.619536899133095</v>
      </c>
      <c r="J345" s="1" t="n">
        <f aca="false">IFERROR('dens_visc_2pe+2m3b2oh'!C39,"")</f>
        <v>2.76</v>
      </c>
      <c r="K345" s="1" t="str">
        <f aca="false">IF(AND(ISNUMBER(H345),ISNUMBER(I345),ISNUMBER(J345)),"✓",COUNTIF(H345:J345,"&gt;-999")&amp;"/3")</f>
        <v>✓</v>
      </c>
    </row>
    <row r="346" customFormat="false" ht="15" hidden="false" customHeight="true" outlineLevel="0" collapsed="false">
      <c r="A346" s="1" t="s">
        <v>31</v>
      </c>
      <c r="B346" s="1" t="s">
        <v>32</v>
      </c>
      <c r="C346" s="1" t="s">
        <v>33</v>
      </c>
      <c r="D346" s="1" t="s">
        <v>14</v>
      </c>
      <c r="E346" s="1" t="s">
        <v>15</v>
      </c>
      <c r="F346" s="1" t="n">
        <f aca="false">IFERROR('dens_visc_2pe+2m3b2oh'!C22,"")</f>
        <v>30</v>
      </c>
      <c r="G346" s="1" t="n">
        <f aca="false">IFERROR('dens_visc_2pe+2m3b2oh'!A26,"")</f>
        <v>0.300033004605369</v>
      </c>
      <c r="H346" s="1" t="n">
        <f aca="false">IFERROR('dens_visc_2pe+2m3b2oh'!C26,"")</f>
        <v>0.88491</v>
      </c>
      <c r="I346" s="1" t="n">
        <f aca="false">IFERROR('dens_visc_2pe+2m3b2oh'!H26,"")</f>
        <v>-0.674941257051415</v>
      </c>
      <c r="J346" s="1" t="n">
        <f aca="false">IFERROR('dens_visc_2pe+2m3b2oh'!C40,"")</f>
        <v>3.081</v>
      </c>
      <c r="K346" s="1" t="str">
        <f aca="false">IF(AND(ISNUMBER(H346),ISNUMBER(I346),ISNUMBER(J346)),"✓",COUNTIF(H346:J346,"&gt;-999")&amp;"/3")</f>
        <v>✓</v>
      </c>
    </row>
    <row r="347" customFormat="false" ht="15" hidden="false" customHeight="true" outlineLevel="0" collapsed="false">
      <c r="A347" s="1" t="s">
        <v>31</v>
      </c>
      <c r="B347" s="1" t="s">
        <v>32</v>
      </c>
      <c r="C347" s="1" t="s">
        <v>33</v>
      </c>
      <c r="D347" s="1" t="s">
        <v>14</v>
      </c>
      <c r="E347" s="1" t="s">
        <v>15</v>
      </c>
      <c r="F347" s="1" t="n">
        <f aca="false">IFERROR('dens_visc_2pe+2m3b2oh'!C22,"")</f>
        <v>30</v>
      </c>
      <c r="G347" s="1" t="n">
        <f aca="false">IFERROR('dens_visc_2pe+2m3b2oh'!A27,"")</f>
        <v>0.408179689951665</v>
      </c>
      <c r="H347" s="1" t="n">
        <f aca="false">IFERROR('dens_visc_2pe+2m3b2oh'!C27,"")</f>
        <v>0.90767</v>
      </c>
      <c r="I347" s="1" t="n">
        <f aca="false">IFERROR('dens_visc_2pe+2m3b2oh'!H27,"")</f>
        <v>-0.741379062989978</v>
      </c>
      <c r="J347" s="1" t="n">
        <f aca="false">IFERROR('dens_visc_2pe+2m3b2oh'!C41,"")</f>
        <v>4.049</v>
      </c>
      <c r="K347" s="1" t="str">
        <f aca="false">IF(AND(ISNUMBER(H347),ISNUMBER(I347),ISNUMBER(J347)),"✓",COUNTIF(H347:J347,"&gt;-999")&amp;"/3")</f>
        <v>✓</v>
      </c>
    </row>
    <row r="348" customFormat="false" ht="15" hidden="false" customHeight="true" outlineLevel="0" collapsed="false">
      <c r="A348" s="1" t="s">
        <v>31</v>
      </c>
      <c r="B348" s="1" t="s">
        <v>32</v>
      </c>
      <c r="C348" s="1" t="s">
        <v>33</v>
      </c>
      <c r="D348" s="1" t="s">
        <v>14</v>
      </c>
      <c r="E348" s="1" t="s">
        <v>15</v>
      </c>
      <c r="F348" s="1" t="n">
        <f aca="false">IFERROR('dens_visc_2pe+2m3b2oh'!C22,"")</f>
        <v>30</v>
      </c>
      <c r="G348" s="1" t="n">
        <f aca="false">IFERROR('dens_visc_2pe+2m3b2oh'!A28,"")</f>
        <v>0.492211673008868</v>
      </c>
      <c r="H348" s="1" t="n">
        <f aca="false">IFERROR('dens_visc_2pe+2m3b2oh'!C28,"")</f>
        <v>0.92431</v>
      </c>
      <c r="I348" s="1" t="n">
        <f aca="false">IFERROR('dens_visc_2pe+2m3b2oh'!H28,"")</f>
        <v>-0.718613565036151</v>
      </c>
      <c r="J348" s="1" t="n">
        <f aca="false">IFERROR('dens_visc_2pe+2m3b2oh'!C42,"")</f>
        <v>4.672</v>
      </c>
      <c r="K348" s="1" t="str">
        <f aca="false">IF(AND(ISNUMBER(H348),ISNUMBER(I348),ISNUMBER(J348)),"✓",COUNTIF(H348:J348,"&gt;-999")&amp;"/3")</f>
        <v>✓</v>
      </c>
    </row>
    <row r="349" customFormat="false" ht="15" hidden="false" customHeight="true" outlineLevel="0" collapsed="false">
      <c r="A349" s="1" t="s">
        <v>31</v>
      </c>
      <c r="B349" s="1" t="s">
        <v>32</v>
      </c>
      <c r="C349" s="1" t="s">
        <v>33</v>
      </c>
      <c r="D349" s="1" t="s">
        <v>14</v>
      </c>
      <c r="E349" s="1" t="s">
        <v>15</v>
      </c>
      <c r="F349" s="1" t="n">
        <f aca="false">IFERROR('dens_visc_2pe+2m3b2oh'!C22,"")</f>
        <v>30</v>
      </c>
      <c r="G349" s="1" t="n">
        <f aca="false">IFERROR('dens_visc_2pe+2m3b2oh'!A29,"")</f>
        <v>0.604732715235313</v>
      </c>
      <c r="H349" s="1" t="n">
        <f aca="false">IFERROR('dens_visc_2pe+2m3b2oh'!C29,"")</f>
        <v>0.94558</v>
      </c>
      <c r="I349" s="1" t="n">
        <f aca="false">IFERROR('dens_visc_2pe+2m3b2oh'!H29,"")</f>
        <v>-0.636418918872764</v>
      </c>
      <c r="J349" s="1" t="n">
        <f aca="false">IFERROR('dens_visc_2pe+2m3b2oh'!C43,"")</f>
        <v>5.879</v>
      </c>
      <c r="K349" s="1" t="str">
        <f aca="false">IF(AND(ISNUMBER(H349),ISNUMBER(I349),ISNUMBER(J349)),"✓",COUNTIF(H349:J349,"&gt;-999")&amp;"/3")</f>
        <v>✓</v>
      </c>
    </row>
    <row r="350" customFormat="false" ht="15" hidden="false" customHeight="true" outlineLevel="0" collapsed="false">
      <c r="A350" s="1" t="s">
        <v>31</v>
      </c>
      <c r="B350" s="1" t="s">
        <v>32</v>
      </c>
      <c r="C350" s="1" t="s">
        <v>33</v>
      </c>
      <c r="D350" s="1" t="s">
        <v>14</v>
      </c>
      <c r="E350" s="1" t="s">
        <v>15</v>
      </c>
      <c r="F350" s="1" t="n">
        <f aca="false">IFERROR('dens_visc_2pe+2m3b2oh'!C22,"")</f>
        <v>30</v>
      </c>
      <c r="G350" s="1" t="n">
        <f aca="false">IFERROR('dens_visc_2pe+2m3b2oh'!A30,"")</f>
        <v>0.701941849611573</v>
      </c>
      <c r="H350" s="1" t="n">
        <f aca="false">IFERROR('dens_visc_2pe+2m3b2oh'!C30,"")</f>
        <v>0.96301</v>
      </c>
      <c r="I350" s="1" t="n">
        <f aca="false">IFERROR('dens_visc_2pe+2m3b2oh'!H30,"")</f>
        <v>-0.51444331436619</v>
      </c>
      <c r="J350" s="1" t="n">
        <f aca="false">IFERROR('dens_visc_2pe+2m3b2oh'!C44,"")</f>
        <v>6.387</v>
      </c>
      <c r="K350" s="1" t="str">
        <f aca="false">IF(AND(ISNUMBER(H350),ISNUMBER(I350),ISNUMBER(J350)),"✓",COUNTIF(H350:J350,"&gt;-999")&amp;"/3")</f>
        <v>✓</v>
      </c>
    </row>
    <row r="351" customFormat="false" ht="15" hidden="false" customHeight="true" outlineLevel="0" collapsed="false">
      <c r="A351" s="1" t="s">
        <v>31</v>
      </c>
      <c r="B351" s="1" t="s">
        <v>32</v>
      </c>
      <c r="C351" s="1" t="s">
        <v>33</v>
      </c>
      <c r="D351" s="1" t="s">
        <v>14</v>
      </c>
      <c r="E351" s="1" t="s">
        <v>15</v>
      </c>
      <c r="F351" s="1" t="n">
        <f aca="false">IFERROR('dens_visc_2pe+2m3b2oh'!C22,"")</f>
        <v>30</v>
      </c>
      <c r="G351" s="1" t="n">
        <f aca="false">IFERROR('dens_visc_2pe+2m3b2oh'!A31,"")</f>
        <v>0.801863852851034</v>
      </c>
      <c r="H351" s="1" t="n">
        <f aca="false">IFERROR('dens_visc_2pe+2m3b2oh'!C31,"")</f>
        <v>0.98019</v>
      </c>
      <c r="I351" s="1" t="n">
        <f aca="false">IFERROR('dens_visc_2pe+2m3b2oh'!H31,"")</f>
        <v>-0.359166126406038</v>
      </c>
      <c r="J351" s="1" t="n">
        <f aca="false">IFERROR('dens_visc_2pe+2m3b2oh'!C45,"")</f>
        <v>7.247</v>
      </c>
      <c r="K351" s="1" t="str">
        <f aca="false">IF(AND(ISNUMBER(H351),ISNUMBER(I351),ISNUMBER(J351)),"✓",COUNTIF(H351:J351,"&gt;-999")&amp;"/3")</f>
        <v>✓</v>
      </c>
    </row>
    <row r="352" customFormat="false" ht="15" hidden="false" customHeight="true" outlineLevel="0" collapsed="false">
      <c r="A352" s="1" t="s">
        <v>31</v>
      </c>
      <c r="B352" s="1" t="s">
        <v>32</v>
      </c>
      <c r="C352" s="1" t="s">
        <v>33</v>
      </c>
      <c r="D352" s="1" t="s">
        <v>14</v>
      </c>
      <c r="E352" s="1" t="s">
        <v>15</v>
      </c>
      <c r="F352" s="1" t="n">
        <f aca="false">IFERROR('dens_visc_2pe+2m3b2oh'!C22,"")</f>
        <v>30</v>
      </c>
      <c r="G352" s="1" t="n">
        <f aca="false">IFERROR('dens_visc_2pe+2m3b2oh'!A32,"")</f>
        <v>0.900170194342918</v>
      </c>
      <c r="H352" s="1" t="n">
        <f aca="false">IFERROR('dens_visc_2pe+2m3b2oh'!C32,"")</f>
        <v>0.99643</v>
      </c>
      <c r="I352" s="1" t="n">
        <f aca="false">IFERROR('dens_visc_2pe+2m3b2oh'!H32,"")</f>
        <v>-0.182695447854542</v>
      </c>
      <c r="J352" s="1" t="n">
        <f aca="false">IFERROR('dens_visc_2pe+2m3b2oh'!C46,"")</f>
        <v>8.134</v>
      </c>
      <c r="K352" s="1" t="str">
        <f aca="false">IF(AND(ISNUMBER(H352),ISNUMBER(I352),ISNUMBER(J352)),"✓",COUNTIF(H352:J352,"&gt;-999")&amp;"/3")</f>
        <v>✓</v>
      </c>
    </row>
    <row r="353" customFormat="false" ht="15" hidden="false" customHeight="true" outlineLevel="0" collapsed="false">
      <c r="A353" s="1" t="s">
        <v>31</v>
      </c>
      <c r="B353" s="1" t="s">
        <v>32</v>
      </c>
      <c r="C353" s="1" t="s">
        <v>33</v>
      </c>
      <c r="D353" s="1" t="s">
        <v>14</v>
      </c>
      <c r="E353" s="1" t="s">
        <v>15</v>
      </c>
      <c r="F353" s="1" t="n">
        <f aca="false">IFERROR('dens_visc_2pe+2m3b2oh'!C22,"")</f>
        <v>30</v>
      </c>
      <c r="G353" s="1" t="n">
        <f aca="false">IFERROR('dens_visc_2pe+2m3b2oh'!A33,"")</f>
        <v>1</v>
      </c>
      <c r="H353" s="1" t="n">
        <f aca="false">IFERROR('dens_visc_2pe+2m3b2oh'!C33,"")</f>
        <v>1.01244</v>
      </c>
      <c r="I353" s="1" t="n">
        <f aca="false">IFERROR('dens_visc_2pe+2m3b2oh'!H33,"")</f>
        <v>0</v>
      </c>
      <c r="J353" s="1" t="n">
        <f aca="false">IFERROR('dens_visc_2pe+2m3b2oh'!C47,"")</f>
        <v>8.973</v>
      </c>
      <c r="K353" s="1" t="str">
        <f aca="false">IF(AND(ISNUMBER(H353),ISNUMBER(I353),ISNUMBER(J353)),"✓",COUNTIF(H353:J353,"&gt;-999")&amp;"/3")</f>
        <v>✓</v>
      </c>
    </row>
    <row r="354" customFormat="false" ht="15" hidden="false" customHeight="true" outlineLevel="0" collapsed="false">
      <c r="A354" s="1" t="s">
        <v>31</v>
      </c>
      <c r="B354" s="1" t="s">
        <v>32</v>
      </c>
      <c r="C354" s="1" t="s">
        <v>33</v>
      </c>
      <c r="D354" s="1" t="s">
        <v>14</v>
      </c>
      <c r="E354" s="1" t="s">
        <v>15</v>
      </c>
      <c r="F354" s="1" t="n">
        <f aca="false">IFERROR('dens_visc_2pe+2m3b2oh'!D22,"")</f>
        <v>40</v>
      </c>
      <c r="G354" s="1" t="n">
        <f aca="false">IFERROR('dens_visc_2pe+2m3b2oh'!A23,"")</f>
        <v>0</v>
      </c>
      <c r="H354" s="1" t="n">
        <f aca="false">IFERROR('dens_visc_2pe+2m3b2oh'!D23,"")</f>
        <v>0.8047</v>
      </c>
      <c r="I354" s="1" t="n">
        <f aca="false">IFERROR('dens_visc_2pe+2m3b2oh'!I23,"")</f>
        <v>0</v>
      </c>
      <c r="J354" s="1" t="n">
        <f aca="false">IFERROR('dens_visc_2pe+2m3b2oh'!D37,"")</f>
        <v>1.247</v>
      </c>
      <c r="K354" s="1" t="str">
        <f aca="false">IF(AND(ISNUMBER(H354),ISNUMBER(I354),ISNUMBER(J354)),"✓",COUNTIF(H354:J354,"&gt;-999")&amp;"/3")</f>
        <v>✓</v>
      </c>
    </row>
    <row r="355" customFormat="false" ht="15" hidden="false" customHeight="true" outlineLevel="0" collapsed="false">
      <c r="A355" s="1" t="s">
        <v>31</v>
      </c>
      <c r="B355" s="1" t="s">
        <v>32</v>
      </c>
      <c r="C355" s="1" t="s">
        <v>33</v>
      </c>
      <c r="D355" s="1" t="s">
        <v>14</v>
      </c>
      <c r="E355" s="1" t="s">
        <v>15</v>
      </c>
      <c r="F355" s="1" t="n">
        <f aca="false">IFERROR('dens_visc_2pe+2m3b2oh'!D22,"")</f>
        <v>40</v>
      </c>
      <c r="G355" s="1" t="n">
        <f aca="false">IFERROR('dens_visc_2pe+2m3b2oh'!A24,"")</f>
        <v>0.104194568642053</v>
      </c>
      <c r="H355" s="1" t="n">
        <f aca="false">IFERROR('dens_visc_2pe+2m3b2oh'!D24,"")</f>
        <v>0.83113</v>
      </c>
      <c r="I355" s="1" t="n">
        <f aca="false">IFERROR('dens_visc_2pe+2m3b2oh'!I24,"")</f>
        <v>-0.400291820800888</v>
      </c>
      <c r="J355" s="1" t="n">
        <f aca="false">IFERROR('dens_visc_2pe+2m3b2oh'!D38,"")</f>
        <v>1.576</v>
      </c>
      <c r="K355" s="1" t="str">
        <f aca="false">IF(AND(ISNUMBER(H355),ISNUMBER(I355),ISNUMBER(J355)),"✓",COUNTIF(H355:J355,"&gt;-999")&amp;"/3")</f>
        <v>✓</v>
      </c>
    </row>
    <row r="356" customFormat="false" ht="15" hidden="false" customHeight="true" outlineLevel="0" collapsed="false">
      <c r="A356" s="1" t="s">
        <v>31</v>
      </c>
      <c r="B356" s="1" t="s">
        <v>32</v>
      </c>
      <c r="C356" s="1" t="s">
        <v>33</v>
      </c>
      <c r="D356" s="1" t="s">
        <v>14</v>
      </c>
      <c r="E356" s="1" t="s">
        <v>15</v>
      </c>
      <c r="F356" s="1" t="n">
        <f aca="false">IFERROR('dens_visc_2pe+2m3b2oh'!D22,"")</f>
        <v>40</v>
      </c>
      <c r="G356" s="1" t="n">
        <f aca="false">IFERROR('dens_visc_2pe+2m3b2oh'!A25,"")</f>
        <v>0.201090673405402</v>
      </c>
      <c r="H356" s="1" t="n">
        <f aca="false">IFERROR('dens_visc_2pe+2m3b2oh'!D25,"")</f>
        <v>0.85433</v>
      </c>
      <c r="I356" s="1" t="n">
        <f aca="false">IFERROR('dens_visc_2pe+2m3b2oh'!I25,"")</f>
        <v>-0.658162652662526</v>
      </c>
      <c r="J356" s="1" t="n">
        <f aca="false">IFERROR('dens_visc_2pe+2m3b2oh'!D39,"")</f>
        <v>1.986</v>
      </c>
      <c r="K356" s="1" t="str">
        <f aca="false">IF(AND(ISNUMBER(H356),ISNUMBER(I356),ISNUMBER(J356)),"✓",COUNTIF(H356:J356,"&gt;-999")&amp;"/3")</f>
        <v>✓</v>
      </c>
    </row>
    <row r="357" customFormat="false" ht="15" hidden="false" customHeight="true" outlineLevel="0" collapsed="false">
      <c r="A357" s="1" t="s">
        <v>31</v>
      </c>
      <c r="B357" s="1" t="s">
        <v>32</v>
      </c>
      <c r="C357" s="1" t="s">
        <v>33</v>
      </c>
      <c r="D357" s="1" t="s">
        <v>14</v>
      </c>
      <c r="E357" s="1" t="s">
        <v>15</v>
      </c>
      <c r="F357" s="1" t="n">
        <f aca="false">IFERROR('dens_visc_2pe+2m3b2oh'!D22,"")</f>
        <v>40</v>
      </c>
      <c r="G357" s="1" t="n">
        <f aca="false">IFERROR('dens_visc_2pe+2m3b2oh'!A26,"")</f>
        <v>0.300033004605369</v>
      </c>
      <c r="H357" s="1" t="n">
        <f aca="false">IFERROR('dens_visc_2pe+2m3b2oh'!D26,"")</f>
        <v>0.87595</v>
      </c>
      <c r="I357" s="1" t="n">
        <f aca="false">IFERROR('dens_visc_2pe+2m3b2oh'!I26,"")</f>
        <v>-0.723269157599844</v>
      </c>
      <c r="J357" s="1" t="n">
        <f aca="false">IFERROR('dens_visc_2pe+2m3b2oh'!D40,"")</f>
        <v>2.221</v>
      </c>
      <c r="K357" s="1" t="str">
        <f aca="false">IF(AND(ISNUMBER(H357),ISNUMBER(I357),ISNUMBER(J357)),"✓",COUNTIF(H357:J357,"&gt;-999")&amp;"/3")</f>
        <v>✓</v>
      </c>
    </row>
    <row r="358" customFormat="false" ht="15" hidden="false" customHeight="true" outlineLevel="0" collapsed="false">
      <c r="A358" s="1" t="s">
        <v>31</v>
      </c>
      <c r="B358" s="1" t="s">
        <v>32</v>
      </c>
      <c r="C358" s="1" t="s">
        <v>33</v>
      </c>
      <c r="D358" s="1" t="s">
        <v>14</v>
      </c>
      <c r="E358" s="1" t="s">
        <v>15</v>
      </c>
      <c r="F358" s="1" t="n">
        <f aca="false">IFERROR('dens_visc_2pe+2m3b2oh'!D22,"")</f>
        <v>40</v>
      </c>
      <c r="G358" s="1" t="n">
        <f aca="false">IFERROR('dens_visc_2pe+2m3b2oh'!A27,"")</f>
        <v>0.408179689951665</v>
      </c>
      <c r="H358" s="1" t="n">
        <f aca="false">IFERROR('dens_visc_2pe+2m3b2oh'!D27,"")</f>
        <v>0.89901</v>
      </c>
      <c r="I358" s="1" t="n">
        <f aca="false">IFERROR('dens_visc_2pe+2m3b2oh'!I27,"")</f>
        <v>-0.798647239700401</v>
      </c>
      <c r="J358" s="1" t="n">
        <f aca="false">IFERROR('dens_visc_2pe+2m3b2oh'!D41,"")</f>
        <v>2.846</v>
      </c>
      <c r="K358" s="1" t="str">
        <f aca="false">IF(AND(ISNUMBER(H358),ISNUMBER(I358),ISNUMBER(J358)),"✓",COUNTIF(H358:J358,"&gt;-999")&amp;"/3")</f>
        <v>✓</v>
      </c>
    </row>
    <row r="359" customFormat="false" ht="15" hidden="false" customHeight="true" outlineLevel="0" collapsed="false">
      <c r="A359" s="1" t="s">
        <v>31</v>
      </c>
      <c r="B359" s="1" t="s">
        <v>32</v>
      </c>
      <c r="C359" s="1" t="s">
        <v>33</v>
      </c>
      <c r="D359" s="1" t="s">
        <v>14</v>
      </c>
      <c r="E359" s="1" t="s">
        <v>15</v>
      </c>
      <c r="F359" s="1" t="n">
        <f aca="false">IFERROR('dens_visc_2pe+2m3b2oh'!D22,"")</f>
        <v>40</v>
      </c>
      <c r="G359" s="1" t="n">
        <f aca="false">IFERROR('dens_visc_2pe+2m3b2oh'!A28,"")</f>
        <v>0.492211673008868</v>
      </c>
      <c r="H359" s="1" t="n">
        <f aca="false">IFERROR('dens_visc_2pe+2m3b2oh'!D28,"")</f>
        <v>0.91587</v>
      </c>
      <c r="I359" s="1" t="n">
        <f aca="false">IFERROR('dens_visc_2pe+2m3b2oh'!I28,"")</f>
        <v>-0.778291853958024</v>
      </c>
      <c r="J359" s="1" t="n">
        <f aca="false">IFERROR('dens_visc_2pe+2m3b2oh'!D42,"")</f>
        <v>3.264</v>
      </c>
      <c r="K359" s="1" t="str">
        <f aca="false">IF(AND(ISNUMBER(H359),ISNUMBER(I359),ISNUMBER(J359)),"✓",COUNTIF(H359:J359,"&gt;-999")&amp;"/3")</f>
        <v>✓</v>
      </c>
    </row>
    <row r="360" customFormat="false" ht="15" hidden="false" customHeight="true" outlineLevel="0" collapsed="false">
      <c r="A360" s="1" t="s">
        <v>31</v>
      </c>
      <c r="B360" s="1" t="s">
        <v>32</v>
      </c>
      <c r="C360" s="1" t="s">
        <v>33</v>
      </c>
      <c r="D360" s="1" t="s">
        <v>14</v>
      </c>
      <c r="E360" s="1" t="s">
        <v>15</v>
      </c>
      <c r="F360" s="1" t="n">
        <f aca="false">IFERROR('dens_visc_2pe+2m3b2oh'!D22,"")</f>
        <v>40</v>
      </c>
      <c r="G360" s="1" t="n">
        <f aca="false">IFERROR('dens_visc_2pe+2m3b2oh'!A29,"")</f>
        <v>0.604732715235313</v>
      </c>
      <c r="H360" s="1" t="n">
        <f aca="false">IFERROR('dens_visc_2pe+2m3b2oh'!D29,"")</f>
        <v>0.93742</v>
      </c>
      <c r="I360" s="1" t="n">
        <f aca="false">IFERROR('dens_visc_2pe+2m3b2oh'!I29,"")</f>
        <v>-0.695003543203455</v>
      </c>
      <c r="J360" s="1" t="n">
        <f aca="false">IFERROR('dens_visc_2pe+2m3b2oh'!D43,"")</f>
        <v>4.074</v>
      </c>
      <c r="K360" s="1" t="str">
        <f aca="false">IF(AND(ISNUMBER(H360),ISNUMBER(I360),ISNUMBER(J360)),"✓",COUNTIF(H360:J360,"&gt;-999")&amp;"/3")</f>
        <v>✓</v>
      </c>
    </row>
    <row r="361" customFormat="false" ht="15" hidden="false" customHeight="true" outlineLevel="0" collapsed="false">
      <c r="A361" s="1" t="s">
        <v>31</v>
      </c>
      <c r="B361" s="1" t="s">
        <v>32</v>
      </c>
      <c r="C361" s="1" t="s">
        <v>33</v>
      </c>
      <c r="D361" s="1" t="s">
        <v>14</v>
      </c>
      <c r="E361" s="1" t="s">
        <v>15</v>
      </c>
      <c r="F361" s="1" t="n">
        <f aca="false">IFERROR('dens_visc_2pe+2m3b2oh'!D22,"")</f>
        <v>40</v>
      </c>
      <c r="G361" s="1" t="n">
        <f aca="false">IFERROR('dens_visc_2pe+2m3b2oh'!A30,"")</f>
        <v>0.701941849611573</v>
      </c>
      <c r="H361" s="1" t="n">
        <f aca="false">IFERROR('dens_visc_2pe+2m3b2oh'!D30,"")</f>
        <v>0.95504</v>
      </c>
      <c r="I361" s="1" t="n">
        <f aca="false">IFERROR('dens_visc_2pe+2m3b2oh'!I30,"")</f>
        <v>-0.563676534913526</v>
      </c>
      <c r="J361" s="1" t="n">
        <f aca="false">IFERROR('dens_visc_2pe+2m3b2oh'!D44,"")</f>
        <v>4.488</v>
      </c>
      <c r="K361" s="1" t="str">
        <f aca="false">IF(AND(ISNUMBER(H361),ISNUMBER(I361),ISNUMBER(J361)),"✓",COUNTIF(H361:J361,"&gt;-999")&amp;"/3")</f>
        <v>✓</v>
      </c>
    </row>
    <row r="362" customFormat="false" ht="15" hidden="false" customHeight="true" outlineLevel="0" collapsed="false">
      <c r="A362" s="1" t="s">
        <v>31</v>
      </c>
      <c r="B362" s="1" t="s">
        <v>32</v>
      </c>
      <c r="C362" s="1" t="s">
        <v>33</v>
      </c>
      <c r="D362" s="1" t="s">
        <v>14</v>
      </c>
      <c r="E362" s="1" t="s">
        <v>15</v>
      </c>
      <c r="F362" s="1" t="n">
        <f aca="false">IFERROR('dens_visc_2pe+2m3b2oh'!D22,"")</f>
        <v>40</v>
      </c>
      <c r="G362" s="1" t="n">
        <f aca="false">IFERROR('dens_visc_2pe+2m3b2oh'!A31,"")</f>
        <v>0.801863852851034</v>
      </c>
      <c r="H362" s="1" t="n">
        <f aca="false">IFERROR('dens_visc_2pe+2m3b2oh'!D31,"")</f>
        <v>0.9724</v>
      </c>
      <c r="I362" s="1" t="n">
        <f aca="false">IFERROR('dens_visc_2pe+2m3b2oh'!I31,"")</f>
        <v>-0.395562379714562</v>
      </c>
      <c r="J362" s="1" t="n">
        <f aca="false">IFERROR('dens_visc_2pe+2m3b2oh'!D45,"")</f>
        <v>4.971</v>
      </c>
      <c r="K362" s="1" t="str">
        <f aca="false">IF(AND(ISNUMBER(H362),ISNUMBER(I362),ISNUMBER(J362)),"✓",COUNTIF(H362:J362,"&gt;-999")&amp;"/3")</f>
        <v>✓</v>
      </c>
    </row>
    <row r="363" customFormat="false" ht="15" hidden="false" customHeight="true" outlineLevel="0" collapsed="false">
      <c r="A363" s="1" t="s">
        <v>31</v>
      </c>
      <c r="B363" s="1" t="s">
        <v>32</v>
      </c>
      <c r="C363" s="1" t="s">
        <v>33</v>
      </c>
      <c r="D363" s="1" t="s">
        <v>14</v>
      </c>
      <c r="E363" s="1" t="s">
        <v>15</v>
      </c>
      <c r="F363" s="1" t="n">
        <f aca="false">IFERROR('dens_visc_2pe+2m3b2oh'!D22,"")</f>
        <v>40</v>
      </c>
      <c r="G363" s="1" t="n">
        <f aca="false">IFERROR('dens_visc_2pe+2m3b2oh'!A32,"")</f>
        <v>0.900170194342918</v>
      </c>
      <c r="H363" s="1" t="n">
        <f aca="false">IFERROR('dens_visc_2pe+2m3b2oh'!D32,"")</f>
        <v>0.9888</v>
      </c>
      <c r="I363" s="1" t="n">
        <f aca="false">IFERROR('dens_visc_2pe+2m3b2oh'!I32,"")</f>
        <v>-0.203306206853412</v>
      </c>
      <c r="J363" s="1" t="n">
        <f aca="false">IFERROR('dens_visc_2pe+2m3b2oh'!D46,"")</f>
        <v>5.554</v>
      </c>
      <c r="K363" s="1" t="str">
        <f aca="false">IF(AND(ISNUMBER(H363),ISNUMBER(I363),ISNUMBER(J363)),"✓",COUNTIF(H363:J363,"&gt;-999")&amp;"/3")</f>
        <v>✓</v>
      </c>
    </row>
    <row r="364" customFormat="false" ht="15" hidden="false" customHeight="true" outlineLevel="0" collapsed="false">
      <c r="A364" s="1" t="s">
        <v>31</v>
      </c>
      <c r="B364" s="1" t="s">
        <v>32</v>
      </c>
      <c r="C364" s="1" t="s">
        <v>33</v>
      </c>
      <c r="D364" s="1" t="s">
        <v>14</v>
      </c>
      <c r="E364" s="1" t="s">
        <v>15</v>
      </c>
      <c r="F364" s="1" t="n">
        <f aca="false">IFERROR('dens_visc_2pe+2m3b2oh'!D22,"")</f>
        <v>40</v>
      </c>
      <c r="G364" s="1" t="n">
        <f aca="false">IFERROR('dens_visc_2pe+2m3b2oh'!A33,"")</f>
        <v>1</v>
      </c>
      <c r="H364" s="1" t="n">
        <f aca="false">IFERROR('dens_visc_2pe+2m3b2oh'!D33,"")</f>
        <v>1.00494</v>
      </c>
      <c r="I364" s="1" t="n">
        <f aca="false">IFERROR('dens_visc_2pe+2m3b2oh'!I33,"")</f>
        <v>0</v>
      </c>
      <c r="J364" s="1" t="n">
        <f aca="false">IFERROR('dens_visc_2pe+2m3b2oh'!D47,"")</f>
        <v>6.102</v>
      </c>
      <c r="K364" s="1" t="str">
        <f aca="false">IF(AND(ISNUMBER(H364),ISNUMBER(I364),ISNUMBER(J364)),"✓",COUNTIF(H364:J364,"&gt;-999")&amp;"/3")</f>
        <v>✓</v>
      </c>
    </row>
    <row r="365" customFormat="false" ht="15" hidden="false" customHeight="true" outlineLevel="0" collapsed="false">
      <c r="A365" s="1" t="s">
        <v>31</v>
      </c>
      <c r="B365" s="1" t="s">
        <v>32</v>
      </c>
      <c r="C365" s="1" t="s">
        <v>33</v>
      </c>
      <c r="D365" s="1" t="s">
        <v>14</v>
      </c>
      <c r="E365" s="1" t="s">
        <v>15</v>
      </c>
      <c r="F365" s="1" t="n">
        <f aca="false">IFERROR('dens_visc_2pe+2m3b2oh'!E22,"")</f>
        <v>50</v>
      </c>
      <c r="G365" s="1" t="n">
        <f aca="false">IFERROR('dens_visc_2pe+2m3b2oh'!A23,"")</f>
        <v>0</v>
      </c>
      <c r="H365" s="1" t="n">
        <f aca="false">IFERROR('dens_visc_2pe+2m3b2oh'!E23,"")</f>
        <v>0.79458</v>
      </c>
      <c r="I365" s="1" t="n">
        <f aca="false">IFERROR('dens_visc_2pe+2m3b2oh'!J23,"")</f>
        <v>0</v>
      </c>
      <c r="J365" s="1" t="n">
        <f aca="false">IFERROR('dens_visc_2pe+2m3b2oh'!E37,"")</f>
        <v>0.964</v>
      </c>
      <c r="K365" s="1" t="str">
        <f aca="false">IF(AND(ISNUMBER(H365),ISNUMBER(I365),ISNUMBER(J365)),"✓",COUNTIF(H365:J365,"&gt;-999")&amp;"/3")</f>
        <v>✓</v>
      </c>
    </row>
    <row r="366" customFormat="false" ht="15" hidden="false" customHeight="true" outlineLevel="0" collapsed="false">
      <c r="A366" s="1" t="s">
        <v>31</v>
      </c>
      <c r="B366" s="1" t="s">
        <v>32</v>
      </c>
      <c r="C366" s="1" t="s">
        <v>33</v>
      </c>
      <c r="D366" s="1" t="s">
        <v>14</v>
      </c>
      <c r="E366" s="1" t="s">
        <v>15</v>
      </c>
      <c r="F366" s="1" t="n">
        <f aca="false">IFERROR('dens_visc_2pe+2m3b2oh'!E22,"")</f>
        <v>50</v>
      </c>
      <c r="G366" s="1" t="n">
        <f aca="false">IFERROR('dens_visc_2pe+2m3b2oh'!A24,"")</f>
        <v>0.104194568642053</v>
      </c>
      <c r="H366" s="1" t="n">
        <f aca="false">IFERROR('dens_visc_2pe+2m3b2oh'!E24,"")</f>
        <v>0.82133</v>
      </c>
      <c r="I366" s="1" t="n">
        <f aca="false">IFERROR('dens_visc_2pe+2m3b2oh'!J24,"")</f>
        <v>-0.427331178566732</v>
      </c>
      <c r="J366" s="1" t="n">
        <f aca="false">IFERROR('dens_visc_2pe+2m3b2oh'!E38,"")</f>
        <v>1.193</v>
      </c>
      <c r="K366" s="1" t="str">
        <f aca="false">IF(AND(ISNUMBER(H366),ISNUMBER(I366),ISNUMBER(J366)),"✓",COUNTIF(H366:J366,"&gt;-999")&amp;"/3")</f>
        <v>✓</v>
      </c>
    </row>
    <row r="367" customFormat="false" ht="15" hidden="false" customHeight="true" outlineLevel="0" collapsed="false">
      <c r="A367" s="1" t="s">
        <v>31</v>
      </c>
      <c r="B367" s="1" t="s">
        <v>32</v>
      </c>
      <c r="C367" s="1" t="s">
        <v>33</v>
      </c>
      <c r="D367" s="1" t="s">
        <v>14</v>
      </c>
      <c r="E367" s="1" t="s">
        <v>15</v>
      </c>
      <c r="F367" s="1" t="n">
        <f aca="false">IFERROR('dens_visc_2pe+2m3b2oh'!E22,"")</f>
        <v>50</v>
      </c>
      <c r="G367" s="1" t="n">
        <f aca="false">IFERROR('dens_visc_2pe+2m3b2oh'!A25,"")</f>
        <v>0.201090673405402</v>
      </c>
      <c r="H367" s="1" t="n">
        <f aca="false">IFERROR('dens_visc_2pe+2m3b2oh'!E25,"")</f>
        <v>0.84486</v>
      </c>
      <c r="I367" s="1" t="n">
        <f aca="false">IFERROR('dens_visc_2pe+2m3b2oh'!J25,"")</f>
        <v>-0.707924795365202</v>
      </c>
      <c r="J367" s="1" t="n">
        <f aca="false">IFERROR('dens_visc_2pe+2m3b2oh'!E39,"")</f>
        <v>1.484</v>
      </c>
      <c r="K367" s="1" t="str">
        <f aca="false">IF(AND(ISNUMBER(H367),ISNUMBER(I367),ISNUMBER(J367)),"✓",COUNTIF(H367:J367,"&gt;-999")&amp;"/3")</f>
        <v>✓</v>
      </c>
    </row>
    <row r="368" customFormat="false" ht="15" hidden="false" customHeight="true" outlineLevel="0" collapsed="false">
      <c r="A368" s="1" t="s">
        <v>31</v>
      </c>
      <c r="B368" s="1" t="s">
        <v>32</v>
      </c>
      <c r="C368" s="1" t="s">
        <v>33</v>
      </c>
      <c r="D368" s="1" t="s">
        <v>14</v>
      </c>
      <c r="E368" s="1" t="s">
        <v>15</v>
      </c>
      <c r="F368" s="1" t="n">
        <f aca="false">IFERROR('dens_visc_2pe+2m3b2oh'!E22,"")</f>
        <v>50</v>
      </c>
      <c r="G368" s="1" t="n">
        <f aca="false">IFERROR('dens_visc_2pe+2m3b2oh'!A26,"")</f>
        <v>0.300033004605369</v>
      </c>
      <c r="H368" s="1" t="n">
        <f aca="false">IFERROR('dens_visc_2pe+2m3b2oh'!E26,"")</f>
        <v>0.86678</v>
      </c>
      <c r="I368" s="1" t="n">
        <f aca="false">IFERROR('dens_visc_2pe+2m3b2oh'!J26,"")</f>
        <v>-0.783854728753838</v>
      </c>
      <c r="J368" s="1" t="n">
        <f aca="false">IFERROR('dens_visc_2pe+2m3b2oh'!E40,"")</f>
        <v>1.663</v>
      </c>
      <c r="K368" s="1" t="str">
        <f aca="false">IF(AND(ISNUMBER(H368),ISNUMBER(I368),ISNUMBER(J368)),"✓",COUNTIF(H368:J368,"&gt;-999")&amp;"/3")</f>
        <v>✓</v>
      </c>
    </row>
    <row r="369" customFormat="false" ht="15" hidden="false" customHeight="true" outlineLevel="0" collapsed="false">
      <c r="A369" s="1" t="s">
        <v>31</v>
      </c>
      <c r="B369" s="1" t="s">
        <v>32</v>
      </c>
      <c r="C369" s="1" t="s">
        <v>33</v>
      </c>
      <c r="D369" s="1" t="s">
        <v>14</v>
      </c>
      <c r="E369" s="1" t="s">
        <v>15</v>
      </c>
      <c r="F369" s="1" t="n">
        <f aca="false">IFERROR('dens_visc_2pe+2m3b2oh'!E22,"")</f>
        <v>50</v>
      </c>
      <c r="G369" s="1" t="n">
        <f aca="false">IFERROR('dens_visc_2pe+2m3b2oh'!A27,"")</f>
        <v>0.408179689951665</v>
      </c>
      <c r="H369" s="1" t="n">
        <f aca="false">IFERROR('dens_visc_2pe+2m3b2oh'!E27,"")</f>
        <v>0.89015</v>
      </c>
      <c r="I369" s="1" t="n">
        <f aca="false">IFERROR('dens_visc_2pe+2m3b2oh'!J27,"")</f>
        <v>-0.866112035935771</v>
      </c>
      <c r="J369" s="1" t="n">
        <f aca="false">IFERROR('dens_visc_2pe+2m3b2oh'!E41,"")</f>
        <v>2.132</v>
      </c>
      <c r="K369" s="1" t="str">
        <f aca="false">IF(AND(ISNUMBER(H369),ISNUMBER(I369),ISNUMBER(J369)),"✓",COUNTIF(H369:J369,"&gt;-999")&amp;"/3")</f>
        <v>✓</v>
      </c>
    </row>
    <row r="370" customFormat="false" ht="15" hidden="false" customHeight="true" outlineLevel="0" collapsed="false">
      <c r="A370" s="1" t="s">
        <v>31</v>
      </c>
      <c r="B370" s="1" t="s">
        <v>32</v>
      </c>
      <c r="C370" s="1" t="s">
        <v>33</v>
      </c>
      <c r="D370" s="1" t="s">
        <v>14</v>
      </c>
      <c r="E370" s="1" t="s">
        <v>15</v>
      </c>
      <c r="F370" s="1" t="n">
        <f aca="false">IFERROR('dens_visc_2pe+2m3b2oh'!E22,"")</f>
        <v>50</v>
      </c>
      <c r="G370" s="1" t="n">
        <f aca="false">IFERROR('dens_visc_2pe+2m3b2oh'!A28,"")</f>
        <v>0.492211673008868</v>
      </c>
      <c r="H370" s="1" t="n">
        <f aca="false">IFERROR('dens_visc_2pe+2m3b2oh'!E28,"")</f>
        <v>0.90725</v>
      </c>
      <c r="I370" s="1" t="n">
        <f aca="false">IFERROR('dens_visc_2pe+2m3b2oh'!J28,"")</f>
        <v>-0.847759871115486</v>
      </c>
      <c r="J370" s="1" t="n">
        <f aca="false">IFERROR('dens_visc_2pe+2m3b2oh'!E42,"")</f>
        <v>2.383</v>
      </c>
      <c r="K370" s="1" t="str">
        <f aca="false">IF(AND(ISNUMBER(H370),ISNUMBER(I370),ISNUMBER(J370)),"✓",COUNTIF(H370:J370,"&gt;-999")&amp;"/3")</f>
        <v>✓</v>
      </c>
    </row>
    <row r="371" customFormat="false" ht="15" hidden="false" customHeight="true" outlineLevel="0" collapsed="false">
      <c r="A371" s="1" t="s">
        <v>31</v>
      </c>
      <c r="B371" s="1" t="s">
        <v>32</v>
      </c>
      <c r="C371" s="1" t="s">
        <v>33</v>
      </c>
      <c r="D371" s="1" t="s">
        <v>14</v>
      </c>
      <c r="E371" s="1" t="s">
        <v>15</v>
      </c>
      <c r="F371" s="1" t="n">
        <f aca="false">IFERROR('dens_visc_2pe+2m3b2oh'!E22,"")</f>
        <v>50</v>
      </c>
      <c r="G371" s="1" t="n">
        <f aca="false">IFERROR('dens_visc_2pe+2m3b2oh'!A29,"")</f>
        <v>0.604732715235313</v>
      </c>
      <c r="H371" s="1" t="n">
        <f aca="false">IFERROR('dens_visc_2pe+2m3b2oh'!E29,"")</f>
        <v>0.9291</v>
      </c>
      <c r="I371" s="1" t="n">
        <f aca="false">IFERROR('dens_visc_2pe+2m3b2oh'!J29,"")</f>
        <v>-0.761610449793295</v>
      </c>
      <c r="J371" s="1" t="n">
        <f aca="false">IFERROR('dens_visc_2pe+2m3b2oh'!E43,"")</f>
        <v>2.952</v>
      </c>
      <c r="K371" s="1" t="str">
        <f aca="false">IF(AND(ISNUMBER(H371),ISNUMBER(I371),ISNUMBER(J371)),"✓",COUNTIF(H371:J371,"&gt;-999")&amp;"/3")</f>
        <v>✓</v>
      </c>
    </row>
    <row r="372" customFormat="false" ht="15" hidden="false" customHeight="true" outlineLevel="0" collapsed="false">
      <c r="A372" s="1" t="s">
        <v>31</v>
      </c>
      <c r="B372" s="1" t="s">
        <v>32</v>
      </c>
      <c r="C372" s="1" t="s">
        <v>33</v>
      </c>
      <c r="D372" s="1" t="s">
        <v>14</v>
      </c>
      <c r="E372" s="1" t="s">
        <v>15</v>
      </c>
      <c r="F372" s="1" t="n">
        <f aca="false">IFERROR('dens_visc_2pe+2m3b2oh'!E22,"")</f>
        <v>50</v>
      </c>
      <c r="G372" s="1" t="n">
        <f aca="false">IFERROR('dens_visc_2pe+2m3b2oh'!A30,"")</f>
        <v>0.701941849611573</v>
      </c>
      <c r="H372" s="1" t="n">
        <f aca="false">IFERROR('dens_visc_2pe+2m3b2oh'!E30,"")</f>
        <v>0.94694</v>
      </c>
      <c r="I372" s="1" t="n">
        <f aca="false">IFERROR('dens_visc_2pe+2m3b2oh'!J30,"")</f>
        <v>-0.620540896628086</v>
      </c>
      <c r="J372" s="1" t="n">
        <f aca="false">IFERROR('dens_visc_2pe+2m3b2oh'!E44,"")</f>
        <v>3.178</v>
      </c>
      <c r="K372" s="1" t="str">
        <f aca="false">IF(AND(ISNUMBER(H372),ISNUMBER(I372),ISNUMBER(J372)),"✓",COUNTIF(H372:J372,"&gt;-999")&amp;"/3")</f>
        <v>✓</v>
      </c>
    </row>
    <row r="373" customFormat="false" ht="15" hidden="false" customHeight="true" outlineLevel="0" collapsed="false">
      <c r="A373" s="1" t="s">
        <v>31</v>
      </c>
      <c r="B373" s="1" t="s">
        <v>32</v>
      </c>
      <c r="C373" s="1" t="s">
        <v>33</v>
      </c>
      <c r="D373" s="1" t="s">
        <v>14</v>
      </c>
      <c r="E373" s="1" t="s">
        <v>15</v>
      </c>
      <c r="F373" s="1" t="n">
        <f aca="false">IFERROR('dens_visc_2pe+2m3b2oh'!E22,"")</f>
        <v>50</v>
      </c>
      <c r="G373" s="1" t="n">
        <f aca="false">IFERROR('dens_visc_2pe+2m3b2oh'!A31,"")</f>
        <v>0.801863852851034</v>
      </c>
      <c r="H373" s="1" t="n">
        <f aca="false">IFERROR('dens_visc_2pe+2m3b2oh'!E31,"")</f>
        <v>0.9645</v>
      </c>
      <c r="I373" s="1" t="n">
        <f aca="false">IFERROR('dens_visc_2pe+2m3b2oh'!J31,"")</f>
        <v>-0.437621396194032</v>
      </c>
      <c r="J373" s="1" t="n">
        <f aca="false">IFERROR('dens_visc_2pe+2m3b2oh'!E45,"")</f>
        <v>3.675</v>
      </c>
      <c r="K373" s="1" t="str">
        <f aca="false">IF(AND(ISNUMBER(H373),ISNUMBER(I373),ISNUMBER(J373)),"✓",COUNTIF(H373:J373,"&gt;-999")&amp;"/3")</f>
        <v>✓</v>
      </c>
    </row>
    <row r="374" customFormat="false" ht="15" hidden="false" customHeight="true" outlineLevel="0" collapsed="false">
      <c r="A374" s="1" t="s">
        <v>31</v>
      </c>
      <c r="B374" s="1" t="s">
        <v>32</v>
      </c>
      <c r="C374" s="1" t="s">
        <v>33</v>
      </c>
      <c r="D374" s="1" t="s">
        <v>14</v>
      </c>
      <c r="E374" s="1" t="s">
        <v>15</v>
      </c>
      <c r="F374" s="1" t="n">
        <f aca="false">IFERROR('dens_visc_2pe+2m3b2oh'!E22,"")</f>
        <v>50</v>
      </c>
      <c r="G374" s="1" t="n">
        <f aca="false">IFERROR('dens_visc_2pe+2m3b2oh'!A32,"")</f>
        <v>0.900170194342918</v>
      </c>
      <c r="H374" s="1" t="n">
        <f aca="false">IFERROR('dens_visc_2pe+2m3b2oh'!E32,"")</f>
        <v>0.98107</v>
      </c>
      <c r="I374" s="1" t="n">
        <f aca="false">IFERROR('dens_visc_2pe+2m3b2oh'!J32,"")</f>
        <v>-0.226268308764475</v>
      </c>
      <c r="J374" s="1" t="n">
        <f aca="false">IFERROR('dens_visc_2pe+2m3b2oh'!E46,"")</f>
        <v>3.981</v>
      </c>
      <c r="K374" s="1" t="str">
        <f aca="false">IF(AND(ISNUMBER(H374),ISNUMBER(I374),ISNUMBER(J374)),"✓",COUNTIF(H374:J374,"&gt;-999")&amp;"/3")</f>
        <v>✓</v>
      </c>
    </row>
    <row r="375" customFormat="false" ht="15" hidden="false" customHeight="true" outlineLevel="0" collapsed="false">
      <c r="A375" s="1" t="s">
        <v>31</v>
      </c>
      <c r="B375" s="1" t="s">
        <v>32</v>
      </c>
      <c r="C375" s="1" t="s">
        <v>33</v>
      </c>
      <c r="D375" s="1" t="s">
        <v>14</v>
      </c>
      <c r="E375" s="1" t="s">
        <v>15</v>
      </c>
      <c r="F375" s="1" t="n">
        <f aca="false">IFERROR('dens_visc_2pe+2m3b2oh'!E22,"")</f>
        <v>50</v>
      </c>
      <c r="G375" s="1" t="n">
        <f aca="false">IFERROR('dens_visc_2pe+2m3b2oh'!A33,"")</f>
        <v>1</v>
      </c>
      <c r="H375" s="1" t="n">
        <f aca="false">IFERROR('dens_visc_2pe+2m3b2oh'!E33,"")</f>
        <v>0.99736</v>
      </c>
      <c r="I375" s="1" t="n">
        <f aca="false">IFERROR('dens_visc_2pe+2m3b2oh'!J33,"")</f>
        <v>0</v>
      </c>
      <c r="J375" s="1" t="n">
        <f aca="false">IFERROR('dens_visc_2pe+2m3b2oh'!E47,"")</f>
        <v>4.368</v>
      </c>
      <c r="K375" s="1" t="str">
        <f aca="false">IF(AND(ISNUMBER(H375),ISNUMBER(I375),ISNUMBER(J375)),"✓",COUNTIF(H375:J375,"&gt;-999")&amp;"/3")</f>
        <v>✓</v>
      </c>
    </row>
    <row r="376" customFormat="false" ht="15" hidden="false" customHeight="true" outlineLevel="0" collapsed="false">
      <c r="A376" s="1" t="s">
        <v>31</v>
      </c>
      <c r="B376" s="1" t="s">
        <v>32</v>
      </c>
      <c r="C376" s="1" t="s">
        <v>33</v>
      </c>
      <c r="D376" s="1" t="s">
        <v>14</v>
      </c>
      <c r="E376" s="1" t="s">
        <v>15</v>
      </c>
      <c r="F376" s="1" t="n">
        <f aca="false">IFERROR('dens_visc_2pe+2m3b2oh'!F22,"")</f>
        <v>60</v>
      </c>
      <c r="G376" s="1" t="n">
        <f aca="false">IFERROR('dens_visc_2pe+2m3b2oh'!A23,"")</f>
        <v>0</v>
      </c>
      <c r="H376" s="1" t="n">
        <f aca="false">IFERROR('dens_visc_2pe+2m3b2oh'!F23,"")</f>
        <v>0.7841</v>
      </c>
      <c r="I376" s="1" t="n">
        <f aca="false">IFERROR('dens_visc_2pe+2m3b2oh'!K23,"")</f>
        <v>0</v>
      </c>
      <c r="J376" s="1" t="n">
        <f aca="false">IFERROR('dens_visc_2pe+2m3b2oh'!F37,"")</f>
        <v>0.757</v>
      </c>
      <c r="K376" s="1" t="str">
        <f aca="false">IF(AND(ISNUMBER(H376),ISNUMBER(I376),ISNUMBER(J376)),"✓",COUNTIF(H376:J376,"&gt;-999")&amp;"/3")</f>
        <v>✓</v>
      </c>
    </row>
    <row r="377" customFormat="false" ht="15" hidden="false" customHeight="true" outlineLevel="0" collapsed="false">
      <c r="A377" s="1" t="s">
        <v>31</v>
      </c>
      <c r="B377" s="1" t="s">
        <v>32</v>
      </c>
      <c r="C377" s="1" t="s">
        <v>33</v>
      </c>
      <c r="D377" s="1" t="s">
        <v>14</v>
      </c>
      <c r="E377" s="1" t="s">
        <v>15</v>
      </c>
      <c r="F377" s="1" t="n">
        <f aca="false">IFERROR('dens_visc_2pe+2m3b2oh'!F22,"")</f>
        <v>60</v>
      </c>
      <c r="G377" s="1" t="n">
        <f aca="false">IFERROR('dens_visc_2pe+2m3b2oh'!A24,"")</f>
        <v>0.104194568642053</v>
      </c>
      <c r="H377" s="1" t="n">
        <f aca="false">IFERROR('dens_visc_2pe+2m3b2oh'!F24,"")</f>
        <v>0.81124</v>
      </c>
      <c r="I377" s="1" t="n">
        <f aca="false">IFERROR('dens_visc_2pe+2m3b2oh'!K24,"")</f>
        <v>-0.462790183117917</v>
      </c>
      <c r="J377" s="1" t="n">
        <f aca="false">IFERROR('dens_visc_2pe+2m3b2oh'!F38,"")</f>
        <v>0.934</v>
      </c>
      <c r="K377" s="1" t="str">
        <f aca="false">IF(AND(ISNUMBER(H377),ISNUMBER(I377),ISNUMBER(J377)),"✓",COUNTIF(H377:J377,"&gt;-999")&amp;"/3")</f>
        <v>✓</v>
      </c>
    </row>
    <row r="378" customFormat="false" ht="15" hidden="false" customHeight="true" outlineLevel="0" collapsed="false">
      <c r="A378" s="1" t="s">
        <v>31</v>
      </c>
      <c r="B378" s="1" t="s">
        <v>32</v>
      </c>
      <c r="C378" s="1" t="s">
        <v>33</v>
      </c>
      <c r="D378" s="1" t="s">
        <v>14</v>
      </c>
      <c r="E378" s="1" t="s">
        <v>15</v>
      </c>
      <c r="F378" s="1" t="n">
        <f aca="false">IFERROR('dens_visc_2pe+2m3b2oh'!F22,"")</f>
        <v>60</v>
      </c>
      <c r="G378" s="1" t="n">
        <f aca="false">IFERROR('dens_visc_2pe+2m3b2oh'!A25,"")</f>
        <v>0.201090673405402</v>
      </c>
      <c r="H378" s="1" t="n">
        <f aca="false">IFERROR('dens_visc_2pe+2m3b2oh'!F25,"")</f>
        <v>0.83511</v>
      </c>
      <c r="I378" s="1" t="n">
        <f aca="false">IFERROR('dens_visc_2pe+2m3b2oh'!K25,"")</f>
        <v>-0.765659214610778</v>
      </c>
      <c r="J378" s="1" t="n">
        <f aca="false">IFERROR('dens_visc_2pe+2m3b2oh'!F39,"")</f>
        <v>1.128</v>
      </c>
      <c r="K378" s="1" t="str">
        <f aca="false">IF(AND(ISNUMBER(H378),ISNUMBER(I378),ISNUMBER(J378)),"✓",COUNTIF(H378:J378,"&gt;-999")&amp;"/3")</f>
        <v>✓</v>
      </c>
    </row>
    <row r="379" customFormat="false" ht="15" hidden="false" customHeight="true" outlineLevel="0" collapsed="false">
      <c r="A379" s="1" t="s">
        <v>31</v>
      </c>
      <c r="B379" s="1" t="s">
        <v>32</v>
      </c>
      <c r="C379" s="1" t="s">
        <v>33</v>
      </c>
      <c r="D379" s="1" t="s">
        <v>14</v>
      </c>
      <c r="E379" s="1" t="s">
        <v>15</v>
      </c>
      <c r="F379" s="1" t="n">
        <f aca="false">IFERROR('dens_visc_2pe+2m3b2oh'!F22,"")</f>
        <v>60</v>
      </c>
      <c r="G379" s="1" t="n">
        <f aca="false">IFERROR('dens_visc_2pe+2m3b2oh'!A26,"")</f>
        <v>0.300033004605369</v>
      </c>
      <c r="H379" s="1" t="n">
        <f aca="false">IFERROR('dens_visc_2pe+2m3b2oh'!F26,"")</f>
        <v>0.85736</v>
      </c>
      <c r="I379" s="1" t="n">
        <f aca="false">IFERROR('dens_visc_2pe+2m3b2oh'!K26,"")</f>
        <v>-0.85358590912017</v>
      </c>
      <c r="J379" s="1" t="n">
        <f aca="false">IFERROR('dens_visc_2pe+2m3b2oh'!F40,"")</f>
        <v>1.284</v>
      </c>
      <c r="K379" s="1" t="str">
        <f aca="false">IF(AND(ISNUMBER(H379),ISNUMBER(I379),ISNUMBER(J379)),"✓",COUNTIF(H379:J379,"&gt;-999")&amp;"/3")</f>
        <v>✓</v>
      </c>
    </row>
    <row r="380" customFormat="false" ht="15" hidden="false" customHeight="true" outlineLevel="0" collapsed="false">
      <c r="A380" s="1" t="s">
        <v>31</v>
      </c>
      <c r="B380" s="1" t="s">
        <v>32</v>
      </c>
      <c r="C380" s="1" t="s">
        <v>33</v>
      </c>
      <c r="D380" s="1" t="s">
        <v>14</v>
      </c>
      <c r="E380" s="1" t="s">
        <v>15</v>
      </c>
      <c r="F380" s="1" t="n">
        <f aca="false">IFERROR('dens_visc_2pe+2m3b2oh'!F22,"")</f>
        <v>60</v>
      </c>
      <c r="G380" s="1" t="n">
        <f aca="false">IFERROR('dens_visc_2pe+2m3b2oh'!A27,"")</f>
        <v>0.408179689951665</v>
      </c>
      <c r="H380" s="1" t="n">
        <f aca="false">IFERROR('dens_visc_2pe+2m3b2oh'!F27,"")</f>
        <v>0.88111</v>
      </c>
      <c r="I380" s="1" t="n">
        <f aca="false">IFERROR('dens_visc_2pe+2m3b2oh'!K27,"")</f>
        <v>-0.948252140238338</v>
      </c>
      <c r="J380" s="1" t="n">
        <f aca="false">IFERROR('dens_visc_2pe+2m3b2oh'!F41,"")</f>
        <v>1.62</v>
      </c>
      <c r="K380" s="1" t="str">
        <f aca="false">IF(AND(ISNUMBER(H380),ISNUMBER(I380),ISNUMBER(J380)),"✓",COUNTIF(H380:J380,"&gt;-999")&amp;"/3")</f>
        <v>✓</v>
      </c>
    </row>
    <row r="381" customFormat="false" ht="15" hidden="false" customHeight="true" outlineLevel="0" collapsed="false">
      <c r="A381" s="1" t="s">
        <v>31</v>
      </c>
      <c r="B381" s="1" t="s">
        <v>32</v>
      </c>
      <c r="C381" s="1" t="s">
        <v>33</v>
      </c>
      <c r="D381" s="1" t="s">
        <v>14</v>
      </c>
      <c r="E381" s="1" t="s">
        <v>15</v>
      </c>
      <c r="F381" s="1" t="n">
        <f aca="false">IFERROR('dens_visc_2pe+2m3b2oh'!F22,"")</f>
        <v>60</v>
      </c>
      <c r="G381" s="1" t="n">
        <f aca="false">IFERROR('dens_visc_2pe+2m3b2oh'!A28,"")</f>
        <v>0.492211673008868</v>
      </c>
      <c r="H381" s="1" t="n">
        <f aca="false">IFERROR('dens_visc_2pe+2m3b2oh'!F28,"")</f>
        <v>0.89845</v>
      </c>
      <c r="I381" s="1" t="n">
        <f aca="false">IFERROR('dens_visc_2pe+2m3b2oh'!K28,"")</f>
        <v>-0.928733626607482</v>
      </c>
      <c r="J381" s="1" t="n">
        <f aca="false">IFERROR('dens_visc_2pe+2m3b2oh'!F42,"")</f>
        <v>1.805</v>
      </c>
      <c r="K381" s="1" t="str">
        <f aca="false">IF(AND(ISNUMBER(H381),ISNUMBER(I381),ISNUMBER(J381)),"✓",COUNTIF(H381:J381,"&gt;-999")&amp;"/3")</f>
        <v>✓</v>
      </c>
    </row>
    <row r="382" customFormat="false" ht="15" hidden="false" customHeight="true" outlineLevel="0" collapsed="false">
      <c r="A382" s="1" t="s">
        <v>31</v>
      </c>
      <c r="B382" s="1" t="s">
        <v>32</v>
      </c>
      <c r="C382" s="1" t="s">
        <v>33</v>
      </c>
      <c r="D382" s="1" t="s">
        <v>14</v>
      </c>
      <c r="E382" s="1" t="s">
        <v>15</v>
      </c>
      <c r="F382" s="1" t="n">
        <f aca="false">IFERROR('dens_visc_2pe+2m3b2oh'!F22,"")</f>
        <v>60</v>
      </c>
      <c r="G382" s="1" t="n">
        <f aca="false">IFERROR('dens_visc_2pe+2m3b2oh'!A29,"")</f>
        <v>0.604732715235313</v>
      </c>
      <c r="H382" s="1" t="n">
        <f aca="false">IFERROR('dens_visc_2pe+2m3b2oh'!F29,"")</f>
        <v>0.9206</v>
      </c>
      <c r="I382" s="1" t="n">
        <f aca="false">IFERROR('dens_visc_2pe+2m3b2oh'!K29,"")</f>
        <v>-0.835089027013382</v>
      </c>
      <c r="J382" s="1" t="n">
        <f aca="false">IFERROR('dens_visc_2pe+2m3b2oh'!F43,"")</f>
        <v>2.214</v>
      </c>
      <c r="K382" s="1" t="str">
        <f aca="false">IF(AND(ISNUMBER(H382),ISNUMBER(I382),ISNUMBER(J382)),"✓",COUNTIF(H382:J382,"&gt;-999")&amp;"/3")</f>
        <v>✓</v>
      </c>
    </row>
    <row r="383" customFormat="false" ht="15" hidden="false" customHeight="true" outlineLevel="0" collapsed="false">
      <c r="A383" s="1" t="s">
        <v>31</v>
      </c>
      <c r="B383" s="1" t="s">
        <v>32</v>
      </c>
      <c r="C383" s="1" t="s">
        <v>33</v>
      </c>
      <c r="D383" s="1" t="s">
        <v>14</v>
      </c>
      <c r="E383" s="1" t="s">
        <v>15</v>
      </c>
      <c r="F383" s="1" t="n">
        <f aca="false">IFERROR('dens_visc_2pe+2m3b2oh'!F22,"")</f>
        <v>60</v>
      </c>
      <c r="G383" s="1" t="n">
        <f aca="false">IFERROR('dens_visc_2pe+2m3b2oh'!A30,"")</f>
        <v>0.701941849611573</v>
      </c>
      <c r="H383" s="1" t="n">
        <f aca="false">IFERROR('dens_visc_2pe+2m3b2oh'!F30,"")</f>
        <v>0.93868</v>
      </c>
      <c r="I383" s="1" t="n">
        <f aca="false">IFERROR('dens_visc_2pe+2m3b2oh'!K30,"")</f>
        <v>-0.682400272956031</v>
      </c>
      <c r="J383" s="1" t="n">
        <f aca="false">IFERROR('dens_visc_2pe+2m3b2oh'!F44,"")</f>
        <v>2.384</v>
      </c>
      <c r="K383" s="1" t="str">
        <f aca="false">IF(AND(ISNUMBER(H383),ISNUMBER(I383),ISNUMBER(J383)),"✓",COUNTIF(H383:J383,"&gt;-999")&amp;"/3")</f>
        <v>✓</v>
      </c>
    </row>
    <row r="384" customFormat="false" ht="15" hidden="false" customHeight="true" outlineLevel="0" collapsed="false">
      <c r="A384" s="1" t="s">
        <v>31</v>
      </c>
      <c r="B384" s="1" t="s">
        <v>32</v>
      </c>
      <c r="C384" s="1" t="s">
        <v>33</v>
      </c>
      <c r="D384" s="1" t="s">
        <v>14</v>
      </c>
      <c r="E384" s="1" t="s">
        <v>15</v>
      </c>
      <c r="F384" s="1" t="n">
        <f aca="false">IFERROR('dens_visc_2pe+2m3b2oh'!F22,"")</f>
        <v>60</v>
      </c>
      <c r="G384" s="1" t="n">
        <f aca="false">IFERROR('dens_visc_2pe+2m3b2oh'!A31,"")</f>
        <v>0.801863852851034</v>
      </c>
      <c r="H384" s="1" t="n">
        <f aca="false">IFERROR('dens_visc_2pe+2m3b2oh'!F31,"")</f>
        <v>0.95646</v>
      </c>
      <c r="I384" s="1" t="n">
        <f aca="false">IFERROR('dens_visc_2pe+2m3b2oh'!K31,"")</f>
        <v>-0.482381554031875</v>
      </c>
      <c r="J384" s="1" t="n">
        <f aca="false">IFERROR('dens_visc_2pe+2m3b2oh'!F45,"")</f>
        <v>2.738</v>
      </c>
      <c r="K384" s="1" t="str">
        <f aca="false">IF(AND(ISNUMBER(H384),ISNUMBER(I384),ISNUMBER(J384)),"✓",COUNTIF(H384:J384,"&gt;-999")&amp;"/3")</f>
        <v>✓</v>
      </c>
    </row>
    <row r="385" customFormat="false" ht="15" hidden="false" customHeight="true" outlineLevel="0" collapsed="false">
      <c r="A385" s="1" t="s">
        <v>31</v>
      </c>
      <c r="B385" s="1" t="s">
        <v>32</v>
      </c>
      <c r="C385" s="1" t="s">
        <v>33</v>
      </c>
      <c r="D385" s="1" t="s">
        <v>14</v>
      </c>
      <c r="E385" s="1" t="s">
        <v>15</v>
      </c>
      <c r="F385" s="1" t="n">
        <f aca="false">IFERROR('dens_visc_2pe+2m3b2oh'!F22,"")</f>
        <v>60</v>
      </c>
      <c r="G385" s="1" t="n">
        <f aca="false">IFERROR('dens_visc_2pe+2m3b2oh'!A32,"")</f>
        <v>0.900170194342918</v>
      </c>
      <c r="H385" s="1" t="n">
        <f aca="false">IFERROR('dens_visc_2pe+2m3b2oh'!F32,"")</f>
        <v>0.97322</v>
      </c>
      <c r="I385" s="1" t="n">
        <f aca="false">IFERROR('dens_visc_2pe+2m3b2oh'!K32,"")</f>
        <v>-0.249466778890607</v>
      </c>
      <c r="J385" s="1" t="n">
        <f aca="false">IFERROR('dens_visc_2pe+2m3b2oh'!F46,"")</f>
        <v>2.97</v>
      </c>
      <c r="K385" s="1" t="str">
        <f aca="false">IF(AND(ISNUMBER(H385),ISNUMBER(I385),ISNUMBER(J385)),"✓",COUNTIF(H385:J385,"&gt;-999")&amp;"/3")</f>
        <v>✓</v>
      </c>
    </row>
    <row r="386" customFormat="false" ht="15" hidden="false" customHeight="true" outlineLevel="0" collapsed="false">
      <c r="A386" s="1" t="s">
        <v>31</v>
      </c>
      <c r="B386" s="1" t="s">
        <v>32</v>
      </c>
      <c r="C386" s="1" t="s">
        <v>33</v>
      </c>
      <c r="D386" s="1" t="s">
        <v>14</v>
      </c>
      <c r="E386" s="1" t="s">
        <v>15</v>
      </c>
      <c r="F386" s="1" t="n">
        <f aca="false">IFERROR('dens_visc_2pe+2m3b2oh'!F22,"")</f>
        <v>60</v>
      </c>
      <c r="G386" s="1" t="n">
        <f aca="false">IFERROR('dens_visc_2pe+2m3b2oh'!A33,"")</f>
        <v>1</v>
      </c>
      <c r="H386" s="1" t="n">
        <f aca="false">IFERROR('dens_visc_2pe+2m3b2oh'!F33,"")</f>
        <v>0.9897</v>
      </c>
      <c r="I386" s="1" t="n">
        <f aca="false">IFERROR('dens_visc_2pe+2m3b2oh'!K33,"")</f>
        <v>0</v>
      </c>
      <c r="J386" s="1" t="n">
        <f aca="false">IFERROR('dens_visc_2pe+2m3b2oh'!F47,"")</f>
        <v>3.252</v>
      </c>
      <c r="K386" s="1" t="str">
        <f aca="false">IF(AND(ISNUMBER(H386),ISNUMBER(I386),ISNUMBER(J386)),"✓",COUNTIF(H386:J386,"&gt;-999")&amp;"/3")</f>
        <v>✓</v>
      </c>
    </row>
    <row r="387" customFormat="false" ht="15" hidden="false" customHeight="true" outlineLevel="0" collapsed="false">
      <c r="A387" s="1" t="s">
        <v>34</v>
      </c>
      <c r="B387" s="1" t="s">
        <v>32</v>
      </c>
      <c r="C387" s="1" t="s">
        <v>33</v>
      </c>
      <c r="D387" s="1" t="s">
        <v>17</v>
      </c>
      <c r="E387" s="1" t="s">
        <v>18</v>
      </c>
      <c r="F387" s="1" t="n">
        <f aca="false">IFERROR('dens_visc_2pe+2m2boh'!B22,"")</f>
        <v>20</v>
      </c>
      <c r="G387" s="3" t="n">
        <f aca="false">IFERROR('dens_visc_2pe+2m2boh'!A24,"")</f>
        <v>0.100559254025526</v>
      </c>
      <c r="H387" s="1" t="n">
        <f aca="false">IFERROR('dens_visc_2pe+2m2boh'!B23,"")</f>
        <v>0.80899</v>
      </c>
      <c r="I387" s="1" t="n">
        <f aca="false">IFERROR('dens_visc_2pe+2m2boh'!G24,"")</f>
        <v>-0.333753952795533</v>
      </c>
      <c r="J387" s="1" t="n">
        <f aca="false">IFERROR('dens_visc_2pe+2m2boh'!B37,"")</f>
        <v>4.244</v>
      </c>
      <c r="K387" s="1" t="str">
        <f aca="false">IF(AND(ISNUMBER(H387),ISNUMBER(I387),ISNUMBER(J387)),"✓",COUNTIF(H387:J387,"&gt;-999")&amp;"/3")</f>
        <v>✓</v>
      </c>
    </row>
    <row r="388" customFormat="false" ht="15" hidden="false" customHeight="true" outlineLevel="0" collapsed="false">
      <c r="A388" s="1" t="s">
        <v>34</v>
      </c>
      <c r="B388" s="1" t="s">
        <v>32</v>
      </c>
      <c r="C388" s="1" t="s">
        <v>33</v>
      </c>
      <c r="D388" s="1" t="s">
        <v>17</v>
      </c>
      <c r="E388" s="1" t="s">
        <v>18</v>
      </c>
      <c r="F388" s="1" t="n">
        <f aca="false">IFERROR('dens_visc_2pe+2m2boh'!B22,"")</f>
        <v>20</v>
      </c>
      <c r="G388" s="3" t="n">
        <f aca="false">IFERROR('dens_visc_2pe+2m2boh'!A25,"")</f>
        <v>0.200245765489875</v>
      </c>
      <c r="H388" s="1" t="n">
        <f aca="false">IFERROR('dens_visc_2pe+2m2boh'!K30,"")</f>
        <v>-0.508222422056917</v>
      </c>
      <c r="I388" s="1" t="n">
        <f aca="false">IFERROR('dens_visc_2pe+2m2boh'!G25,"")</f>
        <v>-0.49182160226303</v>
      </c>
      <c r="J388" s="1" t="n">
        <f aca="false">IFERROR('dens_visc_2pe+2m2boh'!B38,"")</f>
        <v>5.352</v>
      </c>
      <c r="K388" s="1" t="str">
        <f aca="false">IF(AND(ISNUMBER(H388),ISNUMBER(I388),ISNUMBER(J388)),"✓",COUNTIF(H388:J388,"&gt;-999")&amp;"/3")</f>
        <v>✓</v>
      </c>
    </row>
    <row r="389" customFormat="false" ht="15" hidden="false" customHeight="true" outlineLevel="0" collapsed="false">
      <c r="A389" s="1" t="s">
        <v>34</v>
      </c>
      <c r="B389" s="1" t="s">
        <v>32</v>
      </c>
      <c r="C389" s="1" t="s">
        <v>33</v>
      </c>
      <c r="D389" s="1" t="s">
        <v>17</v>
      </c>
      <c r="E389" s="1" t="s">
        <v>18</v>
      </c>
      <c r="F389" s="1" t="n">
        <f aca="false">IFERROR('dens_visc_2pe+2m2boh'!B22,"")</f>
        <v>20</v>
      </c>
      <c r="G389" s="3" t="n">
        <f aca="false">IFERROR('dens_visc_2pe+2m2boh'!A26,"")</f>
        <v>0.299990044912394</v>
      </c>
      <c r="H389" s="1" t="n">
        <f aca="false">IFERROR('dens_visc_2pe+2m2boh'!K31,"")</f>
        <v>-0.346689114940375</v>
      </c>
      <c r="I389" s="1" t="n">
        <f aca="false">IFERROR('dens_visc_2pe+2m2boh'!G26,"")</f>
        <v>-0.545831873008737</v>
      </c>
      <c r="J389" s="1" t="n">
        <f aca="false">IFERROR('dens_visc_2pe+2m2boh'!B39,"")</f>
        <v>6.445</v>
      </c>
      <c r="K389" s="1" t="str">
        <f aca="false">IF(AND(ISNUMBER(H389),ISNUMBER(I389),ISNUMBER(J389)),"✓",COUNTIF(H389:J389,"&gt;-999")&amp;"/3")</f>
        <v>✓</v>
      </c>
    </row>
    <row r="390" customFormat="false" ht="15" hidden="false" customHeight="true" outlineLevel="0" collapsed="false">
      <c r="A390" s="1" t="s">
        <v>34</v>
      </c>
      <c r="B390" s="1" t="s">
        <v>32</v>
      </c>
      <c r="C390" s="1" t="s">
        <v>33</v>
      </c>
      <c r="D390" s="1" t="s">
        <v>17</v>
      </c>
      <c r="E390" s="1" t="s">
        <v>18</v>
      </c>
      <c r="F390" s="1" t="n">
        <f aca="false">IFERROR('dens_visc_2pe+2m2boh'!B22,"")</f>
        <v>20</v>
      </c>
      <c r="G390" s="3" t="n">
        <f aca="false">IFERROR('dens_visc_2pe+2m2boh'!A27,"")</f>
        <v>0.400510364581864</v>
      </c>
      <c r="H390" s="1" t="n">
        <f aca="false">IFERROR('dens_visc_2pe+2m2boh'!K32,"")</f>
        <v>-0.168290871476898</v>
      </c>
      <c r="I390" s="1" t="n">
        <f aca="false">IFERROR('dens_visc_2pe+2m2boh'!G27,"")</f>
        <v>-0.54271331740128</v>
      </c>
      <c r="J390" s="1" t="n">
        <f aca="false">IFERROR('dens_visc_2pe+2m2boh'!B40,"")</f>
        <v>7.684</v>
      </c>
      <c r="K390" s="1" t="str">
        <f aca="false">IF(AND(ISNUMBER(H390),ISNUMBER(I390),ISNUMBER(J390)),"✓",COUNTIF(H390:J390,"&gt;-999")&amp;"/3")</f>
        <v>✓</v>
      </c>
    </row>
    <row r="391" customFormat="false" ht="15" hidden="false" customHeight="true" outlineLevel="0" collapsed="false">
      <c r="A391" s="1" t="s">
        <v>34</v>
      </c>
      <c r="B391" s="1" t="s">
        <v>32</v>
      </c>
      <c r="C391" s="1" t="s">
        <v>33</v>
      </c>
      <c r="D391" s="1" t="s">
        <v>17</v>
      </c>
      <c r="E391" s="1" t="s">
        <v>18</v>
      </c>
      <c r="F391" s="1" t="n">
        <f aca="false">IFERROR('dens_visc_2pe+2m2boh'!B22,"")</f>
        <v>20</v>
      </c>
      <c r="G391" s="3" t="n">
        <f aca="false">IFERROR('dens_visc_2pe+2m2boh'!A28,"")</f>
        <v>0.499854117889342</v>
      </c>
      <c r="H391" s="1" t="n">
        <f aca="false">IFERROR('dens_visc_2pe+2m2boh'!K33,"")</f>
        <v>0</v>
      </c>
      <c r="I391" s="1" t="n">
        <f aca="false">IFERROR('dens_visc_2pe+2m2boh'!G28,"")</f>
        <v>-0.498409788402469</v>
      </c>
      <c r="J391" s="1" t="n">
        <f aca="false">IFERROR('dens_visc_2pe+2m2boh'!B41,"")</f>
        <v>8.391</v>
      </c>
      <c r="K391" s="1" t="str">
        <f aca="false">IF(AND(ISNUMBER(H391),ISNUMBER(I391),ISNUMBER(J391)),"✓",COUNTIF(H391:J391,"&gt;-999")&amp;"/3")</f>
        <v>✓</v>
      </c>
    </row>
    <row r="392" customFormat="false" ht="15" hidden="false" customHeight="true" outlineLevel="0" collapsed="false">
      <c r="A392" s="1" t="s">
        <v>34</v>
      </c>
      <c r="B392" s="1" t="s">
        <v>32</v>
      </c>
      <c r="C392" s="1" t="s">
        <v>33</v>
      </c>
      <c r="D392" s="1" t="s">
        <v>17</v>
      </c>
      <c r="E392" s="1" t="s">
        <v>18</v>
      </c>
      <c r="F392" s="1" t="n">
        <f aca="false">IFERROR('dens_visc_2pe+2m2boh'!B22,"")</f>
        <v>20</v>
      </c>
      <c r="G392" s="3" t="n">
        <f aca="false">IFERROR('dens_visc_2pe+2m2boh'!A29,"")</f>
        <v>0.599726229578825</v>
      </c>
      <c r="H392" s="1" t="e">
        <f aca="false">IFERROR('dens_visc_2pe+2m2boh'!#ref!,"")</f>
        <v>#VALUE!</v>
      </c>
      <c r="I392" s="1" t="n">
        <f aca="false">IFERROR('dens_visc_2pe+2m2boh'!G29,"")</f>
        <v>-0.416998815418594</v>
      </c>
      <c r="J392" s="1" t="n">
        <f aca="false">IFERROR('dens_visc_2pe+2m2boh'!B42,"")</f>
        <v>9.549</v>
      </c>
      <c r="K392" s="1" t="str">
        <f aca="false">IF(AND(ISNUMBER(H392),ISNUMBER(I392),ISNUMBER(J392)),"✓",COUNTIF(H392:J392,"&gt;-999")&amp;"/3")</f>
        <v>2/3</v>
      </c>
    </row>
    <row r="393" customFormat="false" ht="15" hidden="false" customHeight="true" outlineLevel="0" collapsed="false">
      <c r="A393" s="1" t="s">
        <v>34</v>
      </c>
      <c r="B393" s="1" t="s">
        <v>32</v>
      </c>
      <c r="C393" s="1" t="s">
        <v>33</v>
      </c>
      <c r="D393" s="1" t="s">
        <v>17</v>
      </c>
      <c r="E393" s="1" t="s">
        <v>18</v>
      </c>
      <c r="F393" s="1" t="n">
        <f aca="false">IFERROR('dens_visc_2pe+2m2boh'!B22,"")</f>
        <v>20</v>
      </c>
      <c r="G393" s="3" t="n">
        <f aca="false">IFERROR('dens_visc_2pe+2m2boh'!A30,"")</f>
        <v>0.698129790940866</v>
      </c>
      <c r="H393" s="1" t="n">
        <f aca="false">IFERROR('dens_visc_2pe+2m2boh'!B30,"")</f>
        <v>0.963</v>
      </c>
      <c r="I393" s="1" t="n">
        <f aca="false">IFERROR('dens_visc_2pe+2m2boh'!G30,"")</f>
        <v>-0.323781371777486</v>
      </c>
      <c r="J393" s="1" t="n">
        <f aca="false">IFERROR('dens_visc_2pe+2m2boh'!B43,"")</f>
        <v>10.2</v>
      </c>
      <c r="K393" s="1" t="str">
        <f aca="false">IF(AND(ISNUMBER(H393),ISNUMBER(I393),ISNUMBER(J393)),"✓",COUNTIF(H393:J393,"&gt;-999")&amp;"/3")</f>
        <v>✓</v>
      </c>
    </row>
    <row r="394" customFormat="false" ht="15" hidden="false" customHeight="true" outlineLevel="0" collapsed="false">
      <c r="A394" s="1" t="s">
        <v>34</v>
      </c>
      <c r="B394" s="1" t="s">
        <v>32</v>
      </c>
      <c r="C394" s="1" t="s">
        <v>33</v>
      </c>
      <c r="D394" s="1" t="s">
        <v>17</v>
      </c>
      <c r="E394" s="1" t="s">
        <v>18</v>
      </c>
      <c r="F394" s="1" t="n">
        <f aca="false">IFERROR('dens_visc_2pe+2m2boh'!B22,"")</f>
        <v>20</v>
      </c>
      <c r="G394" s="3" t="n">
        <f aca="false">IFERROR('dens_visc_2pe+2m2boh'!A31,"")</f>
        <v>0.80061337514444</v>
      </c>
      <c r="H394" s="1" t="n">
        <f aca="false">IFERROR('dens_visc_2pe+2m2boh'!B31,"")</f>
        <v>0.9827</v>
      </c>
      <c r="I394" s="1" t="n">
        <f aca="false">IFERROR('dens_visc_2pe+2m2boh'!G31,"")</f>
        <v>-0.215043786300456</v>
      </c>
      <c r="J394" s="1" t="n">
        <f aca="false">IFERROR('dens_visc_2pe+2m2boh'!B44,"")</f>
        <v>11.08</v>
      </c>
      <c r="K394" s="1" t="str">
        <f aca="false">IF(AND(ISNUMBER(H394),ISNUMBER(I394),ISNUMBER(J394)),"✓",COUNTIF(H394:J394,"&gt;-999")&amp;"/3")</f>
        <v>✓</v>
      </c>
    </row>
    <row r="395" customFormat="false" ht="15" hidden="false" customHeight="true" outlineLevel="0" collapsed="false">
      <c r="A395" s="1" t="s">
        <v>34</v>
      </c>
      <c r="B395" s="1" t="s">
        <v>32</v>
      </c>
      <c r="C395" s="1" t="s">
        <v>33</v>
      </c>
      <c r="D395" s="1" t="s">
        <v>17</v>
      </c>
      <c r="E395" s="1" t="s">
        <v>18</v>
      </c>
      <c r="F395" s="1" t="n">
        <f aca="false">IFERROR('dens_visc_2pe+2m2boh'!B22,"")</f>
        <v>20</v>
      </c>
      <c r="G395" s="3" t="n">
        <f aca="false">IFERROR('dens_visc_2pe+2m2boh'!A32,"")</f>
        <v>0.899685133190903</v>
      </c>
      <c r="H395" s="1" t="n">
        <f aca="false">IFERROR('dens_visc_2pe+2m2boh'!B32,"")</f>
        <v>1.0014</v>
      </c>
      <c r="I395" s="1" t="n">
        <f aca="false">IFERROR('dens_visc_2pe+2m2boh'!G32,"")</f>
        <v>-0.114708804506733</v>
      </c>
      <c r="J395" s="1" t="n">
        <f aca="false">IFERROR('dens_visc_2pe+2m2boh'!B45,"")</f>
        <v>12.19</v>
      </c>
      <c r="K395" s="1" t="str">
        <f aca="false">IF(AND(ISNUMBER(H395),ISNUMBER(I395),ISNUMBER(J395)),"✓",COUNTIF(H395:J395,"&gt;-999")&amp;"/3")</f>
        <v>✓</v>
      </c>
    </row>
    <row r="396" customFormat="false" ht="15" hidden="false" customHeight="true" outlineLevel="0" collapsed="false">
      <c r="A396" s="1" t="s">
        <v>34</v>
      </c>
      <c r="B396" s="1" t="s">
        <v>32</v>
      </c>
      <c r="C396" s="1" t="s">
        <v>33</v>
      </c>
      <c r="D396" s="1" t="s">
        <v>17</v>
      </c>
      <c r="E396" s="1" t="s">
        <v>18</v>
      </c>
      <c r="F396" s="1" t="n">
        <f aca="false">IFERROR('dens_visc_2pe+2m2boh'!B22,"")</f>
        <v>20</v>
      </c>
      <c r="G396" s="3" t="n">
        <f aca="false">IFERROR('dens_visc_2pe+2m2boh'!A33,"")</f>
        <v>1</v>
      </c>
      <c r="H396" s="1" t="n">
        <f aca="false">IFERROR('dens_visc_2pe+2m2boh'!B33,"")</f>
        <v>1.01985</v>
      </c>
      <c r="I396" s="1" t="n">
        <f aca="false">IFERROR('dens_visc_2pe+2m2boh'!G33,"")</f>
        <v>0</v>
      </c>
      <c r="J396" s="1" t="n">
        <f aca="false">IFERROR('dens_visc_2pe+2m2boh'!B46,"")</f>
        <v>12.89</v>
      </c>
      <c r="K396" s="1" t="str">
        <f aca="false">IF(AND(ISNUMBER(H396),ISNUMBER(I396),ISNUMBER(J396)),"✓",COUNTIF(H396:J396,"&gt;-999")&amp;"/3")</f>
        <v>✓</v>
      </c>
    </row>
    <row r="397" customFormat="false" ht="15" hidden="false" customHeight="true" outlineLevel="0" collapsed="false">
      <c r="A397" s="1" t="s">
        <v>34</v>
      </c>
      <c r="B397" s="1" t="s">
        <v>32</v>
      </c>
      <c r="C397" s="1" t="s">
        <v>33</v>
      </c>
      <c r="D397" s="1" t="s">
        <v>17</v>
      </c>
      <c r="E397" s="1" t="s">
        <v>18</v>
      </c>
      <c r="F397" s="1" t="n">
        <f aca="false">IFERROR('dens_visc_2pe+2m2boh'!B22,"")</f>
        <v>20</v>
      </c>
      <c r="G397" s="3" t="e">
        <f aca="false">IFERROR('dens_visc_2pe+2m2boh'!#ref!,"")</f>
        <v>#VALUE!</v>
      </c>
      <c r="H397" s="1" t="e">
        <f aca="false">IFERROR('dens_visc_2pe+2m2boh'!#ref!,"")</f>
        <v>#VALUE!</v>
      </c>
      <c r="I397" s="1" t="e">
        <f aca="false">IFERROR('dens_visc_2pe+2m2boh'!#ref!,"")</f>
        <v>#VALUE!</v>
      </c>
      <c r="J397" s="1" t="n">
        <f aca="false">IFERROR('dens_visc_2pe+2m2boh'!B47,"")</f>
        <v>14.04</v>
      </c>
      <c r="K397" s="1" t="str">
        <f aca="false">IF(AND(ISNUMBER(H397),ISNUMBER(I397),ISNUMBER(J397)),"✓",COUNTIF(H397:J397,"&gt;-999")&amp;"/3")</f>
        <v>1/3</v>
      </c>
    </row>
    <row r="398" customFormat="false" ht="15" hidden="false" customHeight="true" outlineLevel="0" collapsed="false">
      <c r="A398" s="1" t="s">
        <v>34</v>
      </c>
      <c r="B398" s="1" t="s">
        <v>32</v>
      </c>
      <c r="C398" s="1" t="s">
        <v>33</v>
      </c>
      <c r="D398" s="1" t="s">
        <v>17</v>
      </c>
      <c r="E398" s="1" t="s">
        <v>18</v>
      </c>
      <c r="F398" s="1" t="n">
        <f aca="false">IFERROR('dens_visc_2pe+2m2boh'!C22,"")</f>
        <v>30</v>
      </c>
      <c r="G398" s="3" t="n">
        <f aca="false">IFERROR('dens_visc_2pe+2m2boh'!A24,"")</f>
        <v>0.100559254025526</v>
      </c>
      <c r="H398" s="1" t="n">
        <f aca="false">IFERROR('dens_visc_2pe+2m2boh'!C23,"")</f>
        <v>0.79979</v>
      </c>
      <c r="I398" s="1" t="n">
        <f aca="false">IFERROR('dens_visc_2pe+2m2boh'!H24,"")</f>
        <v>-0.326354144128231</v>
      </c>
      <c r="J398" s="1" t="n">
        <f aca="false">IFERROR('dens_visc_2pe+2m2boh'!C37,"")</f>
        <v>2.776</v>
      </c>
      <c r="K398" s="1" t="str">
        <f aca="false">IF(AND(ISNUMBER(H398),ISNUMBER(I398),ISNUMBER(J398)),"✓",COUNTIF(H398:J398,"&gt;-999")&amp;"/3")</f>
        <v>✓</v>
      </c>
    </row>
    <row r="399" customFormat="false" ht="15" hidden="false" customHeight="true" outlineLevel="0" collapsed="false">
      <c r="A399" s="1" t="s">
        <v>34</v>
      </c>
      <c r="B399" s="1" t="s">
        <v>32</v>
      </c>
      <c r="C399" s="1" t="s">
        <v>33</v>
      </c>
      <c r="D399" s="1" t="s">
        <v>17</v>
      </c>
      <c r="E399" s="1" t="s">
        <v>18</v>
      </c>
      <c r="F399" s="1" t="n">
        <f aca="false">IFERROR('dens_visc_2pe+2m2boh'!C22,"")</f>
        <v>30</v>
      </c>
      <c r="G399" s="3" t="n">
        <f aca="false">IFERROR('dens_visc_2pe+2m2boh'!A25,"")</f>
        <v>0.200245765489875</v>
      </c>
      <c r="H399" s="1" t="n">
        <f aca="false">IFERROR('dens_visc_2pe+2m2boh'!C24,"")</f>
        <v>0.8254</v>
      </c>
      <c r="I399" s="1" t="n">
        <f aca="false">IFERROR('dens_visc_2pe+2m2boh'!H25,"")</f>
        <v>-0.510527953631524</v>
      </c>
      <c r="J399" s="1" t="n">
        <f aca="false">IFERROR('dens_visc_2pe+2m2boh'!C38,"")</f>
        <v>3.365</v>
      </c>
      <c r="K399" s="1" t="str">
        <f aca="false">IF(AND(ISNUMBER(H399),ISNUMBER(I399),ISNUMBER(J399)),"✓",COUNTIF(H399:J399,"&gt;-999")&amp;"/3")</f>
        <v>✓</v>
      </c>
    </row>
    <row r="400" customFormat="false" ht="15" hidden="false" customHeight="true" outlineLevel="0" collapsed="false">
      <c r="A400" s="1" t="s">
        <v>34</v>
      </c>
      <c r="B400" s="1" t="s">
        <v>32</v>
      </c>
      <c r="C400" s="1" t="s">
        <v>33</v>
      </c>
      <c r="D400" s="1" t="s">
        <v>17</v>
      </c>
      <c r="E400" s="1" t="s">
        <v>18</v>
      </c>
      <c r="F400" s="1" t="n">
        <f aca="false">IFERROR('dens_visc_2pe+2m2boh'!C22,"")</f>
        <v>30</v>
      </c>
      <c r="G400" s="3" t="n">
        <f aca="false">IFERROR('dens_visc_2pe+2m2boh'!A26,"")</f>
        <v>0.299990044912394</v>
      </c>
      <c r="H400" s="1" t="n">
        <f aca="false">IFERROR('dens_visc_2pe+2m2boh'!C25,"")</f>
        <v>0.8494</v>
      </c>
      <c r="I400" s="1" t="n">
        <f aca="false">IFERROR('dens_visc_2pe+2m2boh'!H26,"")</f>
        <v>-0.58521285031614</v>
      </c>
      <c r="J400" s="1" t="n">
        <f aca="false">IFERROR('dens_visc_2pe+2m2boh'!C39,"")</f>
        <v>3.971</v>
      </c>
      <c r="K400" s="1" t="str">
        <f aca="false">IF(AND(ISNUMBER(H400),ISNUMBER(I400),ISNUMBER(J400)),"✓",COUNTIF(H400:J400,"&gt;-999")&amp;"/3")</f>
        <v>✓</v>
      </c>
    </row>
    <row r="401" customFormat="false" ht="15" hidden="false" customHeight="true" outlineLevel="0" collapsed="false">
      <c r="A401" s="1" t="s">
        <v>34</v>
      </c>
      <c r="B401" s="1" t="s">
        <v>32</v>
      </c>
      <c r="C401" s="1" t="s">
        <v>33</v>
      </c>
      <c r="D401" s="1" t="s">
        <v>17</v>
      </c>
      <c r="E401" s="1" t="s">
        <v>18</v>
      </c>
      <c r="F401" s="1" t="n">
        <f aca="false">IFERROR('dens_visc_2pe+2m2boh'!C22,"")</f>
        <v>30</v>
      </c>
      <c r="G401" s="3" t="n">
        <f aca="false">IFERROR('dens_visc_2pe+2m2boh'!A27,"")</f>
        <v>0.400510364581864</v>
      </c>
      <c r="H401" s="1" t="n">
        <f aca="false">IFERROR('dens_visc_2pe+2m2boh'!C27,"")</f>
        <v>0.8942</v>
      </c>
      <c r="I401" s="1" t="n">
        <f aca="false">IFERROR('dens_visc_2pe+2m2boh'!H27,"")</f>
        <v>-0.58604338262623</v>
      </c>
      <c r="J401" s="1" t="n">
        <f aca="false">IFERROR('dens_visc_2pe+2m2boh'!C40,"")</f>
        <v>4.615</v>
      </c>
      <c r="K401" s="1" t="str">
        <f aca="false">IF(AND(ISNUMBER(H401),ISNUMBER(I401),ISNUMBER(J401)),"✓",COUNTIF(H401:J401,"&gt;-999")&amp;"/3")</f>
        <v>✓</v>
      </c>
    </row>
    <row r="402" customFormat="false" ht="15" hidden="false" customHeight="true" outlineLevel="0" collapsed="false">
      <c r="A402" s="1" t="s">
        <v>34</v>
      </c>
      <c r="B402" s="1" t="s">
        <v>32</v>
      </c>
      <c r="C402" s="1" t="s">
        <v>33</v>
      </c>
      <c r="D402" s="1" t="s">
        <v>17</v>
      </c>
      <c r="E402" s="1" t="s">
        <v>18</v>
      </c>
      <c r="F402" s="1" t="n">
        <f aca="false">IFERROR('dens_visc_2pe+2m2boh'!C22,"")</f>
        <v>30</v>
      </c>
      <c r="G402" s="3" t="n">
        <f aca="false">IFERROR('dens_visc_2pe+2m2boh'!A28,"")</f>
        <v>0.499854117889342</v>
      </c>
      <c r="H402" s="1" t="n">
        <f aca="false">IFERROR('dens_visc_2pe+2m2boh'!C28,"")</f>
        <v>0.9152</v>
      </c>
      <c r="I402" s="1" t="n">
        <f aca="false">IFERROR('dens_visc_2pe+2m2boh'!H28,"")</f>
        <v>-0.543231828238334</v>
      </c>
      <c r="J402" s="1" t="n">
        <f aca="false">IFERROR('dens_visc_2pe+2m2boh'!C41,"")</f>
        <v>5.253</v>
      </c>
      <c r="K402" s="1" t="str">
        <f aca="false">IF(AND(ISNUMBER(H402),ISNUMBER(I402),ISNUMBER(J402)),"✓",COUNTIF(H402:J402,"&gt;-999")&amp;"/3")</f>
        <v>✓</v>
      </c>
    </row>
    <row r="403" customFormat="false" ht="15" hidden="false" customHeight="true" outlineLevel="0" collapsed="false">
      <c r="A403" s="1" t="s">
        <v>34</v>
      </c>
      <c r="B403" s="1" t="s">
        <v>32</v>
      </c>
      <c r="C403" s="1" t="s">
        <v>33</v>
      </c>
      <c r="D403" s="1" t="s">
        <v>17</v>
      </c>
      <c r="E403" s="1" t="s">
        <v>18</v>
      </c>
      <c r="F403" s="1" t="n">
        <f aca="false">IFERROR('dens_visc_2pe+2m2boh'!C22,"")</f>
        <v>30</v>
      </c>
      <c r="G403" s="3" t="n">
        <f aca="false">IFERROR('dens_visc_2pe+2m2boh'!A29,"")</f>
        <v>0.599726229578825</v>
      </c>
      <c r="H403" s="1" t="n">
        <f aca="false">IFERROR('dens_visc_2pe+2m2boh'!C29,"")</f>
        <v>0.9357</v>
      </c>
      <c r="I403" s="1" t="n">
        <f aca="false">IFERROR('dens_visc_2pe+2m2boh'!H29,"")</f>
        <v>-0.473248798381178</v>
      </c>
      <c r="J403" s="1" t="n">
        <f aca="false">IFERROR('dens_visc_2pe+2m2boh'!C42,"")</f>
        <v>6.014</v>
      </c>
      <c r="K403" s="1" t="str">
        <f aca="false">IF(AND(ISNUMBER(H403),ISNUMBER(I403),ISNUMBER(J403)),"✓",COUNTIF(H403:J403,"&gt;-999")&amp;"/3")</f>
        <v>✓</v>
      </c>
    </row>
    <row r="404" customFormat="false" ht="15" hidden="false" customHeight="true" outlineLevel="0" collapsed="false">
      <c r="A404" s="1" t="s">
        <v>34</v>
      </c>
      <c r="B404" s="1" t="s">
        <v>32</v>
      </c>
      <c r="C404" s="1" t="s">
        <v>33</v>
      </c>
      <c r="D404" s="1" t="s">
        <v>17</v>
      </c>
      <c r="E404" s="1" t="s">
        <v>18</v>
      </c>
      <c r="F404" s="1" t="n">
        <f aca="false">IFERROR('dens_visc_2pe+2m2boh'!C22,"")</f>
        <v>30</v>
      </c>
      <c r="G404" s="3" t="n">
        <f aca="false">IFERROR('dens_visc_2pe+2m2boh'!A30,"")</f>
        <v>0.698129790940866</v>
      </c>
      <c r="H404" s="1" t="n">
        <f aca="false">IFERROR('dens_visc_2pe+2m2boh'!C30,"")</f>
        <v>0.9552</v>
      </c>
      <c r="I404" s="1" t="n">
        <f aca="false">IFERROR('dens_visc_2pe+2m2boh'!H30,"")</f>
        <v>-0.365375589377848</v>
      </c>
      <c r="J404" s="1" t="n">
        <f aca="false">IFERROR('dens_visc_2pe+2m2boh'!C43,"")</f>
        <v>6.474</v>
      </c>
      <c r="K404" s="1" t="str">
        <f aca="false">IF(AND(ISNUMBER(H404),ISNUMBER(I404),ISNUMBER(J404)),"✓",COUNTIF(H404:J404,"&gt;-999")&amp;"/3")</f>
        <v>✓</v>
      </c>
    </row>
    <row r="405" customFormat="false" ht="15" hidden="false" customHeight="true" outlineLevel="0" collapsed="false">
      <c r="A405" s="1" t="s">
        <v>34</v>
      </c>
      <c r="B405" s="1" t="s">
        <v>32</v>
      </c>
      <c r="C405" s="1" t="s">
        <v>33</v>
      </c>
      <c r="D405" s="1" t="s">
        <v>17</v>
      </c>
      <c r="E405" s="1" t="s">
        <v>18</v>
      </c>
      <c r="F405" s="1" t="n">
        <f aca="false">IFERROR('dens_visc_2pe+2m2boh'!C22,"")</f>
        <v>30</v>
      </c>
      <c r="G405" s="3" t="n">
        <f aca="false">IFERROR('dens_visc_2pe+2m2boh'!A31,"")</f>
        <v>0.80061337514444</v>
      </c>
      <c r="H405" s="1" t="n">
        <f aca="false">IFERROR('dens_visc_2pe+2m2boh'!C31,"")</f>
        <v>0.9751</v>
      </c>
      <c r="I405" s="1" t="n">
        <f aca="false">IFERROR('dens_visc_2pe+2m2boh'!H31,"")</f>
        <v>-0.251735882052174</v>
      </c>
      <c r="J405" s="1" t="n">
        <f aca="false">IFERROR('dens_visc_2pe+2m2boh'!C44,"")</f>
        <v>7.042</v>
      </c>
      <c r="K405" s="1" t="str">
        <f aca="false">IF(AND(ISNUMBER(H405),ISNUMBER(I405),ISNUMBER(J405)),"✓",COUNTIF(H405:J405,"&gt;-999")&amp;"/3")</f>
        <v>✓</v>
      </c>
    </row>
    <row r="406" customFormat="false" ht="15" hidden="false" customHeight="true" outlineLevel="0" collapsed="false">
      <c r="A406" s="1" t="s">
        <v>34</v>
      </c>
      <c r="B406" s="1" t="s">
        <v>32</v>
      </c>
      <c r="C406" s="1" t="s">
        <v>33</v>
      </c>
      <c r="D406" s="1" t="s">
        <v>17</v>
      </c>
      <c r="E406" s="1" t="s">
        <v>18</v>
      </c>
      <c r="F406" s="1" t="n">
        <f aca="false">IFERROR('dens_visc_2pe+2m2boh'!C22,"")</f>
        <v>30</v>
      </c>
      <c r="G406" s="3" t="n">
        <f aca="false">IFERROR('dens_visc_2pe+2m2boh'!A32,"")</f>
        <v>0.899685133190903</v>
      </c>
      <c r="H406" s="1" t="n">
        <f aca="false">IFERROR('dens_visc_2pe+2m2boh'!C32,"")</f>
        <v>0.9938</v>
      </c>
      <c r="I406" s="1" t="n">
        <f aca="false">IFERROR('dens_visc_2pe+2m2boh'!H32,"")</f>
        <v>-0.122333027715669</v>
      </c>
      <c r="J406" s="1" t="n">
        <f aca="false">IFERROR('dens_visc_2pe+2m2boh'!C45,"")</f>
        <v>7.656</v>
      </c>
      <c r="K406" s="1" t="str">
        <f aca="false">IF(AND(ISNUMBER(H406),ISNUMBER(I406),ISNUMBER(J406)),"✓",COUNTIF(H406:J406,"&gt;-999")&amp;"/3")</f>
        <v>✓</v>
      </c>
    </row>
    <row r="407" customFormat="false" ht="15" hidden="false" customHeight="true" outlineLevel="0" collapsed="false">
      <c r="A407" s="1" t="s">
        <v>34</v>
      </c>
      <c r="B407" s="1" t="s">
        <v>32</v>
      </c>
      <c r="C407" s="1" t="s">
        <v>33</v>
      </c>
      <c r="D407" s="1" t="s">
        <v>17</v>
      </c>
      <c r="E407" s="1" t="s">
        <v>18</v>
      </c>
      <c r="F407" s="1" t="n">
        <f aca="false">IFERROR('dens_visc_2pe+2m2boh'!C22,"")</f>
        <v>30</v>
      </c>
      <c r="G407" s="3" t="n">
        <f aca="false">IFERROR('dens_visc_2pe+2m2boh'!A33,"")</f>
        <v>1</v>
      </c>
      <c r="H407" s="1" t="n">
        <f aca="false">IFERROR('dens_visc_2pe+2m2boh'!C33,"")</f>
        <v>1.01244</v>
      </c>
      <c r="I407" s="1" t="n">
        <f aca="false">IFERROR('dens_visc_2pe+2m2boh'!H33,"")</f>
        <v>0</v>
      </c>
      <c r="J407" s="1" t="n">
        <f aca="false">IFERROR('dens_visc_2pe+2m2boh'!C46,"")</f>
        <v>8.212</v>
      </c>
      <c r="K407" s="1" t="str">
        <f aca="false">IF(AND(ISNUMBER(H407),ISNUMBER(I407),ISNUMBER(J407)),"✓",COUNTIF(H407:J407,"&gt;-999")&amp;"/3")</f>
        <v>✓</v>
      </c>
    </row>
    <row r="408" customFormat="false" ht="15" hidden="false" customHeight="true" outlineLevel="0" collapsed="false">
      <c r="A408" s="1" t="s">
        <v>34</v>
      </c>
      <c r="B408" s="1" t="s">
        <v>32</v>
      </c>
      <c r="C408" s="1" t="s">
        <v>33</v>
      </c>
      <c r="D408" s="1" t="s">
        <v>17</v>
      </c>
      <c r="E408" s="1" t="s">
        <v>18</v>
      </c>
      <c r="F408" s="1" t="n">
        <f aca="false">IFERROR('dens_visc_2pe+2m2boh'!C22,"")</f>
        <v>30</v>
      </c>
      <c r="G408" s="3" t="e">
        <f aca="false">IFERROR('dens_visc_2pe+2m2boh'!#ref!,"")</f>
        <v>#VALUE!</v>
      </c>
      <c r="H408" s="1" t="e">
        <f aca="false">IFERROR('dens_visc_2pe+2m2boh'!#ref!,"")</f>
        <v>#VALUE!</v>
      </c>
      <c r="I408" s="1" t="e">
        <f aca="false">IFERROR('dens_visc_2pe+2m2boh'!#ref!,"")</f>
        <v>#VALUE!</v>
      </c>
      <c r="J408" s="1" t="n">
        <f aca="false">IFERROR('dens_visc_2pe+2m2boh'!C47,"")</f>
        <v>8.973</v>
      </c>
      <c r="K408" s="1" t="str">
        <f aca="false">IF(AND(ISNUMBER(H408),ISNUMBER(I408),ISNUMBER(J408)),"✓",COUNTIF(H408:J408,"&gt;-999")&amp;"/3")</f>
        <v>1/3</v>
      </c>
    </row>
    <row r="409" customFormat="false" ht="15" hidden="false" customHeight="true" outlineLevel="0" collapsed="false">
      <c r="A409" s="1" t="s">
        <v>34</v>
      </c>
      <c r="B409" s="1" t="s">
        <v>32</v>
      </c>
      <c r="C409" s="1" t="s">
        <v>33</v>
      </c>
      <c r="D409" s="1" t="s">
        <v>17</v>
      </c>
      <c r="E409" s="1" t="s">
        <v>18</v>
      </c>
      <c r="F409" s="1" t="n">
        <f aca="false">IFERROR('dens_visc_2pe+2m2boh'!D22,"")</f>
        <v>40</v>
      </c>
      <c r="G409" s="3" t="n">
        <f aca="false">IFERROR('dens_visc_2pe+2m2boh'!A24,"")</f>
        <v>0.100559254025526</v>
      </c>
      <c r="H409" s="1" t="n">
        <f aca="false">IFERROR('dens_visc_2pe+2m2boh'!D23,"")</f>
        <v>0.79035</v>
      </c>
      <c r="I409" s="1" t="n">
        <f aca="false">IFERROR('dens_visc_2pe+2m2boh'!I24,"")</f>
        <v>-0.32297366446241</v>
      </c>
      <c r="J409" s="1" t="n">
        <f aca="false">IFERROR('dens_visc_2pe+2m2boh'!D37,"")</f>
        <v>1.918</v>
      </c>
      <c r="K409" s="1" t="str">
        <f aca="false">IF(AND(ISNUMBER(H409),ISNUMBER(I409),ISNUMBER(J409)),"✓",COUNTIF(H409:J409,"&gt;-999")&amp;"/3")</f>
        <v>✓</v>
      </c>
    </row>
    <row r="410" customFormat="false" ht="15" hidden="false" customHeight="true" outlineLevel="0" collapsed="false">
      <c r="A410" s="1" t="s">
        <v>34</v>
      </c>
      <c r="B410" s="1" t="s">
        <v>32</v>
      </c>
      <c r="C410" s="1" t="s">
        <v>33</v>
      </c>
      <c r="D410" s="1" t="s">
        <v>17</v>
      </c>
      <c r="E410" s="1" t="s">
        <v>18</v>
      </c>
      <c r="F410" s="1" t="n">
        <f aca="false">IFERROR('dens_visc_2pe+2m2boh'!D22,"")</f>
        <v>40</v>
      </c>
      <c r="G410" s="3" t="n">
        <f aca="false">IFERROR('dens_visc_2pe+2m2boh'!A25,"")</f>
        <v>0.200245765489875</v>
      </c>
      <c r="H410" s="1" t="n">
        <f aca="false">IFERROR('dens_visc_2pe+2m2boh'!D24,"")</f>
        <v>0.816</v>
      </c>
      <c r="I410" s="1" t="n">
        <f aca="false">IFERROR('dens_visc_2pe+2m2boh'!I25,"")</f>
        <v>-0.51951954640235</v>
      </c>
      <c r="J410" s="1" t="n">
        <f aca="false">IFERROR('dens_visc_2pe+2m2boh'!D38,"")</f>
        <v>2.264</v>
      </c>
      <c r="K410" s="1" t="str">
        <f aca="false">IF(AND(ISNUMBER(H410),ISNUMBER(I410),ISNUMBER(J410)),"✓",COUNTIF(H410:J410,"&gt;-999")&amp;"/3")</f>
        <v>✓</v>
      </c>
    </row>
    <row r="411" customFormat="false" ht="15" hidden="false" customHeight="true" outlineLevel="0" collapsed="false">
      <c r="A411" s="1" t="s">
        <v>34</v>
      </c>
      <c r="B411" s="1" t="s">
        <v>32</v>
      </c>
      <c r="C411" s="1" t="s">
        <v>33</v>
      </c>
      <c r="D411" s="1" t="s">
        <v>17</v>
      </c>
      <c r="E411" s="1" t="s">
        <v>18</v>
      </c>
      <c r="F411" s="1" t="n">
        <f aca="false">IFERROR('dens_visc_2pe+2m2boh'!D22,"")</f>
        <v>40</v>
      </c>
      <c r="G411" s="3" t="n">
        <f aca="false">IFERROR('dens_visc_2pe+2m2boh'!A26,"")</f>
        <v>0.299990044912394</v>
      </c>
      <c r="H411" s="1" t="n">
        <f aca="false">IFERROR('dens_visc_2pe+2m2boh'!D25,"")</f>
        <v>0.8402</v>
      </c>
      <c r="I411" s="1" t="n">
        <f aca="false">IFERROR('dens_visc_2pe+2m2boh'!I26,"")</f>
        <v>-0.601156138593154</v>
      </c>
      <c r="J411" s="1" t="n">
        <f aca="false">IFERROR('dens_visc_2pe+2m2boh'!D39,"")</f>
        <v>2.661</v>
      </c>
      <c r="K411" s="1" t="str">
        <f aca="false">IF(AND(ISNUMBER(H411),ISNUMBER(I411),ISNUMBER(J411)),"✓",COUNTIF(H411:J411,"&gt;-999")&amp;"/3")</f>
        <v>✓</v>
      </c>
    </row>
    <row r="412" customFormat="false" ht="15" hidden="false" customHeight="true" outlineLevel="0" collapsed="false">
      <c r="A412" s="1" t="s">
        <v>34</v>
      </c>
      <c r="B412" s="1" t="s">
        <v>32</v>
      </c>
      <c r="C412" s="1" t="s">
        <v>33</v>
      </c>
      <c r="D412" s="1" t="s">
        <v>17</v>
      </c>
      <c r="E412" s="1" t="s">
        <v>18</v>
      </c>
      <c r="F412" s="1" t="n">
        <f aca="false">IFERROR('dens_visc_2pe+2m2boh'!D22,"")</f>
        <v>40</v>
      </c>
      <c r="G412" s="3" t="n">
        <f aca="false">IFERROR('dens_visc_2pe+2m2boh'!A27,"")</f>
        <v>0.400510364581864</v>
      </c>
      <c r="H412" s="1" t="n">
        <f aca="false">IFERROR('dens_visc_2pe+2m2boh'!D27,"")</f>
        <v>0.8855</v>
      </c>
      <c r="I412" s="1" t="n">
        <f aca="false">IFERROR('dens_visc_2pe+2m2boh'!I27,"")</f>
        <v>-0.617683345581852</v>
      </c>
      <c r="J412" s="1" t="n">
        <f aca="false">IFERROR('dens_visc_2pe+2m2boh'!D40,"")</f>
        <v>3.087</v>
      </c>
      <c r="K412" s="1" t="str">
        <f aca="false">IF(AND(ISNUMBER(H412),ISNUMBER(I412),ISNUMBER(J412)),"✓",COUNTIF(H412:J412,"&gt;-999")&amp;"/3")</f>
        <v>✓</v>
      </c>
    </row>
    <row r="413" customFormat="false" ht="15" hidden="false" customHeight="true" outlineLevel="0" collapsed="false">
      <c r="A413" s="1" t="s">
        <v>34</v>
      </c>
      <c r="B413" s="1" t="s">
        <v>32</v>
      </c>
      <c r="C413" s="1" t="s">
        <v>33</v>
      </c>
      <c r="D413" s="1" t="s">
        <v>17</v>
      </c>
      <c r="E413" s="1" t="s">
        <v>18</v>
      </c>
      <c r="F413" s="1" t="n">
        <f aca="false">IFERROR('dens_visc_2pe+2m2boh'!D22,"")</f>
        <v>40</v>
      </c>
      <c r="G413" s="3" t="n">
        <f aca="false">IFERROR('dens_visc_2pe+2m2boh'!A28,"")</f>
        <v>0.499854117889342</v>
      </c>
      <c r="H413" s="1" t="n">
        <f aca="false">IFERROR('dens_visc_2pe+2m2boh'!D28,"")</f>
        <v>0.9068</v>
      </c>
      <c r="I413" s="1" t="n">
        <f aca="false">IFERROR('dens_visc_2pe+2m2boh'!I28,"")</f>
        <v>-0.587463245568102</v>
      </c>
      <c r="J413" s="1" t="n">
        <f aca="false">IFERROR('dens_visc_2pe+2m2boh'!D41,"")</f>
        <v>3.533</v>
      </c>
      <c r="K413" s="1" t="str">
        <f aca="false">IF(AND(ISNUMBER(H413),ISNUMBER(I413),ISNUMBER(J413)),"✓",COUNTIF(H413:J413,"&gt;-999")&amp;"/3")</f>
        <v>✓</v>
      </c>
    </row>
    <row r="414" customFormat="false" ht="15" hidden="false" customHeight="true" outlineLevel="0" collapsed="false">
      <c r="A414" s="1" t="s">
        <v>34</v>
      </c>
      <c r="B414" s="1" t="s">
        <v>32</v>
      </c>
      <c r="C414" s="1" t="s">
        <v>33</v>
      </c>
      <c r="D414" s="1" t="s">
        <v>17</v>
      </c>
      <c r="E414" s="1" t="s">
        <v>18</v>
      </c>
      <c r="F414" s="1" t="n">
        <f aca="false">IFERROR('dens_visc_2pe+2m2boh'!D22,"")</f>
        <v>40</v>
      </c>
      <c r="G414" s="3" t="n">
        <f aca="false">IFERROR('dens_visc_2pe+2m2boh'!A29,"")</f>
        <v>0.599726229578825</v>
      </c>
      <c r="H414" s="1" t="n">
        <f aca="false">IFERROR('dens_visc_2pe+2m2boh'!D29,"")</f>
        <v>0.9275</v>
      </c>
      <c r="I414" s="1" t="n">
        <f aca="false">IFERROR('dens_visc_2pe+2m2boh'!I29,"")</f>
        <v>-0.514628039914513</v>
      </c>
      <c r="J414" s="1" t="n">
        <f aca="false">IFERROR('dens_visc_2pe+2m2boh'!D42,"")</f>
        <v>4.106</v>
      </c>
      <c r="K414" s="1" t="str">
        <f aca="false">IF(AND(ISNUMBER(H414),ISNUMBER(I414),ISNUMBER(J414)),"✓",COUNTIF(H414:J414,"&gt;-999")&amp;"/3")</f>
        <v>✓</v>
      </c>
    </row>
    <row r="415" customFormat="false" ht="15" hidden="false" customHeight="true" outlineLevel="0" collapsed="false">
      <c r="A415" s="1" t="s">
        <v>34</v>
      </c>
      <c r="B415" s="1" t="s">
        <v>32</v>
      </c>
      <c r="C415" s="1" t="s">
        <v>33</v>
      </c>
      <c r="D415" s="1" t="s">
        <v>17</v>
      </c>
      <c r="E415" s="1" t="s">
        <v>18</v>
      </c>
      <c r="F415" s="1" t="n">
        <f aca="false">IFERROR('dens_visc_2pe+2m2boh'!D22,"")</f>
        <v>40</v>
      </c>
      <c r="G415" s="3" t="n">
        <f aca="false">IFERROR('dens_visc_2pe+2m2boh'!A30,"")</f>
        <v>0.698129790940866</v>
      </c>
      <c r="H415" s="1" t="n">
        <f aca="false">IFERROR('dens_visc_2pe+2m2boh'!D30,"")</f>
        <v>0.9472</v>
      </c>
      <c r="I415" s="1" t="n">
        <f aca="false">IFERROR('dens_visc_2pe+2m2boh'!I30,"")</f>
        <v>-0.402060042930202</v>
      </c>
      <c r="J415" s="1" t="n">
        <f aca="false">IFERROR('dens_visc_2pe+2m2boh'!D43,"")</f>
        <v>4.353</v>
      </c>
      <c r="K415" s="1" t="str">
        <f aca="false">IF(AND(ISNUMBER(H415),ISNUMBER(I415),ISNUMBER(J415)),"✓",COUNTIF(H415:J415,"&gt;-999")&amp;"/3")</f>
        <v>✓</v>
      </c>
    </row>
    <row r="416" customFormat="false" ht="15" hidden="false" customHeight="true" outlineLevel="0" collapsed="false">
      <c r="A416" s="1" t="s">
        <v>34</v>
      </c>
      <c r="B416" s="1" t="s">
        <v>32</v>
      </c>
      <c r="C416" s="1" t="s">
        <v>33</v>
      </c>
      <c r="D416" s="1" t="s">
        <v>17</v>
      </c>
      <c r="E416" s="1" t="s">
        <v>18</v>
      </c>
      <c r="F416" s="1" t="n">
        <f aca="false">IFERROR('dens_visc_2pe+2m2boh'!D22,"")</f>
        <v>40</v>
      </c>
      <c r="G416" s="3" t="n">
        <f aca="false">IFERROR('dens_visc_2pe+2m2boh'!A31,"")</f>
        <v>0.80061337514444</v>
      </c>
      <c r="H416" s="1" t="n">
        <f aca="false">IFERROR('dens_visc_2pe+2m2boh'!D31,"")</f>
        <v>0.9673</v>
      </c>
      <c r="I416" s="1" t="n">
        <f aca="false">IFERROR('dens_visc_2pe+2m2boh'!I31,"")</f>
        <v>-0.281026199110812</v>
      </c>
      <c r="J416" s="1" t="n">
        <f aca="false">IFERROR('dens_visc_2pe+2m2boh'!D44,"")</f>
        <v>4.772</v>
      </c>
      <c r="K416" s="1" t="str">
        <f aca="false">IF(AND(ISNUMBER(H416),ISNUMBER(I416),ISNUMBER(J416)),"✓",COUNTIF(H416:J416,"&gt;-999")&amp;"/3")</f>
        <v>✓</v>
      </c>
    </row>
    <row r="417" customFormat="false" ht="15" hidden="false" customHeight="true" outlineLevel="0" collapsed="false">
      <c r="A417" s="1" t="s">
        <v>34</v>
      </c>
      <c r="B417" s="1" t="s">
        <v>32</v>
      </c>
      <c r="C417" s="1" t="s">
        <v>33</v>
      </c>
      <c r="D417" s="1" t="s">
        <v>17</v>
      </c>
      <c r="E417" s="1" t="s">
        <v>18</v>
      </c>
      <c r="F417" s="1" t="n">
        <f aca="false">IFERROR('dens_visc_2pe+2m2boh'!D22,"")</f>
        <v>40</v>
      </c>
      <c r="G417" s="3" t="n">
        <f aca="false">IFERROR('dens_visc_2pe+2m2boh'!A32,"")</f>
        <v>0.899685133190903</v>
      </c>
      <c r="H417" s="1" t="n">
        <f aca="false">IFERROR('dens_visc_2pe+2m2boh'!D32,"")</f>
        <v>0.9861</v>
      </c>
      <c r="I417" s="1" t="n">
        <f aca="false">IFERROR('dens_visc_2pe+2m2boh'!I32,"")</f>
        <v>-0.131516550320512</v>
      </c>
      <c r="J417" s="1" t="n">
        <f aca="false">IFERROR('dens_visc_2pe+2m2boh'!D45,"")</f>
        <v>5.176</v>
      </c>
      <c r="K417" s="1" t="str">
        <f aca="false">IF(AND(ISNUMBER(H417),ISNUMBER(I417),ISNUMBER(J417)),"✓",COUNTIF(H417:J417,"&gt;-999")&amp;"/3")</f>
        <v>✓</v>
      </c>
    </row>
    <row r="418" customFormat="false" ht="15" hidden="false" customHeight="true" outlineLevel="0" collapsed="false">
      <c r="A418" s="1" t="s">
        <v>34</v>
      </c>
      <c r="B418" s="1" t="s">
        <v>32</v>
      </c>
      <c r="C418" s="1" t="s">
        <v>33</v>
      </c>
      <c r="D418" s="1" t="s">
        <v>17</v>
      </c>
      <c r="E418" s="1" t="s">
        <v>18</v>
      </c>
      <c r="F418" s="1" t="n">
        <f aca="false">IFERROR('dens_visc_2pe+2m2boh'!D22,"")</f>
        <v>40</v>
      </c>
      <c r="G418" s="3" t="n">
        <f aca="false">IFERROR('dens_visc_2pe+2m2boh'!A33,"")</f>
        <v>1</v>
      </c>
      <c r="H418" s="1" t="n">
        <f aca="false">IFERROR('dens_visc_2pe+2m2boh'!D33,"")</f>
        <v>1.00494</v>
      </c>
      <c r="I418" s="1" t="n">
        <f aca="false">IFERROR('dens_visc_2pe+2m2boh'!I33,"")</f>
        <v>0</v>
      </c>
      <c r="J418" s="1" t="n">
        <f aca="false">IFERROR('dens_visc_2pe+2m2boh'!D46,"")</f>
        <v>5.579</v>
      </c>
      <c r="K418" s="1" t="str">
        <f aca="false">IF(AND(ISNUMBER(H418),ISNUMBER(I418),ISNUMBER(J418)),"✓",COUNTIF(H418:J418,"&gt;-999")&amp;"/3")</f>
        <v>✓</v>
      </c>
    </row>
    <row r="419" customFormat="false" ht="15" hidden="false" customHeight="true" outlineLevel="0" collapsed="false">
      <c r="A419" s="1" t="s">
        <v>34</v>
      </c>
      <c r="B419" s="1" t="s">
        <v>32</v>
      </c>
      <c r="C419" s="1" t="s">
        <v>33</v>
      </c>
      <c r="D419" s="1" t="s">
        <v>17</v>
      </c>
      <c r="E419" s="1" t="s">
        <v>18</v>
      </c>
      <c r="F419" s="1" t="n">
        <f aca="false">IFERROR('dens_visc_2pe+2m2boh'!D22,"")</f>
        <v>40</v>
      </c>
      <c r="G419" s="3" t="e">
        <f aca="false">IFERROR('dens_visc_2pe+2m2boh'!#ref!,"")</f>
        <v>#VALUE!</v>
      </c>
      <c r="H419" s="1" t="e">
        <f aca="false">IFERROR('dens_visc_2pe+2m2boh'!#ref!,"")</f>
        <v>#VALUE!</v>
      </c>
      <c r="I419" s="1" t="e">
        <f aca="false">IFERROR('dens_visc_2pe+2m2boh'!#ref!,"")</f>
        <v>#VALUE!</v>
      </c>
      <c r="J419" s="1" t="n">
        <f aca="false">IFERROR('dens_visc_2pe+2m2boh'!D47,"")</f>
        <v>6.102</v>
      </c>
      <c r="K419" s="1" t="str">
        <f aca="false">IF(AND(ISNUMBER(H419),ISNUMBER(I419),ISNUMBER(J419)),"✓",COUNTIF(H419:J419,"&gt;-999")&amp;"/3")</f>
        <v>1/3</v>
      </c>
    </row>
    <row r="420" customFormat="false" ht="15" hidden="false" customHeight="true" outlineLevel="0" collapsed="false">
      <c r="A420" s="1" t="s">
        <v>34</v>
      </c>
      <c r="B420" s="1" t="s">
        <v>32</v>
      </c>
      <c r="C420" s="1" t="s">
        <v>33</v>
      </c>
      <c r="D420" s="1" t="s">
        <v>17</v>
      </c>
      <c r="E420" s="1" t="s">
        <v>18</v>
      </c>
      <c r="F420" s="1" t="n">
        <f aca="false">IFERROR('dens_visc_2pe+2m2boh'!E22,"")</f>
        <v>50</v>
      </c>
      <c r="G420" s="3" t="n">
        <f aca="false">IFERROR('dens_visc_2pe+2m2boh'!A24,"")</f>
        <v>0.100559254025526</v>
      </c>
      <c r="H420" s="1" t="n">
        <f aca="false">IFERROR('dens_visc_2pe+2m2boh'!E23,"")</f>
        <v>0.7806</v>
      </c>
      <c r="I420" s="1" t="n">
        <f aca="false">IFERROR('dens_visc_2pe+2m2boh'!J24,"")</f>
        <v>-0.318863674469782</v>
      </c>
      <c r="J420" s="1" t="n">
        <f aca="false">IFERROR('dens_visc_2pe+2m2boh'!E37,"")</f>
        <v>1.397</v>
      </c>
      <c r="K420" s="1" t="str">
        <f aca="false">IF(AND(ISNUMBER(H420),ISNUMBER(I420),ISNUMBER(J420)),"✓",COUNTIF(H420:J420,"&gt;-999")&amp;"/3")</f>
        <v>✓</v>
      </c>
    </row>
    <row r="421" customFormat="false" ht="15" hidden="false" customHeight="true" outlineLevel="0" collapsed="false">
      <c r="A421" s="1" t="s">
        <v>34</v>
      </c>
      <c r="B421" s="1" t="s">
        <v>32</v>
      </c>
      <c r="C421" s="1" t="s">
        <v>33</v>
      </c>
      <c r="D421" s="1" t="s">
        <v>17</v>
      </c>
      <c r="E421" s="1" t="s">
        <v>18</v>
      </c>
      <c r="F421" s="1" t="n">
        <f aca="false">IFERROR('dens_visc_2pe+2m2boh'!E22,"")</f>
        <v>50</v>
      </c>
      <c r="G421" s="3" t="n">
        <f aca="false">IFERROR('dens_visc_2pe+2m2boh'!A25,"")</f>
        <v>0.200245765489875</v>
      </c>
      <c r="H421" s="1" t="n">
        <f aca="false">IFERROR('dens_visc_2pe+2m2boh'!E24,"")</f>
        <v>0.8063</v>
      </c>
      <c r="I421" s="1" t="n">
        <f aca="false">IFERROR('dens_visc_2pe+2m2boh'!J25,"")</f>
        <v>-0.526122255704678</v>
      </c>
      <c r="J421" s="1" t="n">
        <f aca="false">IFERROR('dens_visc_2pe+2m2boh'!E38,"")</f>
        <v>1.607</v>
      </c>
      <c r="K421" s="1" t="str">
        <f aca="false">IF(AND(ISNUMBER(H421),ISNUMBER(I421),ISNUMBER(J421)),"✓",COUNTIF(H421:J421,"&gt;-999")&amp;"/3")</f>
        <v>✓</v>
      </c>
    </row>
    <row r="422" customFormat="false" ht="15" hidden="false" customHeight="true" outlineLevel="0" collapsed="false">
      <c r="A422" s="1" t="s">
        <v>34</v>
      </c>
      <c r="B422" s="1" t="s">
        <v>32</v>
      </c>
      <c r="C422" s="1" t="s">
        <v>33</v>
      </c>
      <c r="D422" s="1" t="s">
        <v>17</v>
      </c>
      <c r="E422" s="1" t="s">
        <v>18</v>
      </c>
      <c r="F422" s="1" t="n">
        <f aca="false">IFERROR('dens_visc_2pe+2m2boh'!E22,"")</f>
        <v>50</v>
      </c>
      <c r="G422" s="3" t="n">
        <f aca="false">IFERROR('dens_visc_2pe+2m2boh'!A26,"")</f>
        <v>0.299990044912394</v>
      </c>
      <c r="H422" s="1" t="n">
        <f aca="false">IFERROR('dens_visc_2pe+2m2boh'!E25,"")</f>
        <v>0.8307</v>
      </c>
      <c r="I422" s="1" t="n">
        <f aca="false">IFERROR('dens_visc_2pe+2m2boh'!J26,"")</f>
        <v>-0.639512921447448</v>
      </c>
      <c r="J422" s="1" t="n">
        <f aca="false">IFERROR('dens_visc_2pe+2m2boh'!E39,"")</f>
        <v>1.882</v>
      </c>
      <c r="K422" s="1" t="str">
        <f aca="false">IF(AND(ISNUMBER(H422),ISNUMBER(I422),ISNUMBER(J422)),"✓",COUNTIF(H422:J422,"&gt;-999")&amp;"/3")</f>
        <v>✓</v>
      </c>
    </row>
    <row r="423" customFormat="false" ht="15" hidden="false" customHeight="true" outlineLevel="0" collapsed="false">
      <c r="A423" s="1" t="s">
        <v>34</v>
      </c>
      <c r="B423" s="1" t="s">
        <v>32</v>
      </c>
      <c r="C423" s="1" t="s">
        <v>33</v>
      </c>
      <c r="D423" s="1" t="s">
        <v>17</v>
      </c>
      <c r="E423" s="1" t="s">
        <v>18</v>
      </c>
      <c r="F423" s="1" t="n">
        <f aca="false">IFERROR('dens_visc_2pe+2m2boh'!E22,"")</f>
        <v>50</v>
      </c>
      <c r="G423" s="3" t="n">
        <f aca="false">IFERROR('dens_visc_2pe+2m2boh'!A27,"")</f>
        <v>0.400510364581864</v>
      </c>
      <c r="H423" s="1" t="n">
        <f aca="false">IFERROR('dens_visc_2pe+2m2boh'!E27,"")</f>
        <v>0.8767</v>
      </c>
      <c r="I423" s="1" t="n">
        <f aca="false">IFERROR('dens_visc_2pe+2m2boh'!J27,"")</f>
        <v>-0.669205732445462</v>
      </c>
      <c r="J423" s="1" t="n">
        <f aca="false">IFERROR('dens_visc_2pe+2m2boh'!E40,"")</f>
        <v>2.179</v>
      </c>
      <c r="K423" s="1" t="str">
        <f aca="false">IF(AND(ISNUMBER(H423),ISNUMBER(I423),ISNUMBER(J423)),"✓",COUNTIF(H423:J423,"&gt;-999")&amp;"/3")</f>
        <v>✓</v>
      </c>
    </row>
    <row r="424" customFormat="false" ht="15" hidden="false" customHeight="true" outlineLevel="0" collapsed="false">
      <c r="A424" s="1" t="s">
        <v>34</v>
      </c>
      <c r="B424" s="1" t="s">
        <v>32</v>
      </c>
      <c r="C424" s="1" t="s">
        <v>33</v>
      </c>
      <c r="D424" s="1" t="s">
        <v>17</v>
      </c>
      <c r="E424" s="1" t="s">
        <v>18</v>
      </c>
      <c r="F424" s="1" t="n">
        <f aca="false">IFERROR('dens_visc_2pe+2m2boh'!E22,"")</f>
        <v>50</v>
      </c>
      <c r="G424" s="3" t="n">
        <f aca="false">IFERROR('dens_visc_2pe+2m2boh'!A28,"")</f>
        <v>0.499854117889342</v>
      </c>
      <c r="H424" s="1" t="n">
        <f aca="false">IFERROR('dens_visc_2pe+2m2boh'!E28,"")</f>
        <v>0.8983</v>
      </c>
      <c r="I424" s="1" t="n">
        <f aca="false">IFERROR('dens_visc_2pe+2m2boh'!J28,"")</f>
        <v>-0.648781902169603</v>
      </c>
      <c r="J424" s="1" t="n">
        <f aca="false">IFERROR('dens_visc_2pe+2m2boh'!E41,"")</f>
        <v>2.488</v>
      </c>
      <c r="K424" s="1" t="str">
        <f aca="false">IF(AND(ISNUMBER(H424),ISNUMBER(I424),ISNUMBER(J424)),"✓",COUNTIF(H424:J424,"&gt;-999")&amp;"/3")</f>
        <v>✓</v>
      </c>
    </row>
    <row r="425" customFormat="false" ht="15" hidden="false" customHeight="true" outlineLevel="0" collapsed="false">
      <c r="A425" s="1" t="s">
        <v>34</v>
      </c>
      <c r="B425" s="1" t="s">
        <v>32</v>
      </c>
      <c r="C425" s="1" t="s">
        <v>33</v>
      </c>
      <c r="D425" s="1" t="s">
        <v>17</v>
      </c>
      <c r="E425" s="1" t="s">
        <v>18</v>
      </c>
      <c r="F425" s="1" t="n">
        <f aca="false">IFERROR('dens_visc_2pe+2m2boh'!E22,"")</f>
        <v>50</v>
      </c>
      <c r="G425" s="3" t="n">
        <f aca="false">IFERROR('dens_visc_2pe+2m2boh'!A29,"")</f>
        <v>0.599726229578825</v>
      </c>
      <c r="H425" s="1" t="n">
        <f aca="false">IFERROR('dens_visc_2pe+2m2boh'!E29,"")</f>
        <v>0.9192</v>
      </c>
      <c r="I425" s="1" t="n">
        <f aca="false">IFERROR('dens_visc_2pe+2m2boh'!J29,"")</f>
        <v>-0.569561858027612</v>
      </c>
      <c r="J425" s="1" t="n">
        <f aca="false">IFERROR('dens_visc_2pe+2m2boh'!E42,"")</f>
        <v>2.879</v>
      </c>
      <c r="K425" s="1" t="str">
        <f aca="false">IF(AND(ISNUMBER(H425),ISNUMBER(I425),ISNUMBER(J425)),"✓",COUNTIF(H425:J425,"&gt;-999")&amp;"/3")</f>
        <v>✓</v>
      </c>
    </row>
    <row r="426" customFormat="false" ht="15" hidden="false" customHeight="true" outlineLevel="0" collapsed="false">
      <c r="A426" s="1" t="s">
        <v>34</v>
      </c>
      <c r="B426" s="1" t="s">
        <v>32</v>
      </c>
      <c r="C426" s="1" t="s">
        <v>33</v>
      </c>
      <c r="D426" s="1" t="s">
        <v>17</v>
      </c>
      <c r="E426" s="1" t="s">
        <v>18</v>
      </c>
      <c r="F426" s="1" t="n">
        <f aca="false">IFERROR('dens_visc_2pe+2m2boh'!E22,"")</f>
        <v>50</v>
      </c>
      <c r="G426" s="3" t="n">
        <f aca="false">IFERROR('dens_visc_2pe+2m2boh'!A30,"")</f>
        <v>0.698129790940866</v>
      </c>
      <c r="H426" s="1" t="n">
        <f aca="false">IFERROR('dens_visc_2pe+2m2boh'!E30,"")</f>
        <v>0.9391</v>
      </c>
      <c r="I426" s="1" t="n">
        <f aca="false">IFERROR('dens_visc_2pe+2m2boh'!J30,"")</f>
        <v>-0.448656077923673</v>
      </c>
      <c r="J426" s="1" t="n">
        <f aca="false">IFERROR('dens_visc_2pe+2m2boh'!E43,"")</f>
        <v>3.104</v>
      </c>
      <c r="K426" s="1" t="str">
        <f aca="false">IF(AND(ISNUMBER(H426),ISNUMBER(I426),ISNUMBER(J426)),"✓",COUNTIF(H426:J426,"&gt;-999")&amp;"/3")</f>
        <v>✓</v>
      </c>
    </row>
    <row r="427" customFormat="false" ht="15" hidden="false" customHeight="true" outlineLevel="0" collapsed="false">
      <c r="A427" s="1" t="s">
        <v>34</v>
      </c>
      <c r="B427" s="1" t="s">
        <v>32</v>
      </c>
      <c r="C427" s="1" t="s">
        <v>33</v>
      </c>
      <c r="D427" s="1" t="s">
        <v>17</v>
      </c>
      <c r="E427" s="1" t="s">
        <v>18</v>
      </c>
      <c r="F427" s="1" t="n">
        <f aca="false">IFERROR('dens_visc_2pe+2m2boh'!E22,"")</f>
        <v>50</v>
      </c>
      <c r="G427" s="3" t="n">
        <f aca="false">IFERROR('dens_visc_2pe+2m2boh'!A31,"")</f>
        <v>0.80061337514444</v>
      </c>
      <c r="H427" s="1" t="n">
        <f aca="false">IFERROR('dens_visc_2pe+2m2boh'!E31,"")</f>
        <v>0.9593</v>
      </c>
      <c r="I427" s="1" t="n">
        <f aca="false">IFERROR('dens_visc_2pe+2m2boh'!J31,"")</f>
        <v>-0.303724772435871</v>
      </c>
      <c r="J427" s="1" t="n">
        <f aca="false">IFERROR('dens_visc_2pe+2m2boh'!E44,"")</f>
        <v>3.385</v>
      </c>
      <c r="K427" s="1" t="str">
        <f aca="false">IF(AND(ISNUMBER(H427),ISNUMBER(I427),ISNUMBER(J427)),"✓",COUNTIF(H427:J427,"&gt;-999")&amp;"/3")</f>
        <v>✓</v>
      </c>
    </row>
    <row r="428" customFormat="false" ht="15" hidden="false" customHeight="true" outlineLevel="0" collapsed="false">
      <c r="A428" s="1" t="s">
        <v>34</v>
      </c>
      <c r="B428" s="1" t="s">
        <v>32</v>
      </c>
      <c r="C428" s="1" t="s">
        <v>33</v>
      </c>
      <c r="D428" s="1" t="s">
        <v>17</v>
      </c>
      <c r="E428" s="1" t="s">
        <v>18</v>
      </c>
      <c r="F428" s="1" t="n">
        <f aca="false">IFERROR('dens_visc_2pe+2m2boh'!E22,"")</f>
        <v>50</v>
      </c>
      <c r="G428" s="3" t="n">
        <f aca="false">IFERROR('dens_visc_2pe+2m2boh'!A32,"")</f>
        <v>0.899685133190903</v>
      </c>
      <c r="H428" s="1" t="n">
        <f aca="false">IFERROR('dens_visc_2pe+2m2boh'!E32,"")</f>
        <v>0.9784</v>
      </c>
      <c r="I428" s="1" t="n">
        <f aca="false">IFERROR('dens_visc_2pe+2m2boh'!J32,"")</f>
        <v>-0.154725779623064</v>
      </c>
      <c r="J428" s="1" t="n">
        <f aca="false">IFERROR('dens_visc_2pe+2m2boh'!E45,"")</f>
        <v>3.74</v>
      </c>
      <c r="K428" s="1" t="str">
        <f aca="false">IF(AND(ISNUMBER(H428),ISNUMBER(I428),ISNUMBER(J428)),"✓",COUNTIF(H428:J428,"&gt;-999")&amp;"/3")</f>
        <v>✓</v>
      </c>
    </row>
    <row r="429" customFormat="false" ht="15" hidden="false" customHeight="true" outlineLevel="0" collapsed="false">
      <c r="A429" s="1" t="s">
        <v>34</v>
      </c>
      <c r="B429" s="1" t="s">
        <v>32</v>
      </c>
      <c r="C429" s="1" t="s">
        <v>33</v>
      </c>
      <c r="D429" s="1" t="s">
        <v>17</v>
      </c>
      <c r="E429" s="1" t="s">
        <v>18</v>
      </c>
      <c r="F429" s="1" t="n">
        <f aca="false">IFERROR('dens_visc_2pe+2m2boh'!E22,"")</f>
        <v>50</v>
      </c>
      <c r="G429" s="3" t="n">
        <f aca="false">IFERROR('dens_visc_2pe+2m2boh'!A33,"")</f>
        <v>1</v>
      </c>
      <c r="H429" s="1" t="n">
        <f aca="false">IFERROR('dens_visc_2pe+2m2boh'!E33,"")</f>
        <v>0.99736</v>
      </c>
      <c r="I429" s="1" t="n">
        <f aca="false">IFERROR('dens_visc_2pe+2m2boh'!J33,"")</f>
        <v>0</v>
      </c>
      <c r="J429" s="1" t="n">
        <f aca="false">IFERROR('dens_visc_2pe+2m2boh'!E46,"")</f>
        <v>3.979</v>
      </c>
      <c r="K429" s="1" t="str">
        <f aca="false">IF(AND(ISNUMBER(H429),ISNUMBER(I429),ISNUMBER(J429)),"✓",COUNTIF(H429:J429,"&gt;-999")&amp;"/3")</f>
        <v>✓</v>
      </c>
    </row>
    <row r="430" customFormat="false" ht="15" hidden="false" customHeight="true" outlineLevel="0" collapsed="false">
      <c r="A430" s="1" t="s">
        <v>34</v>
      </c>
      <c r="B430" s="1" t="s">
        <v>32</v>
      </c>
      <c r="C430" s="1" t="s">
        <v>33</v>
      </c>
      <c r="D430" s="1" t="s">
        <v>17</v>
      </c>
      <c r="E430" s="1" t="s">
        <v>18</v>
      </c>
      <c r="F430" s="1" t="n">
        <f aca="false">IFERROR('dens_visc_2pe+2m2boh'!E22,"")</f>
        <v>50</v>
      </c>
      <c r="G430" s="3" t="e">
        <f aca="false">IFERROR('dens_visc_2pe+2m2boh'!#ref!,"")</f>
        <v>#VALUE!</v>
      </c>
      <c r="H430" s="1" t="e">
        <f aca="false">IFERROR('dens_visc_2pe+2m2boh'!#ref!,"")</f>
        <v>#VALUE!</v>
      </c>
      <c r="I430" s="1" t="e">
        <f aca="false">IFERROR('dens_visc_2pe+2m2boh'!#ref!,"")</f>
        <v>#VALUE!</v>
      </c>
      <c r="J430" s="1" t="n">
        <f aca="false">IFERROR('dens_visc_2pe+2m2boh'!E47,"")</f>
        <v>4.368</v>
      </c>
      <c r="K430" s="1" t="str">
        <f aca="false">IF(AND(ISNUMBER(H430),ISNUMBER(I430),ISNUMBER(J430)),"✓",COUNTIF(H430:J430,"&gt;-999")&amp;"/3")</f>
        <v>1/3</v>
      </c>
    </row>
    <row r="431" customFormat="false" ht="15" hidden="false" customHeight="true" outlineLevel="0" collapsed="false">
      <c r="A431" s="1" t="s">
        <v>34</v>
      </c>
      <c r="B431" s="1" t="s">
        <v>32</v>
      </c>
      <c r="C431" s="1" t="s">
        <v>33</v>
      </c>
      <c r="D431" s="1" t="s">
        <v>17</v>
      </c>
      <c r="E431" s="1" t="s">
        <v>18</v>
      </c>
      <c r="F431" s="1" t="n">
        <f aca="false">IFERROR('dens_visc_2pe+2m2boh'!F22,"")</f>
        <v>60</v>
      </c>
      <c r="G431" s="3" t="n">
        <f aca="false">IFERROR('dens_visc_2pe+2m2boh'!A24,"")</f>
        <v>0.100559254025526</v>
      </c>
      <c r="H431" s="1" t="n">
        <f aca="false">IFERROR('dens_visc_2pe+2m2boh'!F23,"")</f>
        <v>0.77049</v>
      </c>
      <c r="I431" s="1" t="n">
        <f aca="false">IFERROR('dens_visc_2pe+2m2boh'!K24,"")</f>
        <v>-0.335188903433263</v>
      </c>
      <c r="J431" s="1" t="n">
        <f aca="false">IFERROR('dens_visc_2pe+2m2boh'!F37,"")</f>
        <v>1.036</v>
      </c>
      <c r="K431" s="1" t="str">
        <f aca="false">IF(AND(ISNUMBER(H431),ISNUMBER(I431),ISNUMBER(J431)),"✓",COUNTIF(H431:J431,"&gt;-999")&amp;"/3")</f>
        <v>✓</v>
      </c>
    </row>
    <row r="432" customFormat="false" ht="15" hidden="false" customHeight="true" outlineLevel="0" collapsed="false">
      <c r="A432" s="1" t="s">
        <v>34</v>
      </c>
      <c r="B432" s="1" t="s">
        <v>32</v>
      </c>
      <c r="C432" s="1" t="s">
        <v>33</v>
      </c>
      <c r="D432" s="1" t="s">
        <v>17</v>
      </c>
      <c r="E432" s="1" t="s">
        <v>18</v>
      </c>
      <c r="F432" s="1" t="n">
        <f aca="false">IFERROR('dens_visc_2pe+2m2boh'!F22,"")</f>
        <v>60</v>
      </c>
      <c r="G432" s="3" t="n">
        <f aca="false">IFERROR('dens_visc_2pe+2m2boh'!A25,"")</f>
        <v>0.200245765489875</v>
      </c>
      <c r="H432" s="1" t="n">
        <f aca="false">IFERROR('dens_visc_2pe+2m2boh'!F24,"")</f>
        <v>0.7964</v>
      </c>
      <c r="I432" s="1" t="n">
        <f aca="false">IFERROR('dens_visc_2pe+2m2boh'!K25,"")</f>
        <v>-0.564483173198795</v>
      </c>
      <c r="J432" s="1" t="n">
        <f aca="false">IFERROR('dens_visc_2pe+2m2boh'!F38,"")</f>
        <v>1.195</v>
      </c>
      <c r="K432" s="1" t="str">
        <f aca="false">IF(AND(ISNUMBER(H432),ISNUMBER(I432),ISNUMBER(J432)),"✓",COUNTIF(H432:J432,"&gt;-999")&amp;"/3")</f>
        <v>✓</v>
      </c>
    </row>
    <row r="433" customFormat="false" ht="15" hidden="false" customHeight="true" outlineLevel="0" collapsed="false">
      <c r="A433" s="1" t="s">
        <v>34</v>
      </c>
      <c r="B433" s="1" t="s">
        <v>32</v>
      </c>
      <c r="C433" s="1" t="s">
        <v>33</v>
      </c>
      <c r="D433" s="1" t="s">
        <v>17</v>
      </c>
      <c r="E433" s="1" t="s">
        <v>18</v>
      </c>
      <c r="F433" s="1" t="n">
        <f aca="false">IFERROR('dens_visc_2pe+2m2boh'!F22,"")</f>
        <v>60</v>
      </c>
      <c r="G433" s="3" t="n">
        <f aca="false">IFERROR('dens_visc_2pe+2m2boh'!A26,"")</f>
        <v>0.299990044912394</v>
      </c>
      <c r="H433" s="1" t="n">
        <f aca="false">IFERROR('dens_visc_2pe+2m2boh'!F25,"")</f>
        <v>0.8211</v>
      </c>
      <c r="I433" s="1" t="n">
        <f aca="false">IFERROR('dens_visc_2pe+2m2boh'!K26,"")</f>
        <v>-0.693475733042561</v>
      </c>
      <c r="J433" s="1" t="n">
        <f aca="false">IFERROR('dens_visc_2pe+2m2boh'!F39,"")</f>
        <v>1.393</v>
      </c>
      <c r="K433" s="1" t="str">
        <f aca="false">IF(AND(ISNUMBER(H433),ISNUMBER(I433),ISNUMBER(J433)),"✓",COUNTIF(H433:J433,"&gt;-999")&amp;"/3")</f>
        <v>✓</v>
      </c>
    </row>
    <row r="434" customFormat="false" ht="15" hidden="false" customHeight="true" outlineLevel="0" collapsed="false">
      <c r="A434" s="1" t="s">
        <v>34</v>
      </c>
      <c r="B434" s="1" t="s">
        <v>32</v>
      </c>
      <c r="C434" s="1" t="s">
        <v>33</v>
      </c>
      <c r="D434" s="1" t="s">
        <v>17</v>
      </c>
      <c r="E434" s="1" t="s">
        <v>18</v>
      </c>
      <c r="F434" s="1" t="n">
        <f aca="false">IFERROR('dens_visc_2pe+2m2boh'!F22,"")</f>
        <v>60</v>
      </c>
      <c r="G434" s="3" t="n">
        <f aca="false">IFERROR('dens_visc_2pe+2m2boh'!A27,"")</f>
        <v>0.400510364581864</v>
      </c>
      <c r="H434" s="1" t="n">
        <f aca="false">IFERROR('dens_visc_2pe+2m2boh'!F27,"")</f>
        <v>0.8677</v>
      </c>
      <c r="I434" s="1" t="n">
        <f aca="false">IFERROR('dens_visc_2pe+2m2boh'!K27,"")</f>
        <v>-0.733125947031866</v>
      </c>
      <c r="J434" s="1" t="n">
        <f aca="false">IFERROR('dens_visc_2pe+2m2boh'!F40,"")</f>
        <v>1.609</v>
      </c>
      <c r="K434" s="1" t="str">
        <f aca="false">IF(AND(ISNUMBER(H434),ISNUMBER(I434),ISNUMBER(J434)),"✓",COUNTIF(H434:J434,"&gt;-999")&amp;"/3")</f>
        <v>✓</v>
      </c>
    </row>
    <row r="435" customFormat="false" ht="15" hidden="false" customHeight="true" outlineLevel="0" collapsed="false">
      <c r="A435" s="1" t="s">
        <v>34</v>
      </c>
      <c r="B435" s="1" t="s">
        <v>32</v>
      </c>
      <c r="C435" s="1" t="s">
        <v>33</v>
      </c>
      <c r="D435" s="1" t="s">
        <v>17</v>
      </c>
      <c r="E435" s="1" t="s">
        <v>18</v>
      </c>
      <c r="F435" s="1" t="n">
        <f aca="false">IFERROR('dens_visc_2pe+2m2boh'!F22,"")</f>
        <v>60</v>
      </c>
      <c r="G435" s="3" t="n">
        <f aca="false">IFERROR('dens_visc_2pe+2m2boh'!A28,"")</f>
        <v>0.499854117889342</v>
      </c>
      <c r="H435" s="1" t="n">
        <f aca="false">IFERROR('dens_visc_2pe+2m2boh'!F28,"")</f>
        <v>0.8895</v>
      </c>
      <c r="I435" s="1" t="n">
        <f aca="false">IFERROR('dens_visc_2pe+2m2boh'!K28,"")</f>
        <v>-0.705690056227084</v>
      </c>
      <c r="J435" s="1" t="n">
        <f aca="false">IFERROR('dens_visc_2pe+2m2boh'!F41,"")</f>
        <v>1.862</v>
      </c>
      <c r="K435" s="1" t="str">
        <f aca="false">IF(AND(ISNUMBER(H435),ISNUMBER(I435),ISNUMBER(J435)),"✓",COUNTIF(H435:J435,"&gt;-999")&amp;"/3")</f>
        <v>✓</v>
      </c>
    </row>
    <row r="436" customFormat="false" ht="15" hidden="false" customHeight="true" outlineLevel="0" collapsed="false">
      <c r="A436" s="1" t="s">
        <v>34</v>
      </c>
      <c r="B436" s="1" t="s">
        <v>32</v>
      </c>
      <c r="C436" s="1" t="s">
        <v>33</v>
      </c>
      <c r="D436" s="1" t="s">
        <v>17</v>
      </c>
      <c r="E436" s="1" t="s">
        <v>18</v>
      </c>
      <c r="F436" s="1" t="n">
        <f aca="false">IFERROR('dens_visc_2pe+2m2boh'!F22,"")</f>
        <v>60</v>
      </c>
      <c r="G436" s="3" t="n">
        <f aca="false">IFERROR('dens_visc_2pe+2m2boh'!A29,"")</f>
        <v>0.599726229578825</v>
      </c>
      <c r="H436" s="1" t="n">
        <f aca="false">IFERROR('dens_visc_2pe+2m2boh'!F29,"")</f>
        <v>0.9108</v>
      </c>
      <c r="I436" s="1" t="n">
        <f aca="false">IFERROR('dens_visc_2pe+2m2boh'!K29,"")</f>
        <v>-0.642116482639722</v>
      </c>
      <c r="J436" s="1" t="n">
        <f aca="false">IFERROR('dens_visc_2pe+2m2boh'!F42,"")</f>
        <v>2.061</v>
      </c>
      <c r="K436" s="1" t="str">
        <f aca="false">IF(AND(ISNUMBER(H436),ISNUMBER(I436),ISNUMBER(J436)),"✓",COUNTIF(H436:J436,"&gt;-999")&amp;"/3")</f>
        <v>✓</v>
      </c>
    </row>
    <row r="437" customFormat="false" ht="15" hidden="false" customHeight="true" outlineLevel="0" collapsed="false">
      <c r="A437" s="1" t="s">
        <v>34</v>
      </c>
      <c r="B437" s="1" t="s">
        <v>32</v>
      </c>
      <c r="C437" s="1" t="s">
        <v>33</v>
      </c>
      <c r="D437" s="1" t="s">
        <v>17</v>
      </c>
      <c r="E437" s="1" t="s">
        <v>18</v>
      </c>
      <c r="F437" s="1" t="n">
        <f aca="false">IFERROR('dens_visc_2pe+2m2boh'!F22,"")</f>
        <v>60</v>
      </c>
      <c r="G437" s="3" t="n">
        <f aca="false">IFERROR('dens_visc_2pe+2m2boh'!A30,"")</f>
        <v>0.698129790940866</v>
      </c>
      <c r="H437" s="1" t="n">
        <f aca="false">IFERROR('dens_visc_2pe+2m2boh'!F30,"")</f>
        <v>0.9309</v>
      </c>
      <c r="I437" s="1" t="e">
        <f aca="false">IFERROR('dens_visc_2pe+2m2boh'!#ref!,"")</f>
        <v>#VALUE!</v>
      </c>
      <c r="J437" s="1" t="n">
        <f aca="false">IFERROR('dens_visc_2pe+2m2boh'!F43,"")</f>
        <v>2.297</v>
      </c>
      <c r="K437" s="1" t="str">
        <f aca="false">IF(AND(ISNUMBER(H437),ISNUMBER(I437),ISNUMBER(J437)),"✓",COUNTIF(H437:J437,"&gt;-999")&amp;"/3")</f>
        <v>2/3</v>
      </c>
    </row>
    <row r="438" customFormat="false" ht="15" hidden="false" customHeight="true" outlineLevel="0" collapsed="false">
      <c r="A438" s="1" t="s">
        <v>34</v>
      </c>
      <c r="B438" s="1" t="s">
        <v>32</v>
      </c>
      <c r="C438" s="1" t="s">
        <v>33</v>
      </c>
      <c r="D438" s="1" t="s">
        <v>17</v>
      </c>
      <c r="E438" s="1" t="s">
        <v>18</v>
      </c>
      <c r="F438" s="1" t="n">
        <f aca="false">IFERROR('dens_visc_2pe+2m2boh'!F22,"")</f>
        <v>60</v>
      </c>
      <c r="G438" s="3" t="n">
        <f aca="false">IFERROR('dens_visc_2pe+2m2boh'!A31,"")</f>
        <v>0.80061337514444</v>
      </c>
      <c r="H438" s="1" t="n">
        <f aca="false">IFERROR('dens_visc_2pe+2m2boh'!F31,"")</f>
        <v>0.9513</v>
      </c>
      <c r="I438" s="1" t="e">
        <f aca="false">IFERROR('dens_visc_2pe+2m2boh'!#ref!,"")</f>
        <v>#VALUE!</v>
      </c>
      <c r="J438" s="1" t="n">
        <f aca="false">IFERROR('dens_visc_2pe+2m2boh'!F44,"")</f>
        <v>2.519</v>
      </c>
      <c r="K438" s="1" t="str">
        <f aca="false">IF(AND(ISNUMBER(H438),ISNUMBER(I438),ISNUMBER(J438)),"✓",COUNTIF(H438:J438,"&gt;-999")&amp;"/3")</f>
        <v>2/3</v>
      </c>
    </row>
    <row r="439" customFormat="false" ht="15" hidden="false" customHeight="true" outlineLevel="0" collapsed="false">
      <c r="A439" s="1" t="s">
        <v>34</v>
      </c>
      <c r="B439" s="1" t="s">
        <v>32</v>
      </c>
      <c r="C439" s="1" t="s">
        <v>33</v>
      </c>
      <c r="D439" s="1" t="s">
        <v>17</v>
      </c>
      <c r="E439" s="1" t="s">
        <v>18</v>
      </c>
      <c r="F439" s="1" t="n">
        <f aca="false">IFERROR('dens_visc_2pe+2m2boh'!F22,"")</f>
        <v>60</v>
      </c>
      <c r="G439" s="3" t="n">
        <f aca="false">IFERROR('dens_visc_2pe+2m2boh'!A32,"")</f>
        <v>0.899685133190903</v>
      </c>
      <c r="H439" s="1" t="n">
        <f aca="false">IFERROR('dens_visc_2pe+2m2boh'!F32,"")</f>
        <v>0.9705</v>
      </c>
      <c r="I439" s="1" t="e">
        <f aca="false">IFERROR('dens_visc_2pe+2m2boh'!#ref!,"")</f>
        <v>#VALUE!</v>
      </c>
      <c r="J439" s="1" t="n">
        <f aca="false">IFERROR('dens_visc_2pe+2m2boh'!F45,"")</f>
        <v>2.769</v>
      </c>
      <c r="K439" s="1" t="str">
        <f aca="false">IF(AND(ISNUMBER(H439),ISNUMBER(I439),ISNUMBER(J439)),"✓",COUNTIF(H439:J439,"&gt;-999")&amp;"/3")</f>
        <v>2/3</v>
      </c>
    </row>
    <row r="440" customFormat="false" ht="15" hidden="false" customHeight="true" outlineLevel="0" collapsed="false">
      <c r="A440" s="1" t="s">
        <v>34</v>
      </c>
      <c r="B440" s="1" t="s">
        <v>32</v>
      </c>
      <c r="C440" s="1" t="s">
        <v>33</v>
      </c>
      <c r="D440" s="1" t="s">
        <v>17</v>
      </c>
      <c r="E440" s="1" t="s">
        <v>18</v>
      </c>
      <c r="F440" s="1" t="n">
        <f aca="false">IFERROR('dens_visc_2pe+2m2boh'!F22,"")</f>
        <v>60</v>
      </c>
      <c r="G440" s="3" t="n">
        <f aca="false">IFERROR('dens_visc_2pe+2m2boh'!A33,"")</f>
        <v>1</v>
      </c>
      <c r="H440" s="1" t="n">
        <f aca="false">IFERROR('dens_visc_2pe+2m2boh'!F33,"")</f>
        <v>0.9897</v>
      </c>
      <c r="I440" s="1" t="e">
        <f aca="false">IFERROR('dens_visc_2pe+2m2boh'!#ref!,"")</f>
        <v>#VALUE!</v>
      </c>
      <c r="J440" s="1" t="n">
        <f aca="false">IFERROR('dens_visc_2pe+2m2boh'!F46,"")</f>
        <v>2.976</v>
      </c>
      <c r="K440" s="1" t="str">
        <f aca="false">IF(AND(ISNUMBER(H440),ISNUMBER(I440),ISNUMBER(J440)),"✓",COUNTIF(H440:J440,"&gt;-999")&amp;"/3")</f>
        <v>2/3</v>
      </c>
    </row>
    <row r="441" customFormat="false" ht="15" hidden="false" customHeight="true" outlineLevel="0" collapsed="false">
      <c r="A441" s="1" t="s">
        <v>34</v>
      </c>
      <c r="B441" s="1" t="s">
        <v>32</v>
      </c>
      <c r="C441" s="1" t="s">
        <v>33</v>
      </c>
      <c r="D441" s="1" t="s">
        <v>17</v>
      </c>
      <c r="E441" s="1" t="s">
        <v>18</v>
      </c>
      <c r="F441" s="1" t="n">
        <f aca="false">IFERROR('dens_visc_2pe+2m2boh'!F22,"")</f>
        <v>60</v>
      </c>
      <c r="G441" s="3" t="e">
        <f aca="false">IFERROR('dens_visc_2pe+2m2boh'!#ref!,"")</f>
        <v>#VALUE!</v>
      </c>
      <c r="H441" s="1" t="e">
        <f aca="false">IFERROR('dens_visc_2pe+2m2boh'!#ref!,"")</f>
        <v>#VALUE!</v>
      </c>
      <c r="I441" s="1" t="e">
        <f aca="false">IFERROR('dens_visc_2pe+2m2boh'!#ref!,"")</f>
        <v>#VALUE!</v>
      </c>
      <c r="J441" s="1" t="n">
        <f aca="false">IFERROR('dens_visc_2pe+2m2boh'!F47,"")</f>
        <v>3.252</v>
      </c>
      <c r="K441" s="1" t="str">
        <f aca="false">IF(AND(ISNUMBER(H441),ISNUMBER(I441),ISNUMBER(J441)),"✓",COUNTIF(H441:J441,"&gt;-999")&amp;"/3")</f>
        <v>1/3</v>
      </c>
    </row>
    <row r="442" customFormat="false" ht="15" hidden="false" customHeight="true" outlineLevel="0" collapsed="false">
      <c r="A442" s="1" t="s">
        <v>35</v>
      </c>
      <c r="B442" s="1" t="s">
        <v>32</v>
      </c>
      <c r="C442" s="1" t="s">
        <v>33</v>
      </c>
      <c r="D442" s="1" t="s">
        <v>20</v>
      </c>
      <c r="E442" s="1" t="s">
        <v>21</v>
      </c>
      <c r="F442" s="1" t="n">
        <f aca="false">IFERROR('dens_visc_2pe+1hexoh'!B24,"")</f>
        <v>20</v>
      </c>
      <c r="G442" s="1" t="n">
        <f aca="false">IFERROR('dens_visc_2pe+1hexoh'!A25,"")</f>
        <v>0</v>
      </c>
      <c r="H442" s="1" t="n">
        <f aca="false">IFERROR('dens_visc_2pe+1hexoh'!B25,"")</f>
        <v>0.81883</v>
      </c>
      <c r="I442" s="1" t="n">
        <f aca="false">IFERROR('dens_visc_2pe+1hexoh'!H25,"")</f>
        <v>0</v>
      </c>
      <c r="J442" s="1" t="n">
        <f aca="false">IFERROR('dens_visc_2pe+1hexoh'!B41,"")</f>
        <v>5.278</v>
      </c>
      <c r="K442" s="1" t="str">
        <f aca="false">IF(AND(ISNUMBER(H442),ISNUMBER(I442),ISNUMBER(J442)),"✓",COUNTIF(H442:J442,"&gt;-999")&amp;"/3")</f>
        <v>✓</v>
      </c>
    </row>
    <row r="443" customFormat="false" ht="15" hidden="false" customHeight="true" outlineLevel="0" collapsed="false">
      <c r="A443" s="1" t="s">
        <v>35</v>
      </c>
      <c r="B443" s="1" t="s">
        <v>32</v>
      </c>
      <c r="C443" s="1" t="s">
        <v>33</v>
      </c>
      <c r="D443" s="1" t="s">
        <v>20</v>
      </c>
      <c r="E443" s="1" t="s">
        <v>21</v>
      </c>
      <c r="F443" s="1" t="n">
        <f aca="false">IFERROR('dens_visc_2pe+1hexoh'!B24,"")</f>
        <v>20</v>
      </c>
      <c r="G443" s="1" t="n">
        <f aca="false">IFERROR('dens_visc_2pe+1hexoh'!A26,"")</f>
        <v>0.100311290464003</v>
      </c>
      <c r="H443" s="4" t="n">
        <f aca="false">IFERROR('dens_visc_2pe+1hexoh'!B26,"")</f>
        <v>0.83846</v>
      </c>
      <c r="I443" s="1" t="n">
        <f aca="false">IFERROR('dens_visc_2pe+1hexoh'!H26,"")</f>
        <v>-0.0256160343751048</v>
      </c>
      <c r="J443" s="5" t="n">
        <f aca="false">IFERROR('dens_visc_2pe+1hexoh'!B42,"")</f>
        <v>5.58</v>
      </c>
      <c r="K443" s="1" t="str">
        <f aca="false">IF(AND(ISNUMBER(H443),ISNUMBER(I443),ISNUMBER(J443)),"✓",COUNTIF(H443:J443,"&gt;-999")&amp;"/3")</f>
        <v>✓</v>
      </c>
    </row>
    <row r="444" customFormat="false" ht="15" hidden="false" customHeight="true" outlineLevel="0" collapsed="false">
      <c r="A444" s="1" t="s">
        <v>35</v>
      </c>
      <c r="B444" s="1" t="s">
        <v>32</v>
      </c>
      <c r="C444" s="1" t="s">
        <v>33</v>
      </c>
      <c r="D444" s="1" t="s">
        <v>20</v>
      </c>
      <c r="E444" s="1" t="s">
        <v>21</v>
      </c>
      <c r="F444" s="1" t="n">
        <f aca="false">IFERROR('dens_visc_2pe+1hexoh'!B24,"")</f>
        <v>20</v>
      </c>
      <c r="G444" s="1" t="n">
        <f aca="false">IFERROR('dens_visc_2pe+1hexoh'!A27,"")</f>
        <v>0.200458941288258</v>
      </c>
      <c r="H444" s="1" t="n">
        <f aca="false">IFERROR('dens_visc_2pe+1hexoh'!B27,"")</f>
        <v>0.85828</v>
      </c>
      <c r="I444" s="1" t="n">
        <f aca="false">IFERROR('dens_visc_2pe+1hexoh'!H27,"")</f>
        <v>-0.0732703390074221</v>
      </c>
      <c r="J444" s="1" t="n">
        <f aca="false">IFERROR('dens_visc_2pe+1hexoh'!B43,"")</f>
        <v>5.966</v>
      </c>
      <c r="K444" s="1" t="str">
        <f aca="false">IF(AND(ISNUMBER(H444),ISNUMBER(I444),ISNUMBER(J444)),"✓",COUNTIF(H444:J444,"&gt;-999")&amp;"/3")</f>
        <v>✓</v>
      </c>
    </row>
    <row r="445" customFormat="false" ht="15" hidden="false" customHeight="true" outlineLevel="0" collapsed="false">
      <c r="A445" s="1" t="s">
        <v>35</v>
      </c>
      <c r="B445" s="1" t="s">
        <v>32</v>
      </c>
      <c r="C445" s="1" t="s">
        <v>33</v>
      </c>
      <c r="D445" s="1" t="s">
        <v>20</v>
      </c>
      <c r="E445" s="1" t="s">
        <v>21</v>
      </c>
      <c r="F445" s="1" t="n">
        <f aca="false">IFERROR('dens_visc_2pe+1hexoh'!B24,"")</f>
        <v>20</v>
      </c>
      <c r="G445" s="1" t="n">
        <f aca="false">IFERROR('dens_visc_2pe+1hexoh'!A29,"")</f>
        <v>0.30035936797046</v>
      </c>
      <c r="H445" s="4" t="n">
        <f aca="false">IFERROR('dens_visc_2pe+1hexoh'!B29,"")</f>
        <v>0.8777</v>
      </c>
      <c r="I445" s="1" t="n">
        <f aca="false">IFERROR('dens_visc_2pe+1hexoh'!H29,"")</f>
        <v>-0.0548846486428687</v>
      </c>
      <c r="J445" s="1" t="n">
        <f aca="false">IFERROR('dens_visc_2pe+1hexoh'!B45,"")</f>
        <v>6.422</v>
      </c>
      <c r="K445" s="1" t="str">
        <f aca="false">IF(AND(ISNUMBER(H445),ISNUMBER(I445),ISNUMBER(J445)),"✓",COUNTIF(H445:J445,"&gt;-999")&amp;"/3")</f>
        <v>✓</v>
      </c>
    </row>
    <row r="446" customFormat="false" ht="15" hidden="false" customHeight="true" outlineLevel="0" collapsed="false">
      <c r="A446" s="1" t="s">
        <v>35</v>
      </c>
      <c r="B446" s="1" t="s">
        <v>32</v>
      </c>
      <c r="C446" s="1" t="s">
        <v>33</v>
      </c>
      <c r="D446" s="1" t="s">
        <v>20</v>
      </c>
      <c r="E446" s="1" t="s">
        <v>21</v>
      </c>
      <c r="F446" s="1" t="n">
        <f aca="false">IFERROR('dens_visc_2pe+1hexoh'!B24,"")</f>
        <v>20</v>
      </c>
      <c r="G446" s="1" t="n">
        <f aca="false">IFERROR('dens_visc_2pe+1hexoh'!A31,"")</f>
        <v>0.400448427689503</v>
      </c>
      <c r="H446" s="1" t="e">
        <f aca="false">IFERROR('dens_visc_2pe+1hexoh'!#ref!,"")</f>
        <v>#VALUE!</v>
      </c>
      <c r="I446" s="1" t="n">
        <f aca="false">IFERROR('dens_visc_2pe+1hexoh'!H31,"")</f>
        <v>-0.0648800615072531</v>
      </c>
      <c r="J446" s="1" t="n">
        <f aca="false">IFERROR('dens_visc_2pe+1hexoh'!B47,"")</f>
        <v>6.992</v>
      </c>
      <c r="K446" s="1" t="str">
        <f aca="false">IF(AND(ISNUMBER(H446),ISNUMBER(I446),ISNUMBER(J446)),"✓",COUNTIF(H446:J446,"&gt;-999")&amp;"/3")</f>
        <v>2/3</v>
      </c>
    </row>
    <row r="447" customFormat="false" ht="15" hidden="false" customHeight="true" outlineLevel="0" collapsed="false">
      <c r="A447" s="1" t="s">
        <v>35</v>
      </c>
      <c r="B447" s="1" t="s">
        <v>32</v>
      </c>
      <c r="C447" s="1" t="s">
        <v>33</v>
      </c>
      <c r="D447" s="1" t="s">
        <v>20</v>
      </c>
      <c r="E447" s="1" t="s">
        <v>21</v>
      </c>
      <c r="F447" s="1" t="n">
        <f aca="false">IFERROR('dens_visc_2pe+1hexoh'!B24,"")</f>
        <v>20</v>
      </c>
      <c r="G447" s="1" t="n">
        <f aca="false">IFERROR('dens_visc_2pe+1hexoh'!A32,"")</f>
        <v>0.500684278812158</v>
      </c>
      <c r="H447" s="1" t="n">
        <f aca="false">IFERROR('dens_visc_2pe+1hexoh'!B32,"")</f>
        <v>0.91775</v>
      </c>
      <c r="I447" s="1" t="n">
        <f aca="false">IFERROR('dens_visc_2pe+1hexoh'!H32,"")</f>
        <v>-0.0530728465171961</v>
      </c>
      <c r="J447" s="1" t="n">
        <f aca="false">IFERROR('dens_visc_2pe+1hexoh'!B48,"")</f>
        <v>7.621</v>
      </c>
      <c r="K447" s="1" t="str">
        <f aca="false">IF(AND(ISNUMBER(H447),ISNUMBER(I447),ISNUMBER(J447)),"✓",COUNTIF(H447:J447,"&gt;-999")&amp;"/3")</f>
        <v>✓</v>
      </c>
    </row>
    <row r="448" customFormat="false" ht="15" hidden="false" customHeight="true" outlineLevel="0" collapsed="false">
      <c r="A448" s="1" t="s">
        <v>35</v>
      </c>
      <c r="B448" s="1" t="s">
        <v>32</v>
      </c>
      <c r="C448" s="1" t="s">
        <v>33</v>
      </c>
      <c r="D448" s="1" t="s">
        <v>20</v>
      </c>
      <c r="E448" s="1" t="s">
        <v>21</v>
      </c>
      <c r="F448" s="1" t="n">
        <f aca="false">IFERROR('dens_visc_2pe+1hexoh'!B24,"")</f>
        <v>20</v>
      </c>
      <c r="G448" s="1" t="n">
        <f aca="false">IFERROR('dens_visc_2pe+1hexoh'!A33,"")</f>
        <v>0.599622439617818</v>
      </c>
      <c r="H448" s="1" t="n">
        <f aca="false">IFERROR('dens_visc_2pe+1hexoh'!B33,"")</f>
        <v>0.93772</v>
      </c>
      <c r="I448" s="1" t="n">
        <f aca="false">IFERROR('dens_visc_2pe+1hexoh'!H33,"")</f>
        <v>-0.0527104476106928</v>
      </c>
      <c r="J448" s="1" t="n">
        <f aca="false">IFERROR('dens_visc_2pe+1hexoh'!B49,"")</f>
        <v>8.415</v>
      </c>
      <c r="K448" s="1" t="str">
        <f aca="false">IF(AND(ISNUMBER(H448),ISNUMBER(I448),ISNUMBER(J448)),"✓",COUNTIF(H448:J448,"&gt;-999")&amp;"/3")</f>
        <v>✓</v>
      </c>
    </row>
    <row r="449" customFormat="false" ht="15" hidden="false" customHeight="true" outlineLevel="0" collapsed="false">
      <c r="A449" s="1" t="s">
        <v>35</v>
      </c>
      <c r="B449" s="1" t="s">
        <v>32</v>
      </c>
      <c r="C449" s="1" t="s">
        <v>33</v>
      </c>
      <c r="D449" s="1" t="s">
        <v>20</v>
      </c>
      <c r="E449" s="1" t="s">
        <v>21</v>
      </c>
      <c r="F449" s="1" t="n">
        <f aca="false">IFERROR('dens_visc_2pe+1hexoh'!B24,"")</f>
        <v>20</v>
      </c>
      <c r="G449" s="1" t="n">
        <f aca="false">IFERROR('dens_visc_2pe+1hexoh'!A34,"")</f>
        <v>0.699901869942981</v>
      </c>
      <c r="H449" s="1" t="n">
        <f aca="false">IFERROR('dens_visc_2pe+1hexoh'!B34,"")</f>
        <v>0.95813</v>
      </c>
      <c r="I449" s="1" t="n">
        <f aca="false">IFERROR('dens_visc_2pe+1hexoh'!H34,"")</f>
        <v>-0.0444041701675957</v>
      </c>
      <c r="J449" s="1" t="n">
        <f aca="false">IFERROR('dens_visc_2pe+1hexoh'!B50,"")</f>
        <v>9.384</v>
      </c>
      <c r="K449" s="1" t="str">
        <f aca="false">IF(AND(ISNUMBER(H449),ISNUMBER(I449),ISNUMBER(J449)),"✓",COUNTIF(H449:J449,"&gt;-999")&amp;"/3")</f>
        <v>✓</v>
      </c>
    </row>
    <row r="450" customFormat="false" ht="15" hidden="false" customHeight="true" outlineLevel="0" collapsed="false">
      <c r="A450" s="1" t="s">
        <v>35</v>
      </c>
      <c r="B450" s="1" t="s">
        <v>32</v>
      </c>
      <c r="C450" s="1" t="s">
        <v>33</v>
      </c>
      <c r="D450" s="1" t="s">
        <v>20</v>
      </c>
      <c r="E450" s="1" t="s">
        <v>21</v>
      </c>
      <c r="F450" s="1" t="n">
        <f aca="false">IFERROR('dens_visc_2pe+1hexoh'!B24,"")</f>
        <v>20</v>
      </c>
      <c r="G450" s="1" t="n">
        <f aca="false">IFERROR('dens_visc_2pe+1hexoh'!A35,"")</f>
        <v>0.800455861559542</v>
      </c>
      <c r="H450" s="1" t="n">
        <f aca="false">IFERROR('dens_visc_2pe+1hexoh'!B35,"")</f>
        <v>0.9786</v>
      </c>
      <c r="I450" s="1" t="n">
        <f aca="false">IFERROR('dens_visc_2pe+1hexoh'!H35,"")</f>
        <v>-0.0275611858649967</v>
      </c>
      <c r="J450" s="1" t="n">
        <f aca="false">IFERROR('dens_visc_2pe+1hexoh'!B51,"")</f>
        <v>10.57</v>
      </c>
      <c r="K450" s="1" t="str">
        <f aca="false">IF(AND(ISNUMBER(H450),ISNUMBER(I450),ISNUMBER(J450)),"✓",COUNTIF(H450:J450,"&gt;-999")&amp;"/3")</f>
        <v>✓</v>
      </c>
    </row>
    <row r="451" customFormat="false" ht="15" hidden="false" customHeight="true" outlineLevel="0" collapsed="false">
      <c r="A451" s="1" t="s">
        <v>35</v>
      </c>
      <c r="B451" s="1" t="s">
        <v>32</v>
      </c>
      <c r="C451" s="1" t="s">
        <v>33</v>
      </c>
      <c r="D451" s="1" t="s">
        <v>20</v>
      </c>
      <c r="E451" s="1" t="s">
        <v>21</v>
      </c>
      <c r="F451" s="1" t="n">
        <f aca="false">IFERROR('dens_visc_2pe+1hexoh'!B24,"")</f>
        <v>20</v>
      </c>
      <c r="G451" s="1" t="n">
        <f aca="false">IFERROR('dens_visc_2pe+1hexoh'!A36,"")</f>
        <v>0.899040225711183</v>
      </c>
      <c r="H451" s="1" t="n">
        <f aca="false">IFERROR('dens_visc_2pe+1hexoh'!B36,"")</f>
        <v>0.9989</v>
      </c>
      <c r="I451" s="1" t="n">
        <f aca="false">IFERROR('dens_visc_2pe+1hexoh'!H36,"")</f>
        <v>-0.0140891939375223</v>
      </c>
      <c r="J451" s="1" t="n">
        <f aca="false">IFERROR('dens_visc_2pe+1hexoh'!B52,"")</f>
        <v>12.09</v>
      </c>
      <c r="K451" s="1" t="str">
        <f aca="false">IF(AND(ISNUMBER(H451),ISNUMBER(I451),ISNUMBER(J451)),"✓",COUNTIF(H451:J451,"&gt;-999")&amp;"/3")</f>
        <v>✓</v>
      </c>
    </row>
    <row r="452" customFormat="false" ht="15" hidden="false" customHeight="true" outlineLevel="0" collapsed="false">
      <c r="A452" s="1" t="s">
        <v>35</v>
      </c>
      <c r="B452" s="1" t="s">
        <v>32</v>
      </c>
      <c r="C452" s="1" t="s">
        <v>33</v>
      </c>
      <c r="D452" s="1" t="s">
        <v>20</v>
      </c>
      <c r="E452" s="1" t="s">
        <v>21</v>
      </c>
      <c r="F452" s="1" t="n">
        <f aca="false">IFERROR('dens_visc_2pe+1hexoh'!B24,"")</f>
        <v>20</v>
      </c>
      <c r="G452" s="1" t="n">
        <f aca="false">IFERROR('dens_visc_2pe+1hexoh'!A37,"")</f>
        <v>1</v>
      </c>
      <c r="H452" s="1" t="n">
        <f aca="false">IFERROR('dens_visc_2pe+1hexoh'!B37,"")</f>
        <v>1.01985</v>
      </c>
      <c r="I452" s="1" t="n">
        <f aca="false">IFERROR('dens_visc_2pe+1hexoh'!H37,"")</f>
        <v>0</v>
      </c>
      <c r="J452" s="1" t="n">
        <f aca="false">IFERROR('dens_visc_2pe+1hexoh'!B53,"")</f>
        <v>14.04</v>
      </c>
      <c r="K452" s="1" t="str">
        <f aca="false">IF(AND(ISNUMBER(H452),ISNUMBER(I452),ISNUMBER(J452)),"✓",COUNTIF(H452:J452,"&gt;-999")&amp;"/3")</f>
        <v>✓</v>
      </c>
    </row>
    <row r="453" customFormat="false" ht="15" hidden="false" customHeight="true" outlineLevel="0" collapsed="false">
      <c r="A453" s="1" t="s">
        <v>35</v>
      </c>
      <c r="B453" s="1" t="s">
        <v>32</v>
      </c>
      <c r="C453" s="1" t="s">
        <v>33</v>
      </c>
      <c r="D453" s="1" t="s">
        <v>20</v>
      </c>
      <c r="E453" s="1" t="s">
        <v>21</v>
      </c>
      <c r="F453" s="1" t="n">
        <f aca="false">IFERROR('dens_visc_2pe+1hexoh'!C24,"")</f>
        <v>30</v>
      </c>
      <c r="G453" s="1" t="n">
        <f aca="false">IFERROR('dens_visc_2pe+1hexoh'!A25,"")</f>
        <v>0</v>
      </c>
      <c r="H453" s="1" t="n">
        <f aca="false">IFERROR('dens_visc_2pe+1hexoh'!C25,"")</f>
        <v>0.81174</v>
      </c>
      <c r="I453" s="1" t="n">
        <f aca="false">IFERROR('dens_visc_2pe+1hexoh'!I25,"")</f>
        <v>0</v>
      </c>
      <c r="J453" s="1" t="n">
        <f aca="false">IFERROR('dens_visc_2pe+1hexoh'!C41,"")</f>
        <v>3.881</v>
      </c>
      <c r="K453" s="1" t="str">
        <f aca="false">IF(AND(ISNUMBER(H453),ISNUMBER(I453),ISNUMBER(J453)),"✓",COUNTIF(H453:J453,"&gt;-999")&amp;"/3")</f>
        <v>✓</v>
      </c>
    </row>
    <row r="454" customFormat="false" ht="15" hidden="false" customHeight="true" outlineLevel="0" collapsed="false">
      <c r="A454" s="1" t="s">
        <v>35</v>
      </c>
      <c r="B454" s="1" t="s">
        <v>32</v>
      </c>
      <c r="C454" s="1" t="s">
        <v>33</v>
      </c>
      <c r="D454" s="1" t="s">
        <v>20</v>
      </c>
      <c r="E454" s="1" t="s">
        <v>21</v>
      </c>
      <c r="F454" s="1" t="n">
        <f aca="false">IFERROR('dens_visc_2pe+1hexoh'!C24,"")</f>
        <v>30</v>
      </c>
      <c r="G454" s="1" t="n">
        <f aca="false">IFERROR('dens_visc_2pe+1hexoh'!A26,"")</f>
        <v>0.100311290464003</v>
      </c>
      <c r="H454" s="4" t="n">
        <f aca="false">IFERROR('dens_visc_2pe+1hexoh'!C26,"")</f>
        <v>0.83129</v>
      </c>
      <c r="I454" s="1" t="n">
        <f aca="false">IFERROR('dens_visc_2pe+1hexoh'!I26,"")</f>
        <v>-0.0253735247741105</v>
      </c>
      <c r="J454" s="1" t="n">
        <f aca="false">IFERROR('dens_visc_2pe+1hexoh'!C42,"")</f>
        <v>4.074</v>
      </c>
      <c r="K454" s="1" t="str">
        <f aca="false">IF(AND(ISNUMBER(H454),ISNUMBER(I454),ISNUMBER(J454)),"✓",COUNTIF(H454:J454,"&gt;-999")&amp;"/3")</f>
        <v>✓</v>
      </c>
    </row>
    <row r="455" customFormat="false" ht="15" hidden="false" customHeight="true" outlineLevel="0" collapsed="false">
      <c r="A455" s="1" t="s">
        <v>35</v>
      </c>
      <c r="B455" s="1" t="s">
        <v>32</v>
      </c>
      <c r="C455" s="1" t="s">
        <v>33</v>
      </c>
      <c r="D455" s="1" t="s">
        <v>20</v>
      </c>
      <c r="E455" s="1" t="s">
        <v>21</v>
      </c>
      <c r="F455" s="1" t="n">
        <f aca="false">IFERROR('dens_visc_2pe+1hexoh'!C24,"")</f>
        <v>30</v>
      </c>
      <c r="G455" s="1" t="n">
        <f aca="false">IFERROR('dens_visc_2pe+1hexoh'!A27,"")</f>
        <v>0.200458941288258</v>
      </c>
      <c r="H455" s="1" t="n">
        <f aca="false">IFERROR('dens_visc_2pe+1hexoh'!C27,"")</f>
        <v>0.85113</v>
      </c>
      <c r="I455" s="1" t="n">
        <f aca="false">IFERROR('dens_visc_2pe+1hexoh'!I27,"")</f>
        <v>-0.0783909270415535</v>
      </c>
      <c r="J455" s="1" t="n">
        <f aca="false">IFERROR('dens_visc_2pe+1hexoh'!C43,"")</f>
        <v>4.31</v>
      </c>
      <c r="K455" s="1" t="str">
        <f aca="false">IF(AND(ISNUMBER(H455),ISNUMBER(I455),ISNUMBER(J455)),"✓",COUNTIF(H455:J455,"&gt;-999")&amp;"/3")</f>
        <v>✓</v>
      </c>
    </row>
    <row r="456" customFormat="false" ht="15" hidden="false" customHeight="true" outlineLevel="0" collapsed="false">
      <c r="A456" s="1" t="s">
        <v>35</v>
      </c>
      <c r="B456" s="1" t="s">
        <v>32</v>
      </c>
      <c r="C456" s="1" t="s">
        <v>33</v>
      </c>
      <c r="D456" s="1" t="s">
        <v>20</v>
      </c>
      <c r="E456" s="1" t="s">
        <v>21</v>
      </c>
      <c r="F456" s="1" t="n">
        <f aca="false">IFERROR('dens_visc_2pe+1hexoh'!C24,"")</f>
        <v>30</v>
      </c>
      <c r="G456" s="1" t="n">
        <f aca="false">IFERROR('dens_visc_2pe+1hexoh'!A29,"")</f>
        <v>0.30035936797046</v>
      </c>
      <c r="H456" s="1" t="n">
        <f aca="false">IFERROR('dens_visc_2pe+1hexoh'!C29,"")</f>
        <v>0.87064</v>
      </c>
      <c r="I456" s="1" t="n">
        <f aca="false">IFERROR('dens_visc_2pe+1hexoh'!I29,"")</f>
        <v>-0.0617524780926431</v>
      </c>
      <c r="J456" s="1" t="n">
        <f aca="false">IFERROR('dens_visc_2pe+1hexoh'!C45,"")</f>
        <v>4.594</v>
      </c>
      <c r="K456" s="1" t="str">
        <f aca="false">IF(AND(ISNUMBER(H456),ISNUMBER(I456),ISNUMBER(J456)),"✓",COUNTIF(H456:J456,"&gt;-999")&amp;"/3")</f>
        <v>✓</v>
      </c>
    </row>
    <row r="457" customFormat="false" ht="15" hidden="false" customHeight="true" outlineLevel="0" collapsed="false">
      <c r="A457" s="1" t="s">
        <v>35</v>
      </c>
      <c r="B457" s="1" t="s">
        <v>32</v>
      </c>
      <c r="C457" s="1" t="s">
        <v>33</v>
      </c>
      <c r="D457" s="1" t="s">
        <v>20</v>
      </c>
      <c r="E457" s="1" t="s">
        <v>21</v>
      </c>
      <c r="F457" s="1" t="n">
        <f aca="false">IFERROR('dens_visc_2pe+1hexoh'!C24,"")</f>
        <v>30</v>
      </c>
      <c r="G457" s="1" t="n">
        <f aca="false">IFERROR('dens_visc_2pe+1hexoh'!A31,"")</f>
        <v>0.400448427689503</v>
      </c>
      <c r="H457" s="1" t="e">
        <f aca="false">IFERROR('dens_visc_2pe+1hexoh'!#ref!,"")</f>
        <v>#VALUE!</v>
      </c>
      <c r="I457" s="1" t="n">
        <f aca="false">IFERROR('dens_visc_2pe+1hexoh'!I31,"")</f>
        <v>-0.0703050511738326</v>
      </c>
      <c r="J457" s="1" t="n">
        <f aca="false">IFERROR('dens_visc_2pe+1hexoh'!C47,"")</f>
        <v>4.945</v>
      </c>
      <c r="K457" s="1" t="str">
        <f aca="false">IF(AND(ISNUMBER(H457),ISNUMBER(I457),ISNUMBER(J457)),"✓",COUNTIF(H457:J457,"&gt;-999")&amp;"/3")</f>
        <v>2/3</v>
      </c>
    </row>
    <row r="458" customFormat="false" ht="15" hidden="false" customHeight="true" outlineLevel="0" collapsed="false">
      <c r="A458" s="1" t="s">
        <v>35</v>
      </c>
      <c r="B458" s="1" t="s">
        <v>32</v>
      </c>
      <c r="C458" s="1" t="s">
        <v>33</v>
      </c>
      <c r="D458" s="1" t="s">
        <v>20</v>
      </c>
      <c r="E458" s="1" t="s">
        <v>21</v>
      </c>
      <c r="F458" s="1" t="n">
        <f aca="false">IFERROR('dens_visc_2pe+1hexoh'!C24,"")</f>
        <v>30</v>
      </c>
      <c r="G458" s="1" t="n">
        <f aca="false">IFERROR('dens_visc_2pe+1hexoh'!A32,"")</f>
        <v>0.500684278812158</v>
      </c>
      <c r="H458" s="1" t="n">
        <f aca="false">IFERROR('dens_visc_2pe+1hexoh'!C32,"")</f>
        <v>0.9105</v>
      </c>
      <c r="I458" s="1" t="n">
        <f aca="false">IFERROR('dens_visc_2pe+1hexoh'!I32,"")</f>
        <v>-0.0601552746246341</v>
      </c>
      <c r="J458" s="1" t="n">
        <f aca="false">IFERROR('dens_visc_2pe+1hexoh'!C48,"")</f>
        <v>5.323</v>
      </c>
      <c r="K458" s="1" t="str">
        <f aca="false">IF(AND(ISNUMBER(H458),ISNUMBER(I458),ISNUMBER(J458)),"✓",COUNTIF(H458:J458,"&gt;-999")&amp;"/3")</f>
        <v>✓</v>
      </c>
    </row>
    <row r="459" customFormat="false" ht="15" hidden="false" customHeight="true" outlineLevel="0" collapsed="false">
      <c r="A459" s="1" t="s">
        <v>35</v>
      </c>
      <c r="B459" s="1" t="s">
        <v>32</v>
      </c>
      <c r="C459" s="1" t="s">
        <v>33</v>
      </c>
      <c r="D459" s="1" t="s">
        <v>20</v>
      </c>
      <c r="E459" s="1" t="s">
        <v>21</v>
      </c>
      <c r="F459" s="1" t="n">
        <f aca="false">IFERROR('dens_visc_2pe+1hexoh'!C24,"")</f>
        <v>30</v>
      </c>
      <c r="G459" s="1" t="n">
        <f aca="false">IFERROR('dens_visc_2pe+1hexoh'!A33,"")</f>
        <v>0.599622439617818</v>
      </c>
      <c r="H459" s="1" t="n">
        <f aca="false">IFERROR('dens_visc_2pe+1hexoh'!C33,"")</f>
        <v>0.93044</v>
      </c>
      <c r="I459" s="1" t="n">
        <f aca="false">IFERROR('dens_visc_2pe+1hexoh'!I33,"")</f>
        <v>-0.0620876881458798</v>
      </c>
      <c r="J459" s="1" t="n">
        <f aca="false">IFERROR('dens_visc_2pe+1hexoh'!C49,"")</f>
        <v>5.795</v>
      </c>
      <c r="K459" s="1" t="str">
        <f aca="false">IF(AND(ISNUMBER(H459),ISNUMBER(I459),ISNUMBER(J459)),"✓",COUNTIF(H459:J459,"&gt;-999")&amp;"/3")</f>
        <v>✓</v>
      </c>
    </row>
    <row r="460" customFormat="false" ht="15" hidden="false" customHeight="true" outlineLevel="0" collapsed="false">
      <c r="A460" s="1" t="s">
        <v>35</v>
      </c>
      <c r="B460" s="1" t="s">
        <v>32</v>
      </c>
      <c r="C460" s="1" t="s">
        <v>33</v>
      </c>
      <c r="D460" s="1" t="s">
        <v>20</v>
      </c>
      <c r="E460" s="1" t="s">
        <v>21</v>
      </c>
      <c r="F460" s="1" t="n">
        <f aca="false">IFERROR('dens_visc_2pe+1hexoh'!C24,"")</f>
        <v>30</v>
      </c>
      <c r="G460" s="1" t="n">
        <f aca="false">IFERROR('dens_visc_2pe+1hexoh'!A34,"")</f>
        <v>0.699901869942981</v>
      </c>
      <c r="H460" s="1" t="n">
        <f aca="false">IFERROR('dens_visc_2pe+1hexoh'!C34,"")</f>
        <v>0.95076</v>
      </c>
      <c r="I460" s="1" t="n">
        <f aca="false">IFERROR('dens_visc_2pe+1hexoh'!I34,"")</f>
        <v>-0.0525186969651372</v>
      </c>
      <c r="J460" s="1" t="n">
        <f aca="false">IFERROR('dens_visc_2pe+1hexoh'!C50,"")</f>
        <v>6.363</v>
      </c>
      <c r="K460" s="1" t="str">
        <f aca="false">IF(AND(ISNUMBER(H460),ISNUMBER(I460),ISNUMBER(J460)),"✓",COUNTIF(H460:J460,"&gt;-999")&amp;"/3")</f>
        <v>✓</v>
      </c>
    </row>
    <row r="461" customFormat="false" ht="15" hidden="false" customHeight="true" outlineLevel="0" collapsed="false">
      <c r="A461" s="1" t="s">
        <v>35</v>
      </c>
      <c r="B461" s="1" t="s">
        <v>32</v>
      </c>
      <c r="C461" s="1" t="s">
        <v>33</v>
      </c>
      <c r="D461" s="1" t="s">
        <v>20</v>
      </c>
      <c r="E461" s="1" t="s">
        <v>21</v>
      </c>
      <c r="F461" s="1" t="n">
        <f aca="false">IFERROR('dens_visc_2pe+1hexoh'!C24,"")</f>
        <v>30</v>
      </c>
      <c r="G461" s="1" t="n">
        <f aca="false">IFERROR('dens_visc_2pe+1hexoh'!A35,"")</f>
        <v>0.800455861559542</v>
      </c>
      <c r="H461" s="1" t="n">
        <f aca="false">IFERROR('dens_visc_2pe+1hexoh'!C35,"")</f>
        <v>0.97124</v>
      </c>
      <c r="I461" s="1" t="n">
        <f aca="false">IFERROR('dens_visc_2pe+1hexoh'!I35,"")</f>
        <v>-0.0323181919477236</v>
      </c>
      <c r="J461" s="1" t="n">
        <f aca="false">IFERROR('dens_visc_2pe+1hexoh'!C51,"")</f>
        <v>7.049</v>
      </c>
      <c r="K461" s="1" t="str">
        <f aca="false">IF(AND(ISNUMBER(H461),ISNUMBER(I461),ISNUMBER(J461)),"✓",COUNTIF(H461:J461,"&gt;-999")&amp;"/3")</f>
        <v>✓</v>
      </c>
    </row>
    <row r="462" customFormat="false" ht="15" hidden="false" customHeight="true" outlineLevel="0" collapsed="false">
      <c r="A462" s="1" t="s">
        <v>35</v>
      </c>
      <c r="B462" s="1" t="s">
        <v>32</v>
      </c>
      <c r="C462" s="1" t="s">
        <v>33</v>
      </c>
      <c r="D462" s="1" t="s">
        <v>20</v>
      </c>
      <c r="E462" s="1" t="s">
        <v>21</v>
      </c>
      <c r="F462" s="1" t="n">
        <f aca="false">IFERROR('dens_visc_2pe+1hexoh'!C24,"")</f>
        <v>30</v>
      </c>
      <c r="G462" s="1" t="n">
        <f aca="false">IFERROR('dens_visc_2pe+1hexoh'!A36,"")</f>
        <v>0.899040225711183</v>
      </c>
      <c r="H462" s="1" t="n">
        <f aca="false">IFERROR('dens_visc_2pe+1hexoh'!C36,"")</f>
        <v>0.99151</v>
      </c>
      <c r="I462" s="1" t="n">
        <f aca="false">IFERROR('dens_visc_2pe+1hexoh'!I36,"")</f>
        <v>-0.0174065496861999</v>
      </c>
      <c r="J462" s="1" t="n">
        <f aca="false">IFERROR('dens_visc_2pe+1hexoh'!C52,"")</f>
        <v>7.875</v>
      </c>
      <c r="K462" s="1" t="str">
        <f aca="false">IF(AND(ISNUMBER(H462),ISNUMBER(I462),ISNUMBER(J462)),"✓",COUNTIF(H462:J462,"&gt;-999")&amp;"/3")</f>
        <v>✓</v>
      </c>
    </row>
    <row r="463" customFormat="false" ht="15" hidden="false" customHeight="true" outlineLevel="0" collapsed="false">
      <c r="A463" s="1" t="s">
        <v>35</v>
      </c>
      <c r="B463" s="1" t="s">
        <v>32</v>
      </c>
      <c r="C463" s="1" t="s">
        <v>33</v>
      </c>
      <c r="D463" s="1" t="s">
        <v>20</v>
      </c>
      <c r="E463" s="1" t="s">
        <v>21</v>
      </c>
      <c r="F463" s="1" t="n">
        <f aca="false">IFERROR('dens_visc_2pe+1hexoh'!C24,"")</f>
        <v>30</v>
      </c>
      <c r="G463" s="1" t="n">
        <f aca="false">IFERROR('dens_visc_2pe+1hexoh'!A37,"")</f>
        <v>1</v>
      </c>
      <c r="H463" s="1" t="n">
        <f aca="false">IFERROR('dens_visc_2pe+1hexoh'!C37,"")</f>
        <v>1.01244</v>
      </c>
      <c r="I463" s="1" t="n">
        <f aca="false">IFERROR('dens_visc_2pe+1hexoh'!I37,"")</f>
        <v>0</v>
      </c>
      <c r="J463" s="1" t="n">
        <f aca="false">IFERROR('dens_visc_2pe+1hexoh'!C53,"")</f>
        <v>8.973</v>
      </c>
      <c r="K463" s="1" t="str">
        <f aca="false">IF(AND(ISNUMBER(H463),ISNUMBER(I463),ISNUMBER(J463)),"✓",COUNTIF(H463:J463,"&gt;-999")&amp;"/3")</f>
        <v>✓</v>
      </c>
    </row>
    <row r="464" customFormat="false" ht="15" hidden="false" customHeight="true" outlineLevel="0" collapsed="false">
      <c r="A464" s="1" t="s">
        <v>35</v>
      </c>
      <c r="B464" s="1" t="s">
        <v>32</v>
      </c>
      <c r="C464" s="1" t="s">
        <v>33</v>
      </c>
      <c r="D464" s="1" t="s">
        <v>20</v>
      </c>
      <c r="E464" s="1" t="s">
        <v>21</v>
      </c>
      <c r="F464" s="1" t="n">
        <f aca="false">IFERROR('dens_visc_2pe+1hexoh'!D24,"")</f>
        <v>40</v>
      </c>
      <c r="G464" s="1" t="n">
        <f aca="false">IFERROR('dens_visc_2pe+1hexoh'!A25,"")</f>
        <v>0</v>
      </c>
      <c r="H464" s="1" t="n">
        <f aca="false">IFERROR('dens_visc_2pe+1hexoh'!D25,"")</f>
        <v>0.80455</v>
      </c>
      <c r="I464" s="1" t="n">
        <f aca="false">IFERROR('dens_visc_2pe+1hexoh'!J25,"")</f>
        <v>0</v>
      </c>
      <c r="J464" s="1" t="n">
        <f aca="false">IFERROR('dens_visc_2pe+1hexoh'!D41,"")</f>
        <v>2.919</v>
      </c>
      <c r="K464" s="1" t="str">
        <f aca="false">IF(AND(ISNUMBER(H464),ISNUMBER(I464),ISNUMBER(J464)),"✓",COUNTIF(H464:J464,"&gt;-999")&amp;"/3")</f>
        <v>✓</v>
      </c>
    </row>
    <row r="465" customFormat="false" ht="15" hidden="false" customHeight="true" outlineLevel="0" collapsed="false">
      <c r="A465" s="1" t="s">
        <v>35</v>
      </c>
      <c r="B465" s="1" t="s">
        <v>32</v>
      </c>
      <c r="C465" s="1" t="s">
        <v>33</v>
      </c>
      <c r="D465" s="1" t="s">
        <v>20</v>
      </c>
      <c r="E465" s="1" t="s">
        <v>21</v>
      </c>
      <c r="F465" s="1" t="n">
        <f aca="false">IFERROR('dens_visc_2pe+1hexoh'!D24,"")</f>
        <v>40</v>
      </c>
      <c r="G465" s="1" t="n">
        <f aca="false">IFERROR('dens_visc_2pe+1hexoh'!A26,"")</f>
        <v>0.100311290464003</v>
      </c>
      <c r="H465" s="4" t="n">
        <f aca="false">IFERROR('dens_visc_2pe+1hexoh'!D26,"")</f>
        <v>0.82404</v>
      </c>
      <c r="I465" s="1" t="n">
        <f aca="false">IFERROR('dens_visc_2pe+1hexoh'!J26,"")</f>
        <v>-0.0292182853172278</v>
      </c>
      <c r="J465" s="1" t="n">
        <f aca="false">IFERROR('dens_visc_2pe+1hexoh'!D42,"")</f>
        <v>3.049</v>
      </c>
      <c r="K465" s="1" t="str">
        <f aca="false">IF(AND(ISNUMBER(H465),ISNUMBER(I465),ISNUMBER(J465)),"✓",COUNTIF(H465:J465,"&gt;-999")&amp;"/3")</f>
        <v>✓</v>
      </c>
    </row>
    <row r="466" customFormat="false" ht="15" hidden="false" customHeight="true" outlineLevel="0" collapsed="false">
      <c r="A466" s="1" t="s">
        <v>35</v>
      </c>
      <c r="B466" s="1" t="s">
        <v>32</v>
      </c>
      <c r="C466" s="1" t="s">
        <v>33</v>
      </c>
      <c r="D466" s="1" t="s">
        <v>20</v>
      </c>
      <c r="E466" s="1" t="s">
        <v>21</v>
      </c>
      <c r="F466" s="1" t="n">
        <f aca="false">IFERROR('dens_visc_2pe+1hexoh'!D24,"")</f>
        <v>40</v>
      </c>
      <c r="G466" s="1" t="n">
        <f aca="false">IFERROR('dens_visc_2pe+1hexoh'!A27,"")</f>
        <v>0.200458941288258</v>
      </c>
      <c r="H466" s="1" t="n">
        <f aca="false">IFERROR('dens_visc_2pe+1hexoh'!D27,"")</f>
        <v>0.84386</v>
      </c>
      <c r="I466" s="1" t="n">
        <f aca="false">IFERROR('dens_visc_2pe+1hexoh'!J27,"")</f>
        <v>-0.0855193749496834</v>
      </c>
      <c r="J466" s="1" t="n">
        <f aca="false">IFERROR('dens_visc_2pe+1hexoh'!D43,"")</f>
        <v>3.205</v>
      </c>
      <c r="K466" s="1" t="str">
        <f aca="false">IF(AND(ISNUMBER(H466),ISNUMBER(I466),ISNUMBER(J466)),"✓",COUNTIF(H466:J466,"&gt;-999")&amp;"/3")</f>
        <v>✓</v>
      </c>
    </row>
    <row r="467" customFormat="false" ht="15" hidden="false" customHeight="true" outlineLevel="0" collapsed="false">
      <c r="A467" s="1" t="s">
        <v>35</v>
      </c>
      <c r="B467" s="1" t="s">
        <v>32</v>
      </c>
      <c r="C467" s="1" t="s">
        <v>33</v>
      </c>
      <c r="D467" s="1" t="s">
        <v>20</v>
      </c>
      <c r="E467" s="1" t="s">
        <v>21</v>
      </c>
      <c r="F467" s="1" t="n">
        <f aca="false">IFERROR('dens_visc_2pe+1hexoh'!D24,"")</f>
        <v>40</v>
      </c>
      <c r="G467" s="1" t="n">
        <f aca="false">IFERROR('dens_visc_2pe+1hexoh'!A29,"")</f>
        <v>0.30035936797046</v>
      </c>
      <c r="H467" s="4" t="n">
        <f aca="false">IFERROR('dens_visc_2pe+1hexoh'!F26,"")</f>
        <v>0.80918</v>
      </c>
      <c r="I467" s="1" t="n">
        <f aca="false">IFERROR('dens_visc_2pe+1hexoh'!J29,"")</f>
        <v>-0.0714165666854711</v>
      </c>
      <c r="J467" s="1" t="n">
        <f aca="false">IFERROR('dens_visc_2pe+1hexoh'!D45,"")</f>
        <v>3.391</v>
      </c>
      <c r="K467" s="1" t="str">
        <f aca="false">IF(AND(ISNUMBER(H467),ISNUMBER(I467),ISNUMBER(J467)),"✓",COUNTIF(H467:J467,"&gt;-999")&amp;"/3")</f>
        <v>✓</v>
      </c>
    </row>
    <row r="468" customFormat="false" ht="15" hidden="false" customHeight="true" outlineLevel="0" collapsed="false">
      <c r="A468" s="1" t="s">
        <v>35</v>
      </c>
      <c r="B468" s="1" t="s">
        <v>32</v>
      </c>
      <c r="C468" s="1" t="s">
        <v>33</v>
      </c>
      <c r="D468" s="1" t="s">
        <v>20</v>
      </c>
      <c r="E468" s="1" t="s">
        <v>21</v>
      </c>
      <c r="F468" s="1" t="n">
        <f aca="false">IFERROR('dens_visc_2pe+1hexoh'!D24,"")</f>
        <v>40</v>
      </c>
      <c r="G468" s="1" t="n">
        <f aca="false">IFERROR('dens_visc_2pe+1hexoh'!A31,"")</f>
        <v>0.400448427689503</v>
      </c>
      <c r="H468" s="4" t="n">
        <f aca="false">IFERROR('dens_visc_2pe+1hexoh'!G26,"")</f>
        <v>-0.0288063163267083</v>
      </c>
      <c r="I468" s="1" t="n">
        <f aca="false">IFERROR('dens_visc_2pe+1hexoh'!J31,"")</f>
        <v>-0.0805328937818786</v>
      </c>
      <c r="J468" s="1" t="n">
        <f aca="false">IFERROR('dens_visc_2pe+1hexoh'!D47,"")</f>
        <v>3.621</v>
      </c>
      <c r="K468" s="1" t="str">
        <f aca="false">IF(AND(ISNUMBER(H468),ISNUMBER(I468),ISNUMBER(J468)),"✓",COUNTIF(H468:J468,"&gt;-999")&amp;"/3")</f>
        <v>✓</v>
      </c>
    </row>
    <row r="469" customFormat="false" ht="15" hidden="false" customHeight="true" outlineLevel="0" collapsed="false">
      <c r="A469" s="1" t="s">
        <v>35</v>
      </c>
      <c r="B469" s="1" t="s">
        <v>32</v>
      </c>
      <c r="C469" s="1" t="s">
        <v>33</v>
      </c>
      <c r="D469" s="1" t="s">
        <v>20</v>
      </c>
      <c r="E469" s="1" t="s">
        <v>21</v>
      </c>
      <c r="F469" s="1" t="n">
        <f aca="false">IFERROR('dens_visc_2pe+1hexoh'!D24,"")</f>
        <v>40</v>
      </c>
      <c r="G469" s="1" t="n">
        <f aca="false">IFERROR('dens_visc_2pe+1hexoh'!A32,"")</f>
        <v>0.500684278812158</v>
      </c>
      <c r="H469" s="1" t="n">
        <f aca="false">IFERROR('dens_visc_2pe+1hexoh'!D32,"")</f>
        <v>0.90313</v>
      </c>
      <c r="I469" s="1" t="n">
        <f aca="false">IFERROR('dens_visc_2pe+1hexoh'!J32,"")</f>
        <v>-0.0669775705761708</v>
      </c>
      <c r="J469" s="1" t="n">
        <f aca="false">IFERROR('dens_visc_2pe+1hexoh'!D48,"")</f>
        <v>3.864</v>
      </c>
      <c r="K469" s="1" t="str">
        <f aca="false">IF(AND(ISNUMBER(H469),ISNUMBER(I469),ISNUMBER(J469)),"✓",COUNTIF(H469:J469,"&gt;-999")&amp;"/3")</f>
        <v>✓</v>
      </c>
    </row>
    <row r="470" customFormat="false" ht="15" hidden="false" customHeight="true" outlineLevel="0" collapsed="false">
      <c r="A470" s="1" t="s">
        <v>35</v>
      </c>
      <c r="B470" s="1" t="s">
        <v>32</v>
      </c>
      <c r="C470" s="1" t="s">
        <v>33</v>
      </c>
      <c r="D470" s="1" t="s">
        <v>20</v>
      </c>
      <c r="E470" s="1" t="s">
        <v>21</v>
      </c>
      <c r="F470" s="1" t="n">
        <f aca="false">IFERROR('dens_visc_2pe+1hexoh'!D24,"")</f>
        <v>40</v>
      </c>
      <c r="G470" s="1" t="n">
        <f aca="false">IFERROR('dens_visc_2pe+1hexoh'!A33,"")</f>
        <v>0.599622439617818</v>
      </c>
      <c r="H470" s="1" t="n">
        <f aca="false">IFERROR('dens_visc_2pe+1hexoh'!D33,"")</f>
        <v>0.92306</v>
      </c>
      <c r="I470" s="1" t="n">
        <f aca="false">IFERROR('dens_visc_2pe+1hexoh'!J33,"")</f>
        <v>-0.0704550092302014</v>
      </c>
      <c r="J470" s="1" t="n">
        <f aca="false">IFERROR('dens_visc_2pe+1hexoh'!D49,"")</f>
        <v>4.161</v>
      </c>
      <c r="K470" s="1" t="str">
        <f aca="false">IF(AND(ISNUMBER(H470),ISNUMBER(I470),ISNUMBER(J470)),"✓",COUNTIF(H470:J470,"&gt;-999")&amp;"/3")</f>
        <v>✓</v>
      </c>
    </row>
    <row r="471" customFormat="false" ht="15" hidden="false" customHeight="true" outlineLevel="0" collapsed="false">
      <c r="A471" s="1" t="s">
        <v>35</v>
      </c>
      <c r="B471" s="1" t="s">
        <v>32</v>
      </c>
      <c r="C471" s="1" t="s">
        <v>33</v>
      </c>
      <c r="D471" s="1" t="s">
        <v>20</v>
      </c>
      <c r="E471" s="1" t="s">
        <v>21</v>
      </c>
      <c r="F471" s="1" t="n">
        <f aca="false">IFERROR('dens_visc_2pe+1hexoh'!D24,"")</f>
        <v>40</v>
      </c>
      <c r="G471" s="1" t="n">
        <f aca="false">IFERROR('dens_visc_2pe+1hexoh'!A34,"")</f>
        <v>0.699901869942981</v>
      </c>
      <c r="H471" s="1" t="n">
        <f aca="false">IFERROR('dens_visc_2pe+1hexoh'!D34,"")</f>
        <v>0.94335</v>
      </c>
      <c r="I471" s="1" t="n">
        <f aca="false">IFERROR('dens_visc_2pe+1hexoh'!J34,"")</f>
        <v>-0.0600428625867835</v>
      </c>
      <c r="J471" s="1" t="n">
        <f aca="false">IFERROR('dens_visc_2pe+1hexoh'!D50,"")</f>
        <v>4.52</v>
      </c>
      <c r="K471" s="1" t="str">
        <f aca="false">IF(AND(ISNUMBER(H471),ISNUMBER(I471),ISNUMBER(J471)),"✓",COUNTIF(H471:J471,"&gt;-999")&amp;"/3")</f>
        <v>✓</v>
      </c>
    </row>
    <row r="472" customFormat="false" ht="15" hidden="false" customHeight="true" outlineLevel="0" collapsed="false">
      <c r="A472" s="1" t="s">
        <v>35</v>
      </c>
      <c r="B472" s="1" t="s">
        <v>32</v>
      </c>
      <c r="C472" s="1" t="s">
        <v>33</v>
      </c>
      <c r="D472" s="1" t="s">
        <v>20</v>
      </c>
      <c r="E472" s="1" t="s">
        <v>21</v>
      </c>
      <c r="F472" s="1" t="n">
        <f aca="false">IFERROR('dens_visc_2pe+1hexoh'!D24,"")</f>
        <v>40</v>
      </c>
      <c r="G472" s="1" t="n">
        <f aca="false">IFERROR('dens_visc_2pe+1hexoh'!A35,"")</f>
        <v>0.800455861559542</v>
      </c>
      <c r="H472" s="1" t="n">
        <f aca="false">IFERROR('dens_visc_2pe+1hexoh'!D35,"")</f>
        <v>0.96379</v>
      </c>
      <c r="I472" s="1" t="n">
        <f aca="false">IFERROR('dens_visc_2pe+1hexoh'!J35,"")</f>
        <v>-0.0367412736965065</v>
      </c>
      <c r="J472" s="1" t="n">
        <f aca="false">IFERROR('dens_visc_2pe+1hexoh'!D51,"")</f>
        <v>4.947</v>
      </c>
      <c r="K472" s="1" t="str">
        <f aca="false">IF(AND(ISNUMBER(H472),ISNUMBER(I472),ISNUMBER(J472)),"✓",COUNTIF(H472:J472,"&gt;-999")&amp;"/3")</f>
        <v>✓</v>
      </c>
    </row>
    <row r="473" customFormat="false" ht="15" hidden="false" customHeight="true" outlineLevel="0" collapsed="false">
      <c r="A473" s="1" t="s">
        <v>35</v>
      </c>
      <c r="B473" s="1" t="s">
        <v>32</v>
      </c>
      <c r="C473" s="1" t="s">
        <v>33</v>
      </c>
      <c r="D473" s="1" t="s">
        <v>20</v>
      </c>
      <c r="E473" s="1" t="s">
        <v>21</v>
      </c>
      <c r="F473" s="1" t="n">
        <f aca="false">IFERROR('dens_visc_2pe+1hexoh'!D24,"")</f>
        <v>40</v>
      </c>
      <c r="G473" s="1" t="n">
        <f aca="false">IFERROR('dens_visc_2pe+1hexoh'!A36,"")</f>
        <v>0.899040225711183</v>
      </c>
      <c r="H473" s="1" t="n">
        <f aca="false">IFERROR('dens_visc_2pe+1hexoh'!D36,"")</f>
        <v>0.98404</v>
      </c>
      <c r="I473" s="1" t="n">
        <f aca="false">IFERROR('dens_visc_2pe+1hexoh'!J36,"")</f>
        <v>-0.0193798351876922</v>
      </c>
      <c r="J473" s="1" t="n">
        <f aca="false">IFERROR('dens_visc_2pe+1hexoh'!D52,"")</f>
        <v>5.449</v>
      </c>
      <c r="K473" s="1" t="str">
        <f aca="false">IF(AND(ISNUMBER(H473),ISNUMBER(I473),ISNUMBER(J473)),"✓",COUNTIF(H473:J473,"&gt;-999")&amp;"/3")</f>
        <v>✓</v>
      </c>
    </row>
    <row r="474" customFormat="false" ht="15" hidden="false" customHeight="true" outlineLevel="0" collapsed="false">
      <c r="A474" s="1" t="s">
        <v>35</v>
      </c>
      <c r="B474" s="1" t="s">
        <v>32</v>
      </c>
      <c r="C474" s="1" t="s">
        <v>33</v>
      </c>
      <c r="D474" s="1" t="s">
        <v>20</v>
      </c>
      <c r="E474" s="1" t="s">
        <v>21</v>
      </c>
      <c r="F474" s="1" t="n">
        <f aca="false">IFERROR('dens_visc_2pe+1hexoh'!D24,"")</f>
        <v>40</v>
      </c>
      <c r="G474" s="1" t="n">
        <f aca="false">IFERROR('dens_visc_2pe+1hexoh'!A37,"")</f>
        <v>1</v>
      </c>
      <c r="H474" s="1" t="n">
        <f aca="false">IFERROR('dens_visc_2pe+1hexoh'!D37,"")</f>
        <v>1.00494</v>
      </c>
      <c r="I474" s="1" t="n">
        <f aca="false">IFERROR('dens_visc_2pe+1hexoh'!J37,"")</f>
        <v>0</v>
      </c>
      <c r="J474" s="1" t="n">
        <f aca="false">IFERROR('dens_visc_2pe+1hexoh'!D53,"")</f>
        <v>6.102</v>
      </c>
      <c r="K474" s="1" t="str">
        <f aca="false">IF(AND(ISNUMBER(H474),ISNUMBER(I474),ISNUMBER(J474)),"✓",COUNTIF(H474:J474,"&gt;-999")&amp;"/3")</f>
        <v>✓</v>
      </c>
    </row>
    <row r="475" customFormat="false" ht="15" hidden="false" customHeight="true" outlineLevel="0" collapsed="false">
      <c r="A475" s="1" t="s">
        <v>35</v>
      </c>
      <c r="B475" s="1" t="s">
        <v>32</v>
      </c>
      <c r="C475" s="1" t="s">
        <v>33</v>
      </c>
      <c r="D475" s="1" t="s">
        <v>20</v>
      </c>
      <c r="E475" s="1" t="s">
        <v>21</v>
      </c>
      <c r="F475" s="1" t="n">
        <f aca="false">IFERROR('dens_visc_2pe+1hexoh'!F24,"")</f>
        <v>60</v>
      </c>
      <c r="G475" s="1" t="n">
        <f aca="false">IFERROR('dens_visc_2pe+1hexoh'!A25,"")</f>
        <v>0</v>
      </c>
      <c r="H475" s="1" t="n">
        <f aca="false">IFERROR('dens_visc_2pe+1hexoh'!E25,"")</f>
        <v>0.79722</v>
      </c>
      <c r="I475" s="1" t="n">
        <f aca="false">IFERROR('dens_visc_2pe+1hexoh'!K25,"")</f>
        <v>0</v>
      </c>
      <c r="J475" s="1" t="n">
        <f aca="false">IFERROR('dens_visc_2pe+1hexoh'!E41,"")</f>
        <v>2.24</v>
      </c>
      <c r="K475" s="1" t="str">
        <f aca="false">IF(AND(ISNUMBER(H475),ISNUMBER(I475),ISNUMBER(J475)),"✓",COUNTIF(H475:J475,"&gt;-999")&amp;"/3")</f>
        <v>✓</v>
      </c>
    </row>
    <row r="476" customFormat="false" ht="15" hidden="false" customHeight="true" outlineLevel="0" collapsed="false">
      <c r="A476" s="1" t="s">
        <v>35</v>
      </c>
      <c r="B476" s="1" t="s">
        <v>32</v>
      </c>
      <c r="C476" s="1" t="s">
        <v>33</v>
      </c>
      <c r="D476" s="1" t="s">
        <v>20</v>
      </c>
      <c r="E476" s="1" t="s">
        <v>21</v>
      </c>
      <c r="F476" s="1" t="n">
        <f aca="false">IFERROR('dens_visc_2pe+1hexoh'!F24,"")</f>
        <v>60</v>
      </c>
      <c r="G476" s="1" t="n">
        <f aca="false">IFERROR('dens_visc_2pe+1hexoh'!A26,"")</f>
        <v>0.100311290464003</v>
      </c>
      <c r="H476" s="1" t="e">
        <f aca="false">IFERROR('dens_visc_2pe+1hexoh'!#ref!,"")</f>
        <v>#VALUE!</v>
      </c>
      <c r="I476" s="1" t="n">
        <f aca="false">IFERROR('dens_visc_2pe+1hexoh'!K26,"")</f>
        <v>-0.0385123553898836</v>
      </c>
      <c r="J476" s="1" t="n">
        <f aca="false">IFERROR('dens_visc_2pe+1hexoh'!F42,"")</f>
        <v>1.819</v>
      </c>
      <c r="K476" s="1" t="str">
        <f aca="false">IF(AND(ISNUMBER(H476),ISNUMBER(I476),ISNUMBER(J476)),"✓",COUNTIF(H476:J476,"&gt;-999")&amp;"/3")</f>
        <v>2/3</v>
      </c>
    </row>
    <row r="477" customFormat="false" ht="15" hidden="false" customHeight="true" outlineLevel="0" collapsed="false">
      <c r="A477" s="1" t="s">
        <v>35</v>
      </c>
      <c r="B477" s="1" t="s">
        <v>32</v>
      </c>
      <c r="C477" s="1" t="s">
        <v>33</v>
      </c>
      <c r="D477" s="1" t="s">
        <v>20</v>
      </c>
      <c r="E477" s="1" t="s">
        <v>21</v>
      </c>
      <c r="F477" s="1" t="n">
        <f aca="false">IFERROR('dens_visc_2pe+1hexoh'!F24,"")</f>
        <v>60</v>
      </c>
      <c r="G477" s="1" t="n">
        <f aca="false">IFERROR('dens_visc_2pe+1hexoh'!A27,"")</f>
        <v>0.200458941288258</v>
      </c>
      <c r="H477" s="1" t="n">
        <f aca="false">IFERROR('dens_visc_2pe+1hexoh'!F27,"")</f>
        <v>0.82892</v>
      </c>
      <c r="I477" s="1" t="n">
        <f aca="false">IFERROR('dens_visc_2pe+1hexoh'!K27,"")</f>
        <v>-0.0938464132378272</v>
      </c>
      <c r="J477" s="5" t="n">
        <f aca="false">IFERROR('dens_visc_2pe+1hexoh'!F43,"")</f>
        <v>1.9</v>
      </c>
      <c r="K477" s="1" t="str">
        <f aca="false">IF(AND(ISNUMBER(H477),ISNUMBER(I477),ISNUMBER(J477)),"✓",COUNTIF(H477:J477,"&gt;-999")&amp;"/3")</f>
        <v>✓</v>
      </c>
    </row>
    <row r="478" customFormat="false" ht="15" hidden="false" customHeight="true" outlineLevel="0" collapsed="false">
      <c r="A478" s="1" t="s">
        <v>35</v>
      </c>
      <c r="B478" s="1" t="s">
        <v>32</v>
      </c>
      <c r="C478" s="1" t="s">
        <v>33</v>
      </c>
      <c r="D478" s="1" t="s">
        <v>20</v>
      </c>
      <c r="E478" s="1" t="s">
        <v>21</v>
      </c>
      <c r="F478" s="1" t="n">
        <f aca="false">IFERROR('dens_visc_2pe+1hexoh'!F24,"")</f>
        <v>60</v>
      </c>
      <c r="G478" s="1" t="n">
        <f aca="false">IFERROR('dens_visc_2pe+1hexoh'!A29,"")</f>
        <v>0.30035936797046</v>
      </c>
      <c r="H478" s="1" t="n">
        <f aca="false">IFERROR('dens_visc_2pe+1hexoh'!F29,"")</f>
        <v>0.84835</v>
      </c>
      <c r="I478" s="1" t="n">
        <f aca="false">IFERROR('dens_visc_2pe+1hexoh'!K29,"")</f>
        <v>-0.079623454764004</v>
      </c>
      <c r="J478" s="1" t="n">
        <f aca="false">IFERROR('dens_visc_2pe+1hexoh'!F45,"")</f>
        <v>1.997</v>
      </c>
      <c r="K478" s="1" t="str">
        <f aca="false">IF(AND(ISNUMBER(H478),ISNUMBER(I478),ISNUMBER(J478)),"✓",COUNTIF(H478:J478,"&gt;-999")&amp;"/3")</f>
        <v>✓</v>
      </c>
    </row>
    <row r="479" customFormat="false" ht="15" hidden="false" customHeight="true" outlineLevel="0" collapsed="false">
      <c r="A479" s="1" t="s">
        <v>35</v>
      </c>
      <c r="B479" s="1" t="s">
        <v>32</v>
      </c>
      <c r="C479" s="1" t="s">
        <v>33</v>
      </c>
      <c r="D479" s="1" t="s">
        <v>20</v>
      </c>
      <c r="E479" s="1" t="s">
        <v>21</v>
      </c>
      <c r="F479" s="1" t="n">
        <f aca="false">IFERROR('dens_visc_2pe+1hexoh'!F24,"")</f>
        <v>60</v>
      </c>
      <c r="G479" s="1" t="n">
        <f aca="false">IFERROR('dens_visc_2pe+1hexoh'!A31,"")</f>
        <v>0.400448427689503</v>
      </c>
      <c r="H479" s="1" t="e">
        <f aca="false">IFERROR('dens_visc_2pe+1hexoh'!#ref!,"")</f>
        <v>#VALUE!</v>
      </c>
      <c r="I479" s="1" t="n">
        <f aca="false">IFERROR('dens_visc_2pe+1hexoh'!K31,"")</f>
        <v>-0.0924693314556748</v>
      </c>
      <c r="J479" s="1" t="e">
        <f aca="false">IFERROR('dens_visc_2pe+1hexoh'!#ref!,"")</f>
        <v>#VALUE!</v>
      </c>
      <c r="K479" s="1" t="str">
        <f aca="false">IF(AND(ISNUMBER(H479),ISNUMBER(I479),ISNUMBER(J479)),"✓",COUNTIF(H479:J479,"&gt;-999")&amp;"/3")</f>
        <v>1/3</v>
      </c>
    </row>
    <row r="480" customFormat="false" ht="15" hidden="false" customHeight="true" outlineLevel="0" collapsed="false">
      <c r="A480" s="1" t="s">
        <v>35</v>
      </c>
      <c r="B480" s="1" t="s">
        <v>32</v>
      </c>
      <c r="C480" s="1" t="s">
        <v>33</v>
      </c>
      <c r="D480" s="1" t="s">
        <v>20</v>
      </c>
      <c r="E480" s="1" t="s">
        <v>21</v>
      </c>
      <c r="F480" s="1" t="n">
        <f aca="false">IFERROR('dens_visc_2pe+1hexoh'!F24,"")</f>
        <v>60</v>
      </c>
      <c r="G480" s="1" t="n">
        <f aca="false">IFERROR('dens_visc_2pe+1hexoh'!A32,"")</f>
        <v>0.500684278812158</v>
      </c>
      <c r="H480" s="1" t="n">
        <f aca="false">IFERROR('dens_visc_2pe+1hexoh'!F32,"")</f>
        <v>0.88806</v>
      </c>
      <c r="I480" s="1" t="n">
        <f aca="false">IFERROR('dens_visc_2pe+1hexoh'!K32,"")</f>
        <v>-0.0811006371580874</v>
      </c>
      <c r="J480" s="1" t="n">
        <f aca="false">IFERROR('dens_visc_2pe+1hexoh'!F48,"")</f>
        <v>2.228</v>
      </c>
      <c r="K480" s="1" t="str">
        <f aca="false">IF(AND(ISNUMBER(H480),ISNUMBER(I480),ISNUMBER(J480)),"✓",COUNTIF(H480:J480,"&gt;-999")&amp;"/3")</f>
        <v>✓</v>
      </c>
    </row>
    <row r="481" customFormat="false" ht="15" hidden="false" customHeight="true" outlineLevel="0" collapsed="false">
      <c r="A481" s="1" t="s">
        <v>35</v>
      </c>
      <c r="B481" s="1" t="s">
        <v>32</v>
      </c>
      <c r="C481" s="1" t="s">
        <v>33</v>
      </c>
      <c r="D481" s="1" t="s">
        <v>20</v>
      </c>
      <c r="E481" s="1" t="s">
        <v>21</v>
      </c>
      <c r="F481" s="1" t="n">
        <f aca="false">IFERROR('dens_visc_2pe+1hexoh'!F24,"")</f>
        <v>60</v>
      </c>
      <c r="G481" s="1" t="n">
        <f aca="false">IFERROR('dens_visc_2pe+1hexoh'!A33,"")</f>
        <v>0.599622439617818</v>
      </c>
      <c r="H481" s="1" t="n">
        <f aca="false">IFERROR('dens_visc_2pe+1hexoh'!F33,"")</f>
        <v>0.90792</v>
      </c>
      <c r="I481" s="1" t="n">
        <f aca="false">IFERROR('dens_visc_2pe+1hexoh'!K33,"")</f>
        <v>-0.0776497632365079</v>
      </c>
      <c r="J481" s="1" t="n">
        <f aca="false">IFERROR('dens_visc_2pe+1hexoh'!F49,"")</f>
        <v>2.372</v>
      </c>
      <c r="K481" s="1" t="str">
        <f aca="false">IF(AND(ISNUMBER(H481),ISNUMBER(I481),ISNUMBER(J481)),"✓",COUNTIF(H481:J481,"&gt;-999")&amp;"/3")</f>
        <v>✓</v>
      </c>
    </row>
    <row r="482" customFormat="false" ht="15" hidden="false" customHeight="true" outlineLevel="0" collapsed="false">
      <c r="A482" s="1" t="s">
        <v>35</v>
      </c>
      <c r="B482" s="1" t="s">
        <v>32</v>
      </c>
      <c r="C482" s="1" t="s">
        <v>33</v>
      </c>
      <c r="D482" s="1" t="s">
        <v>20</v>
      </c>
      <c r="E482" s="1" t="s">
        <v>21</v>
      </c>
      <c r="F482" s="1" t="n">
        <f aca="false">IFERROR('dens_visc_2pe+1hexoh'!F24,"")</f>
        <v>60</v>
      </c>
      <c r="G482" s="1" t="n">
        <f aca="false">IFERROR('dens_visc_2pe+1hexoh'!A34,"")</f>
        <v>0.699901869942981</v>
      </c>
      <c r="H482" s="1" t="n">
        <f aca="false">IFERROR('dens_visc_2pe+1hexoh'!F34,"")</f>
        <v>0.92821</v>
      </c>
      <c r="I482" s="1" t="n">
        <f aca="false">IFERROR('dens_visc_2pe+1hexoh'!K34,"")</f>
        <v>-0.0702921330565118</v>
      </c>
      <c r="J482" s="1" t="n">
        <f aca="false">IFERROR('dens_visc_2pe+1hexoh'!F50,"")</f>
        <v>2.542</v>
      </c>
      <c r="K482" s="1" t="str">
        <f aca="false">IF(AND(ISNUMBER(H482),ISNUMBER(I482),ISNUMBER(J482)),"✓",COUNTIF(H482:J482,"&gt;-999")&amp;"/3")</f>
        <v>✓</v>
      </c>
    </row>
    <row r="483" customFormat="false" ht="15" hidden="false" customHeight="true" outlineLevel="0" collapsed="false">
      <c r="A483" s="1" t="s">
        <v>35</v>
      </c>
      <c r="B483" s="1" t="s">
        <v>32</v>
      </c>
      <c r="C483" s="1" t="s">
        <v>33</v>
      </c>
      <c r="D483" s="1" t="s">
        <v>20</v>
      </c>
      <c r="E483" s="1" t="s">
        <v>21</v>
      </c>
      <c r="F483" s="1" t="n">
        <f aca="false">IFERROR('dens_visc_2pe+1hexoh'!F24,"")</f>
        <v>60</v>
      </c>
      <c r="G483" s="1" t="n">
        <f aca="false">IFERROR('dens_visc_2pe+1hexoh'!A35,"")</f>
        <v>0.800455861559542</v>
      </c>
      <c r="H483" s="1" t="n">
        <f aca="false">IFERROR('dens_visc_2pe+1hexoh'!F35,"")</f>
        <v>0.94861</v>
      </c>
      <c r="I483" s="1" t="n">
        <f aca="false">IFERROR('dens_visc_2pe+1hexoh'!K35,"")</f>
        <v>-0.0447706059938611</v>
      </c>
      <c r="J483" s="1" t="n">
        <f aca="false">IFERROR('dens_visc_2pe+1hexoh'!F51,"")</f>
        <v>2.735</v>
      </c>
      <c r="K483" s="1" t="str">
        <f aca="false">IF(AND(ISNUMBER(H483),ISNUMBER(I483),ISNUMBER(J483)),"✓",COUNTIF(H483:J483,"&gt;-999")&amp;"/3")</f>
        <v>✓</v>
      </c>
    </row>
    <row r="484" customFormat="false" ht="15" hidden="false" customHeight="true" outlineLevel="0" collapsed="false">
      <c r="A484" s="1" t="s">
        <v>35</v>
      </c>
      <c r="B484" s="1" t="s">
        <v>32</v>
      </c>
      <c r="C484" s="1" t="s">
        <v>33</v>
      </c>
      <c r="D484" s="1" t="s">
        <v>20</v>
      </c>
      <c r="E484" s="1" t="s">
        <v>21</v>
      </c>
      <c r="F484" s="1" t="n">
        <f aca="false">IFERROR('dens_visc_2pe+1hexoh'!F24,"")</f>
        <v>60</v>
      </c>
      <c r="G484" s="1" t="n">
        <f aca="false">IFERROR('dens_visc_2pe+1hexoh'!A36,"")</f>
        <v>0.899040225711183</v>
      </c>
      <c r="H484" s="1" t="n">
        <f aca="false">IFERROR('dens_visc_2pe+1hexoh'!F36,"")</f>
        <v>0.96881</v>
      </c>
      <c r="I484" s="1" t="n">
        <f aca="false">IFERROR('dens_visc_2pe+1hexoh'!K36,"")</f>
        <v>-0.0218994162017054</v>
      </c>
      <c r="J484" s="1" t="n">
        <f aca="false">IFERROR('dens_visc_2pe+1hexoh'!F52,"")</f>
        <v>2.964</v>
      </c>
      <c r="K484" s="1" t="str">
        <f aca="false">IF(AND(ISNUMBER(H484),ISNUMBER(I484),ISNUMBER(J484)),"✓",COUNTIF(H484:J484,"&gt;-999")&amp;"/3")</f>
        <v>✓</v>
      </c>
    </row>
    <row r="485" customFormat="false" ht="15" hidden="false" customHeight="true" outlineLevel="0" collapsed="false">
      <c r="A485" s="1" t="s">
        <v>35</v>
      </c>
      <c r="B485" s="1" t="s">
        <v>32</v>
      </c>
      <c r="C485" s="1" t="s">
        <v>33</v>
      </c>
      <c r="D485" s="1" t="s">
        <v>20</v>
      </c>
      <c r="E485" s="1" t="s">
        <v>21</v>
      </c>
      <c r="F485" s="1" t="n">
        <f aca="false">IFERROR('dens_visc_2pe+1hexoh'!F24,"")</f>
        <v>60</v>
      </c>
      <c r="G485" s="1" t="n">
        <f aca="false">IFERROR('dens_visc_2pe+1hexoh'!A37,"")</f>
        <v>1</v>
      </c>
      <c r="H485" s="1" t="n">
        <f aca="false">IFERROR('dens_visc_2pe+1hexoh'!E37,"")</f>
        <v>0.99736</v>
      </c>
      <c r="I485" s="1" t="n">
        <f aca="false">IFERROR('dens_visc_2pe+1hexoh'!K37,"")</f>
        <v>0</v>
      </c>
      <c r="J485" s="1" t="n">
        <f aca="false">IFERROR('dens_visc_2pe+1hexoh'!E53,"")</f>
        <v>4.368</v>
      </c>
      <c r="K485" s="1" t="str">
        <f aca="false">IF(AND(ISNUMBER(H485),ISNUMBER(I485),ISNUMBER(J485)),"✓",COUNTIF(H485:J485,"&gt;-999")&amp;"/3")</f>
        <v>✓</v>
      </c>
    </row>
    <row r="486" customFormat="false" ht="15" hidden="false" customHeight="true" outlineLevel="0" collapsed="false">
      <c r="A486" s="1" t="s">
        <v>35</v>
      </c>
      <c r="B486" s="1" t="s">
        <v>32</v>
      </c>
      <c r="C486" s="1" t="s">
        <v>33</v>
      </c>
      <c r="D486" s="1" t="s">
        <v>20</v>
      </c>
      <c r="E486" s="1" t="s">
        <v>21</v>
      </c>
      <c r="F486" s="1" t="n">
        <f aca="false">IFERROR('dens_visc_2pe+1hexoh'!H24,"")</f>
        <v>30</v>
      </c>
      <c r="G486" s="1" t="n">
        <f aca="false">IFERROR('dens_visc_2pe+1hexoh'!A25,"")</f>
        <v>0</v>
      </c>
      <c r="H486" s="1" t="n">
        <f aca="false">IFERROR('dens_visc_2pe+1hexoh'!G25,"")</f>
        <v>0</v>
      </c>
      <c r="I486" s="1" t="str">
        <f aca="false">IFERROR('dens_visc_2pe+1hexoh'!L25,"")</f>
        <v/>
      </c>
      <c r="J486" s="1" t="n">
        <f aca="false">IFERROR('dens_visc_2pe+1hexoh'!F41,"")</f>
        <v>1.75</v>
      </c>
      <c r="K486" s="1" t="str">
        <f aca="false">IF(AND(ISNUMBER(H486),ISNUMBER(I486),ISNUMBER(J486)),"✓",COUNTIF(H486:J486,"&gt;-999")&amp;"/3")</f>
        <v>2/3</v>
      </c>
    </row>
    <row r="487" customFormat="false" ht="15" hidden="false" customHeight="true" outlineLevel="0" collapsed="false">
      <c r="A487" s="1" t="s">
        <v>35</v>
      </c>
      <c r="B487" s="1" t="s">
        <v>32</v>
      </c>
      <c r="C487" s="1" t="s">
        <v>33</v>
      </c>
      <c r="D487" s="1" t="s">
        <v>20</v>
      </c>
      <c r="E487" s="1" t="s">
        <v>21</v>
      </c>
      <c r="F487" s="1" t="n">
        <f aca="false">IFERROR('dens_visc_2pe+1hexoh'!H24,"")</f>
        <v>30</v>
      </c>
      <c r="G487" s="1" t="n">
        <f aca="false">IFERROR('dens_visc_2pe+1hexoh'!A26,"")</f>
        <v>0.100311290464003</v>
      </c>
      <c r="H487" s="1" t="e">
        <f aca="false">IFERROR('dens_visc_2pe+1hexoh'!#ref!,"")</f>
        <v>#VALUE!</v>
      </c>
      <c r="I487" s="1" t="str">
        <f aca="false">IFERROR('dens_visc_2pe+1hexoh'!L26,"")</f>
        <v/>
      </c>
      <c r="J487" s="1" t="n">
        <f aca="false">IFERROR('dens_visc_2pe+1hexoh'!G42,"")</f>
        <v>0</v>
      </c>
      <c r="K487" s="1" t="str">
        <f aca="false">IF(AND(ISNUMBER(H487),ISNUMBER(I487),ISNUMBER(J487)),"✓",COUNTIF(H487:J487,"&gt;-999")&amp;"/3")</f>
        <v>1/3</v>
      </c>
    </row>
    <row r="488" customFormat="false" ht="15" hidden="false" customHeight="true" outlineLevel="0" collapsed="false">
      <c r="A488" s="1" t="s">
        <v>35</v>
      </c>
      <c r="B488" s="1" t="s">
        <v>32</v>
      </c>
      <c r="C488" s="1" t="s">
        <v>33</v>
      </c>
      <c r="D488" s="1" t="s">
        <v>20</v>
      </c>
      <c r="E488" s="1" t="s">
        <v>21</v>
      </c>
      <c r="F488" s="1" t="n">
        <f aca="false">IFERROR('dens_visc_2pe+1hexoh'!H24,"")</f>
        <v>30</v>
      </c>
      <c r="G488" s="1" t="n">
        <f aca="false">IFERROR('dens_visc_2pe+1hexoh'!A27,"")</f>
        <v>0.200458941288258</v>
      </c>
      <c r="H488" s="1" t="n">
        <f aca="false">IFERROR('dens_visc_2pe+1hexoh'!G27,"")</f>
        <v>-0.0653991177192239</v>
      </c>
      <c r="I488" s="1" t="str">
        <f aca="false">IFERROR('dens_visc_2pe+1hexoh'!L27,"")</f>
        <v/>
      </c>
      <c r="J488" s="1" t="n">
        <f aca="false">IFERROR('dens_visc_2pe+1hexoh'!G43,"")</f>
        <v>0</v>
      </c>
      <c r="K488" s="1" t="str">
        <f aca="false">IF(AND(ISNUMBER(H488),ISNUMBER(I488),ISNUMBER(J488)),"✓",COUNTIF(H488:J488,"&gt;-999")&amp;"/3")</f>
        <v>2/3</v>
      </c>
    </row>
    <row r="489" customFormat="false" ht="15" hidden="false" customHeight="true" outlineLevel="0" collapsed="false">
      <c r="A489" s="1" t="s">
        <v>35</v>
      </c>
      <c r="B489" s="1" t="s">
        <v>32</v>
      </c>
      <c r="C489" s="1" t="s">
        <v>33</v>
      </c>
      <c r="D489" s="1" t="s">
        <v>20</v>
      </c>
      <c r="E489" s="1" t="s">
        <v>21</v>
      </c>
      <c r="F489" s="1" t="n">
        <f aca="false">IFERROR('dens_visc_2pe+1hexoh'!H24,"")</f>
        <v>30</v>
      </c>
      <c r="G489" s="1" t="n">
        <f aca="false">IFERROR('dens_visc_2pe+1hexoh'!A29,"")</f>
        <v>0.30035936797046</v>
      </c>
      <c r="H489" s="1" t="n">
        <f aca="false">IFERROR('dens_visc_2pe+1hexoh'!G29,"")</f>
        <v>-0.0284854335819915</v>
      </c>
      <c r="I489" s="1" t="str">
        <f aca="false">IFERROR('dens_visc_2pe+1hexoh'!L29,"")</f>
        <v/>
      </c>
      <c r="J489" s="1" t="n">
        <f aca="false">IFERROR('dens_visc_2pe+1hexoh'!G45,"")</f>
        <v>0</v>
      </c>
      <c r="K489" s="1" t="str">
        <f aca="false">IF(AND(ISNUMBER(H489),ISNUMBER(I489),ISNUMBER(J489)),"✓",COUNTIF(H489:J489,"&gt;-999")&amp;"/3")</f>
        <v>2/3</v>
      </c>
    </row>
    <row r="490" customFormat="false" ht="15" hidden="false" customHeight="true" outlineLevel="0" collapsed="false">
      <c r="A490" s="1" t="s">
        <v>35</v>
      </c>
      <c r="B490" s="1" t="s">
        <v>32</v>
      </c>
      <c r="C490" s="1" t="s">
        <v>33</v>
      </c>
      <c r="D490" s="1" t="s">
        <v>20</v>
      </c>
      <c r="E490" s="1" t="s">
        <v>21</v>
      </c>
      <c r="F490" s="1" t="n">
        <f aca="false">IFERROR('dens_visc_2pe+1hexoh'!H24,"")</f>
        <v>30</v>
      </c>
      <c r="G490" s="1" t="n">
        <f aca="false">IFERROR('dens_visc_2pe+1hexoh'!A31,"")</f>
        <v>0.400448427689503</v>
      </c>
      <c r="H490" s="1" t="n">
        <f aca="false">IFERROR('dens_visc_2pe+1hexoh'!G31,"")</f>
        <v>-0.0498765015017142</v>
      </c>
      <c r="I490" s="1" t="str">
        <f aca="false">IFERROR('dens_visc_2pe+1hexoh'!L31,"")</f>
        <v/>
      </c>
      <c r="J490" s="1" t="n">
        <f aca="false">IFERROR('dens_visc_2pe+1hexoh'!F47,"")</f>
        <v>2.111</v>
      </c>
      <c r="K490" s="1" t="str">
        <f aca="false">IF(AND(ISNUMBER(H490),ISNUMBER(I490),ISNUMBER(J490)),"✓",COUNTIF(H490:J490,"&gt;-999")&amp;"/3")</f>
        <v>2/3</v>
      </c>
    </row>
    <row r="491" customFormat="false" ht="15" hidden="false" customHeight="true" outlineLevel="0" collapsed="false">
      <c r="A491" s="1" t="s">
        <v>35</v>
      </c>
      <c r="B491" s="1" t="s">
        <v>32</v>
      </c>
      <c r="C491" s="1" t="s">
        <v>33</v>
      </c>
      <c r="D491" s="1" t="s">
        <v>20</v>
      </c>
      <c r="E491" s="1" t="s">
        <v>21</v>
      </c>
      <c r="F491" s="1" t="n">
        <f aca="false">IFERROR('dens_visc_2pe+1hexoh'!H24,"")</f>
        <v>30</v>
      </c>
      <c r="G491" s="1" t="n">
        <f aca="false">IFERROR('dens_visc_2pe+1hexoh'!A32,"")</f>
        <v>0.500684278812158</v>
      </c>
      <c r="H491" s="1" t="n">
        <f aca="false">IFERROR('dens_visc_2pe+1hexoh'!G32,"")</f>
        <v>-0.0432567956296026</v>
      </c>
      <c r="I491" s="1" t="str">
        <f aca="false">IFERROR('dens_visc_2pe+1hexoh'!L32,"")</f>
        <v/>
      </c>
      <c r="J491" s="1" t="n">
        <f aca="false">IFERROR('dens_visc_2pe+1hexoh'!G48,"")</f>
        <v>0</v>
      </c>
      <c r="K491" s="1" t="str">
        <f aca="false">IF(AND(ISNUMBER(H491),ISNUMBER(I491),ISNUMBER(J491)),"✓",COUNTIF(H491:J491,"&gt;-999")&amp;"/3")</f>
        <v>2/3</v>
      </c>
    </row>
    <row r="492" customFormat="false" ht="15" hidden="false" customHeight="true" outlineLevel="0" collapsed="false">
      <c r="A492" s="1" t="s">
        <v>35</v>
      </c>
      <c r="B492" s="1" t="s">
        <v>32</v>
      </c>
      <c r="C492" s="1" t="s">
        <v>33</v>
      </c>
      <c r="D492" s="1" t="s">
        <v>20</v>
      </c>
      <c r="E492" s="1" t="s">
        <v>21</v>
      </c>
      <c r="F492" s="1" t="n">
        <f aca="false">IFERROR('dens_visc_2pe+1hexoh'!H24,"")</f>
        <v>30</v>
      </c>
      <c r="G492" s="1" t="n">
        <f aca="false">IFERROR('dens_visc_2pe+1hexoh'!A33,"")</f>
        <v>0.599622439617818</v>
      </c>
      <c r="H492" s="1" t="n">
        <f aca="false">IFERROR('dens_visc_2pe+1hexoh'!G33,"")</f>
        <v>-0.0432007836652417</v>
      </c>
      <c r="I492" s="1" t="str">
        <f aca="false">IFERROR('dens_visc_2pe+1hexoh'!L33,"")</f>
        <v/>
      </c>
      <c r="J492" s="1" t="n">
        <f aca="false">IFERROR('dens_visc_2pe+1hexoh'!G49,"")</f>
        <v>0</v>
      </c>
      <c r="K492" s="1" t="str">
        <f aca="false">IF(AND(ISNUMBER(H492),ISNUMBER(I492),ISNUMBER(J492)),"✓",COUNTIF(H492:J492,"&gt;-999")&amp;"/3")</f>
        <v>2/3</v>
      </c>
    </row>
    <row r="493" customFormat="false" ht="15" hidden="false" customHeight="true" outlineLevel="0" collapsed="false">
      <c r="A493" s="1" t="s">
        <v>35</v>
      </c>
      <c r="B493" s="1" t="s">
        <v>32</v>
      </c>
      <c r="C493" s="1" t="s">
        <v>33</v>
      </c>
      <c r="D493" s="1" t="s">
        <v>20</v>
      </c>
      <c r="E493" s="1" t="s">
        <v>21</v>
      </c>
      <c r="F493" s="1" t="n">
        <f aca="false">IFERROR('dens_visc_2pe+1hexoh'!H24,"")</f>
        <v>30</v>
      </c>
      <c r="G493" s="1" t="n">
        <f aca="false">IFERROR('dens_visc_2pe+1hexoh'!A34,"")</f>
        <v>0.699901869942981</v>
      </c>
      <c r="H493" s="1" t="n">
        <f aca="false">IFERROR('dens_visc_2pe+1hexoh'!G34,"")</f>
        <v>-0.0435512849105919</v>
      </c>
      <c r="I493" s="1" t="str">
        <f aca="false">IFERROR('dens_visc_2pe+1hexoh'!L34,"")</f>
        <v/>
      </c>
      <c r="J493" s="1" t="n">
        <f aca="false">IFERROR('dens_visc_2pe+1hexoh'!G50,"")</f>
        <v>0</v>
      </c>
      <c r="K493" s="1" t="str">
        <f aca="false">IF(AND(ISNUMBER(H493),ISNUMBER(I493),ISNUMBER(J493)),"✓",COUNTIF(H493:J493,"&gt;-999")&amp;"/3")</f>
        <v>2/3</v>
      </c>
    </row>
    <row r="494" customFormat="false" ht="15" hidden="false" customHeight="true" outlineLevel="0" collapsed="false">
      <c r="A494" s="1" t="s">
        <v>35</v>
      </c>
      <c r="B494" s="1" t="s">
        <v>32</v>
      </c>
      <c r="C494" s="1" t="s">
        <v>33</v>
      </c>
      <c r="D494" s="1" t="s">
        <v>20</v>
      </c>
      <c r="E494" s="1" t="s">
        <v>21</v>
      </c>
      <c r="F494" s="1" t="n">
        <f aca="false">IFERROR('dens_visc_2pe+1hexoh'!H24,"")</f>
        <v>30</v>
      </c>
      <c r="G494" s="1" t="n">
        <f aca="false">IFERROR('dens_visc_2pe+1hexoh'!A35,"")</f>
        <v>0.800455861559542</v>
      </c>
      <c r="H494" s="1" t="n">
        <f aca="false">IFERROR('dens_visc_2pe+1hexoh'!G35,"")</f>
        <v>-0.0234238215649043</v>
      </c>
      <c r="I494" s="1" t="str">
        <f aca="false">IFERROR('dens_visc_2pe+1hexoh'!L35,"")</f>
        <v/>
      </c>
      <c r="J494" s="1" t="n">
        <f aca="false">IFERROR('dens_visc_2pe+1hexoh'!G51,"")</f>
        <v>0</v>
      </c>
      <c r="K494" s="1" t="str">
        <f aca="false">IF(AND(ISNUMBER(H494),ISNUMBER(I494),ISNUMBER(J494)),"✓",COUNTIF(H494:J494,"&gt;-999")&amp;"/3")</f>
        <v>2/3</v>
      </c>
    </row>
    <row r="495" customFormat="false" ht="15" hidden="false" customHeight="true" outlineLevel="0" collapsed="false">
      <c r="A495" s="1" t="s">
        <v>35</v>
      </c>
      <c r="B495" s="1" t="s">
        <v>32</v>
      </c>
      <c r="C495" s="1" t="s">
        <v>33</v>
      </c>
      <c r="D495" s="1" t="s">
        <v>20</v>
      </c>
      <c r="E495" s="1" t="s">
        <v>21</v>
      </c>
      <c r="F495" s="1" t="n">
        <f aca="false">IFERROR('dens_visc_2pe+1hexoh'!H24,"")</f>
        <v>30</v>
      </c>
      <c r="G495" s="1" t="n">
        <f aca="false">IFERROR('dens_visc_2pe+1hexoh'!A36,"")</f>
        <v>0.899040225711183</v>
      </c>
      <c r="H495" s="1" t="n">
        <f aca="false">IFERROR('dens_visc_2pe+1hexoh'!G36,"")</f>
        <v>-0.0123250575351932</v>
      </c>
      <c r="I495" s="1" t="str">
        <f aca="false">IFERROR('dens_visc_2pe+1hexoh'!L36,"")</f>
        <v/>
      </c>
      <c r="J495" s="1" t="n">
        <f aca="false">IFERROR('dens_visc_2pe+1hexoh'!G52,"")</f>
        <v>0</v>
      </c>
      <c r="K495" s="1" t="str">
        <f aca="false">IF(AND(ISNUMBER(H495),ISNUMBER(I495),ISNUMBER(J495)),"✓",COUNTIF(H495:J495,"&gt;-999")&amp;"/3")</f>
        <v>2/3</v>
      </c>
    </row>
    <row r="496" customFormat="false" ht="15" hidden="false" customHeight="true" outlineLevel="0" collapsed="false">
      <c r="A496" s="1" t="s">
        <v>35</v>
      </c>
      <c r="B496" s="1" t="s">
        <v>32</v>
      </c>
      <c r="C496" s="1" t="s">
        <v>33</v>
      </c>
      <c r="D496" s="1" t="s">
        <v>20</v>
      </c>
      <c r="E496" s="1" t="s">
        <v>21</v>
      </c>
      <c r="F496" s="1" t="n">
        <f aca="false">IFERROR('dens_visc_2pe+1hexoh'!H24,"")</f>
        <v>30</v>
      </c>
      <c r="G496" s="1" t="n">
        <f aca="false">IFERROR('dens_visc_2pe+1hexoh'!A37,"")</f>
        <v>1</v>
      </c>
      <c r="H496" s="1" t="n">
        <f aca="false">IFERROR('dens_visc_2pe+1hexoh'!G37,"")</f>
        <v>0</v>
      </c>
      <c r="I496" s="1" t="str">
        <f aca="false">IFERROR('dens_visc_2pe+1hexoh'!L37,"")</f>
        <v/>
      </c>
      <c r="J496" s="1" t="n">
        <f aca="false">IFERROR('dens_visc_2pe+1hexoh'!F53,"")</f>
        <v>3.252</v>
      </c>
      <c r="K496" s="1" t="str">
        <f aca="false">IF(AND(ISNUMBER(H496),ISNUMBER(I496),ISNUMBER(J496)),"✓",COUNTIF(H496:J496,"&gt;-999")&amp;"/3")</f>
        <v>2/3</v>
      </c>
    </row>
    <row r="497" customFormat="false" ht="15" hidden="false" customHeight="true" outlineLevel="0" collapsed="false">
      <c r="A497" s="1" t="s">
        <v>36</v>
      </c>
      <c r="B497" s="1" t="s">
        <v>32</v>
      </c>
      <c r="C497" s="1" t="s">
        <v>33</v>
      </c>
      <c r="D497" s="1" t="s">
        <v>23</v>
      </c>
      <c r="E497" s="1" t="s">
        <v>24</v>
      </c>
      <c r="F497" s="1" t="n">
        <f aca="false">IFERROR('dens_visc_2pe+1octoh'!B22,"")</f>
        <v>20</v>
      </c>
      <c r="G497" s="1" t="n">
        <f aca="false">IFERROR('dens_visc_2pe+1octoh'!A23,"")</f>
        <v>0</v>
      </c>
      <c r="H497" s="1" t="n">
        <f aca="false">IFERROR('dens_visc_2pe+1octoh'!B23,"")</f>
        <v>0.82518</v>
      </c>
      <c r="I497" s="1" t="n">
        <f aca="false">IFERROR('dens_visc_2pe+1octoh'!G23,"")</f>
        <v>0</v>
      </c>
      <c r="J497" s="1" t="n">
        <f aca="false">IFERROR('dens_visc_2pe+1octoh'!B37,"")</f>
        <v>8.801</v>
      </c>
      <c r="K497" s="1" t="str">
        <f aca="false">IF(AND(ISNUMBER(H497),ISNUMBER(I497),ISNUMBER(J497)),"✓",COUNTIF(H497:J497,"&gt;-999")&amp;"/3")</f>
        <v>✓</v>
      </c>
    </row>
    <row r="498" customFormat="false" ht="15" hidden="false" customHeight="true" outlineLevel="0" collapsed="false">
      <c r="A498" s="1" t="s">
        <v>36</v>
      </c>
      <c r="B498" s="1" t="s">
        <v>32</v>
      </c>
      <c r="C498" s="1" t="s">
        <v>33</v>
      </c>
      <c r="D498" s="1" t="s">
        <v>23</v>
      </c>
      <c r="E498" s="1" t="s">
        <v>24</v>
      </c>
      <c r="F498" s="1" t="n">
        <f aca="false">IFERROR('dens_visc_2pe+1octoh'!B22,"")</f>
        <v>20</v>
      </c>
      <c r="G498" s="1" t="n">
        <f aca="false">IFERROR('dens_visc_2pe+1octoh'!A24,"")</f>
        <v>0.102942036474298</v>
      </c>
      <c r="H498" s="1" t="n">
        <f aca="false">IFERROR('dens_visc_2pe+1octoh'!B24,"")</f>
        <v>0.8404</v>
      </c>
      <c r="I498" s="1" t="n">
        <f aca="false">IFERROR('dens_visc_2pe+1octoh'!G24,"")</f>
        <v>0.0689904592967139</v>
      </c>
      <c r="J498" s="1" t="n">
        <f aca="false">IFERROR('dens_visc_2pe+1octoh'!B38,"")</f>
        <v>9.21</v>
      </c>
      <c r="K498" s="1" t="str">
        <f aca="false">IF(AND(ISNUMBER(H498),ISNUMBER(I498),ISNUMBER(J498)),"✓",COUNTIF(H498:J498,"&gt;-999")&amp;"/3")</f>
        <v>✓</v>
      </c>
    </row>
    <row r="499" customFormat="false" ht="15" hidden="false" customHeight="true" outlineLevel="0" collapsed="false">
      <c r="A499" s="1" t="s">
        <v>36</v>
      </c>
      <c r="B499" s="1" t="s">
        <v>32</v>
      </c>
      <c r="C499" s="1" t="s">
        <v>33</v>
      </c>
      <c r="D499" s="1" t="s">
        <v>23</v>
      </c>
      <c r="E499" s="1" t="s">
        <v>24</v>
      </c>
      <c r="F499" s="1" t="n">
        <f aca="false">IFERROR('dens_visc_2pe+1octoh'!B22,"")</f>
        <v>20</v>
      </c>
      <c r="G499" s="1" t="n">
        <f aca="false">IFERROR('dens_visc_2pe+1octoh'!A25,"")</f>
        <v>0.20060238096856</v>
      </c>
      <c r="H499" s="1" t="n">
        <f aca="false">IFERROR('dens_visc_2pe+1octoh'!B25,"")</f>
        <v>0.8559</v>
      </c>
      <c r="I499" s="1" t="n">
        <f aca="false">IFERROR('dens_visc_2pe+1octoh'!G25,"")</f>
        <v>0.0745711651790089</v>
      </c>
      <c r="J499" s="1" t="n">
        <f aca="false">IFERROR('dens_visc_2pe+1octoh'!B39,"")</f>
        <v>9.121</v>
      </c>
      <c r="K499" s="1" t="str">
        <f aca="false">IF(AND(ISNUMBER(H499),ISNUMBER(I499),ISNUMBER(J499)),"✓",COUNTIF(H499:J499,"&gt;-999")&amp;"/3")</f>
        <v>✓</v>
      </c>
    </row>
    <row r="500" customFormat="false" ht="15" hidden="false" customHeight="true" outlineLevel="0" collapsed="false">
      <c r="A500" s="1" t="s">
        <v>36</v>
      </c>
      <c r="B500" s="1" t="s">
        <v>32</v>
      </c>
      <c r="C500" s="1" t="s">
        <v>33</v>
      </c>
      <c r="D500" s="1" t="s">
        <v>23</v>
      </c>
      <c r="E500" s="1" t="s">
        <v>24</v>
      </c>
      <c r="F500" s="1" t="n">
        <f aca="false">IFERROR('dens_visc_2pe+1octoh'!B22,"")</f>
        <v>20</v>
      </c>
      <c r="G500" s="1" t="n">
        <f aca="false">IFERROR('dens_visc_2pe+1octoh'!A26,"")</f>
        <v>0.303857905301441</v>
      </c>
      <c r="H500" s="1" t="n">
        <f aca="false">IFERROR('dens_visc_2pe+1octoh'!B26,"")</f>
        <v>0.8731</v>
      </c>
      <c r="I500" s="1" t="n">
        <f aca="false">IFERROR('dens_visc_2pe+1octoh'!G26,"")</f>
        <v>0.0876069757478888</v>
      </c>
      <c r="J500" s="1" t="n">
        <f aca="false">IFERROR('dens_visc_2pe+1octoh'!B40,"")</f>
        <v>9.228</v>
      </c>
      <c r="K500" s="1" t="str">
        <f aca="false">IF(AND(ISNUMBER(H500),ISNUMBER(I500),ISNUMBER(J500)),"✓",COUNTIF(H500:J500,"&gt;-999")&amp;"/3")</f>
        <v>✓</v>
      </c>
    </row>
    <row r="501" customFormat="false" ht="15" hidden="false" customHeight="true" outlineLevel="0" collapsed="false">
      <c r="A501" s="1" t="s">
        <v>36</v>
      </c>
      <c r="B501" s="1" t="s">
        <v>32</v>
      </c>
      <c r="C501" s="1" t="s">
        <v>33</v>
      </c>
      <c r="D501" s="1" t="s">
        <v>23</v>
      </c>
      <c r="E501" s="1" t="s">
        <v>24</v>
      </c>
      <c r="F501" s="1" t="n">
        <f aca="false">IFERROR('dens_visc_2pe+1octoh'!B22,"")</f>
        <v>20</v>
      </c>
      <c r="G501" s="1" t="n">
        <f aca="false">IFERROR('dens_visc_2pe+1octoh'!A27,"")</f>
        <v>0.400541165787733</v>
      </c>
      <c r="H501" s="1" t="n">
        <f aca="false">IFERROR('dens_visc_2pe+1octoh'!B27,"")</f>
        <v>0.89</v>
      </c>
      <c r="I501" s="1" t="n">
        <f aca="false">IFERROR('dens_visc_2pe+1octoh'!G27,"")</f>
        <v>0.109558623312267</v>
      </c>
      <c r="J501" s="1" t="n">
        <f aca="false">IFERROR('dens_visc_2pe+1octoh'!B41,"")</f>
        <v>9.374</v>
      </c>
      <c r="K501" s="1" t="str">
        <f aca="false">IF(AND(ISNUMBER(H501),ISNUMBER(I501),ISNUMBER(J501)),"✓",COUNTIF(H501:J501,"&gt;-999")&amp;"/3")</f>
        <v>✓</v>
      </c>
    </row>
    <row r="502" customFormat="false" ht="15" hidden="false" customHeight="true" outlineLevel="0" collapsed="false">
      <c r="A502" s="1" t="s">
        <v>36</v>
      </c>
      <c r="B502" s="1" t="s">
        <v>32</v>
      </c>
      <c r="C502" s="1" t="s">
        <v>33</v>
      </c>
      <c r="D502" s="1" t="s">
        <v>23</v>
      </c>
      <c r="E502" s="1" t="s">
        <v>24</v>
      </c>
      <c r="F502" s="1" t="n">
        <f aca="false">IFERROR('dens_visc_2pe+1octoh'!B22,"")</f>
        <v>20</v>
      </c>
      <c r="G502" s="1" t="n">
        <f aca="false">IFERROR('dens_visc_2pe+1octoh'!A28,"")</f>
        <v>0.500803081101967</v>
      </c>
      <c r="H502" s="1" t="n">
        <f aca="false">IFERROR('dens_visc_2pe+1octoh'!B28,"")</f>
        <v>0.9085</v>
      </c>
      <c r="I502" s="1" t="n">
        <f aca="false">IFERROR('dens_visc_2pe+1octoh'!G28,"")</f>
        <v>0.126985503089657</v>
      </c>
      <c r="J502" s="1" t="n">
        <f aca="false">IFERROR('dens_visc_2pe+1octoh'!B42,"")</f>
        <v>9.788</v>
      </c>
      <c r="K502" s="1" t="str">
        <f aca="false">IF(AND(ISNUMBER(H502),ISNUMBER(I502),ISNUMBER(J502)),"✓",COUNTIF(H502:J502,"&gt;-999")&amp;"/3")</f>
        <v>✓</v>
      </c>
    </row>
    <row r="503" customFormat="false" ht="15" hidden="false" customHeight="true" outlineLevel="0" collapsed="false">
      <c r="A503" s="1" t="s">
        <v>36</v>
      </c>
      <c r="B503" s="1" t="s">
        <v>32</v>
      </c>
      <c r="C503" s="1" t="s">
        <v>33</v>
      </c>
      <c r="D503" s="1" t="s">
        <v>23</v>
      </c>
      <c r="E503" s="1" t="s">
        <v>24</v>
      </c>
      <c r="F503" s="1" t="n">
        <f aca="false">IFERROR('dens_visc_2pe+1octoh'!B22,"")</f>
        <v>20</v>
      </c>
      <c r="G503" s="1" t="n">
        <f aca="false">IFERROR('dens_visc_2pe+1octoh'!A29,"")</f>
        <v>0.600207576515638</v>
      </c>
      <c r="H503" s="1" t="n">
        <f aca="false">IFERROR('dens_visc_2pe+1octoh'!B29,"")</f>
        <v>0.928</v>
      </c>
      <c r="I503" s="1" t="n">
        <f aca="false">IFERROR('dens_visc_2pe+1octoh'!G29,"")</f>
        <v>0.125032604083714</v>
      </c>
      <c r="J503" s="1" t="n">
        <f aca="false">IFERROR('dens_visc_2pe+1octoh'!B43,"")</f>
        <v>10.01</v>
      </c>
      <c r="K503" s="1" t="str">
        <f aca="false">IF(AND(ISNUMBER(H503),ISNUMBER(I503),ISNUMBER(J503)),"✓",COUNTIF(H503:J503,"&gt;-999")&amp;"/3")</f>
        <v>✓</v>
      </c>
    </row>
    <row r="504" customFormat="false" ht="15" hidden="false" customHeight="true" outlineLevel="0" collapsed="false">
      <c r="A504" s="1" t="s">
        <v>36</v>
      </c>
      <c r="B504" s="1" t="s">
        <v>32</v>
      </c>
      <c r="C504" s="1" t="s">
        <v>33</v>
      </c>
      <c r="D504" s="1" t="s">
        <v>23</v>
      </c>
      <c r="E504" s="1" t="s">
        <v>24</v>
      </c>
      <c r="F504" s="1" t="n">
        <f aca="false">IFERROR('dens_visc_2pe+1octoh'!B22,"")</f>
        <v>20</v>
      </c>
      <c r="G504" s="1" t="n">
        <f aca="false">IFERROR('dens_visc_2pe+1octoh'!A30,"")</f>
        <v>0.701129970086883</v>
      </c>
      <c r="H504" s="1" t="n">
        <f aca="false">IFERROR('dens_visc_2pe+1octoh'!B30,"")</f>
        <v>0.9491</v>
      </c>
      <c r="I504" s="1" t="n">
        <f aca="false">IFERROR('dens_visc_2pe+1octoh'!G30,"")</f>
        <v>0.101963867845342</v>
      </c>
      <c r="J504" s="1" t="n">
        <f aca="false">IFERROR('dens_visc_2pe+1octoh'!B44,"")</f>
        <v>10.67</v>
      </c>
      <c r="K504" s="1" t="str">
        <f aca="false">IF(AND(ISNUMBER(H504),ISNUMBER(I504),ISNUMBER(J504)),"✓",COUNTIF(H504:J504,"&gt;-999")&amp;"/3")</f>
        <v>✓</v>
      </c>
    </row>
    <row r="505" customFormat="false" ht="15" hidden="false" customHeight="true" outlineLevel="0" collapsed="false">
      <c r="A505" s="1" t="s">
        <v>36</v>
      </c>
      <c r="B505" s="1" t="s">
        <v>32</v>
      </c>
      <c r="C505" s="1" t="s">
        <v>33</v>
      </c>
      <c r="D505" s="1" t="s">
        <v>23</v>
      </c>
      <c r="E505" s="1" t="s">
        <v>24</v>
      </c>
      <c r="F505" s="1" t="n">
        <f aca="false">IFERROR('dens_visc_2pe+1octoh'!B22,"")</f>
        <v>20</v>
      </c>
      <c r="G505" s="1" t="n">
        <f aca="false">IFERROR('dens_visc_2pe+1octoh'!A31,"")</f>
        <v>0.799129581162723</v>
      </c>
      <c r="H505" s="1" t="n">
        <f aca="false">IFERROR('dens_visc_2pe+1octoh'!B31,"")</f>
        <v>0.9707</v>
      </c>
      <c r="I505" s="1" t="n">
        <f aca="false">IFERROR('dens_visc_2pe+1octoh'!G31,"")</f>
        <v>0.0942926530375985</v>
      </c>
      <c r="J505" s="1" t="n">
        <f aca="false">IFERROR('dens_visc_2pe+1octoh'!B45,"")</f>
        <v>11.35</v>
      </c>
      <c r="K505" s="1" t="str">
        <f aca="false">IF(AND(ISNUMBER(H505),ISNUMBER(I505),ISNUMBER(J505)),"✓",COUNTIF(H505:J505,"&gt;-999")&amp;"/3")</f>
        <v>✓</v>
      </c>
    </row>
    <row r="506" customFormat="false" ht="15" hidden="false" customHeight="true" outlineLevel="0" collapsed="false">
      <c r="A506" s="1" t="s">
        <v>36</v>
      </c>
      <c r="B506" s="1" t="s">
        <v>32</v>
      </c>
      <c r="C506" s="1" t="s">
        <v>33</v>
      </c>
      <c r="D506" s="1" t="s">
        <v>23</v>
      </c>
      <c r="E506" s="1" t="s">
        <v>24</v>
      </c>
      <c r="F506" s="1" t="n">
        <f aca="false">IFERROR('dens_visc_2pe+1octoh'!B22,"")</f>
        <v>20</v>
      </c>
      <c r="G506" s="1" t="n">
        <f aca="false">IFERROR('dens_visc_2pe+1octoh'!A32,"")</f>
        <v>0.899567661591019</v>
      </c>
      <c r="H506" s="1" t="n">
        <f aca="false">IFERROR('dens_visc_2pe+1octoh'!B32,"")</f>
        <v>0.9944</v>
      </c>
      <c r="I506" s="1" t="n">
        <f aca="false">IFERROR('dens_visc_2pe+1octoh'!G32,"")</f>
        <v>0.0604565487211914</v>
      </c>
      <c r="J506" s="1" t="n">
        <f aca="false">IFERROR('dens_visc_2pe+1octoh'!B46,"")</f>
        <v>12.35</v>
      </c>
      <c r="K506" s="1" t="str">
        <f aca="false">IF(AND(ISNUMBER(H506),ISNUMBER(I506),ISNUMBER(J506)),"✓",COUNTIF(H506:J506,"&gt;-999")&amp;"/3")</f>
        <v>✓</v>
      </c>
    </row>
    <row r="507" customFormat="false" ht="15" hidden="false" customHeight="true" outlineLevel="0" collapsed="false">
      <c r="A507" s="1" t="s">
        <v>36</v>
      </c>
      <c r="B507" s="1" t="s">
        <v>32</v>
      </c>
      <c r="C507" s="1" t="s">
        <v>33</v>
      </c>
      <c r="D507" s="1" t="s">
        <v>23</v>
      </c>
      <c r="E507" s="1" t="s">
        <v>24</v>
      </c>
      <c r="F507" s="1" t="n">
        <f aca="false">IFERROR('dens_visc_2pe+1octoh'!B22,"")</f>
        <v>20</v>
      </c>
      <c r="G507" s="1" t="n">
        <f aca="false">IFERROR('dens_visc_2pe+1octoh'!A33,"")</f>
        <v>1</v>
      </c>
      <c r="H507" s="1" t="n">
        <f aca="false">IFERROR('dens_visc_2pe+1octoh'!B33,"")</f>
        <v>1.01985</v>
      </c>
      <c r="I507" s="1" t="n">
        <f aca="false">IFERROR('dens_visc_2pe+1octoh'!G33,"")</f>
        <v>0</v>
      </c>
      <c r="J507" s="1" t="n">
        <f aca="false">IFERROR('dens_visc_2pe+1octoh'!B47,"")</f>
        <v>14.04</v>
      </c>
      <c r="K507" s="1" t="str">
        <f aca="false">IF(AND(ISNUMBER(H507),ISNUMBER(I507),ISNUMBER(J507)),"✓",COUNTIF(H507:J507,"&gt;-999")&amp;"/3")</f>
        <v>✓</v>
      </c>
    </row>
    <row r="508" customFormat="false" ht="15" hidden="false" customHeight="true" outlineLevel="0" collapsed="false">
      <c r="A508" s="1" t="s">
        <v>36</v>
      </c>
      <c r="B508" s="1" t="s">
        <v>32</v>
      </c>
      <c r="C508" s="1" t="s">
        <v>33</v>
      </c>
      <c r="D508" s="1" t="s">
        <v>23</v>
      </c>
      <c r="E508" s="1" t="s">
        <v>24</v>
      </c>
      <c r="F508" s="1" t="n">
        <f aca="false">IFERROR('dens_visc_2pe+1octoh'!C22,"")</f>
        <v>30</v>
      </c>
      <c r="G508" s="1" t="n">
        <f aca="false">IFERROR('dens_visc_2pe+1octoh'!A23,"")</f>
        <v>0</v>
      </c>
      <c r="H508" s="1" t="n">
        <f aca="false">IFERROR('dens_visc_2pe+1octoh'!C23,"")</f>
        <v>0.81835</v>
      </c>
      <c r="I508" s="1" t="n">
        <f aca="false">IFERROR('dens_visc_2pe+1octoh'!H23,"")</f>
        <v>0</v>
      </c>
      <c r="J508" s="1" t="n">
        <f aca="false">IFERROR('dens_visc_2pe+1octoh'!C37,"")</f>
        <v>6.146</v>
      </c>
      <c r="K508" s="1" t="str">
        <f aca="false">IF(AND(ISNUMBER(H508),ISNUMBER(I508),ISNUMBER(J508)),"✓",COUNTIF(H508:J508,"&gt;-999")&amp;"/3")</f>
        <v>✓</v>
      </c>
    </row>
    <row r="509" customFormat="false" ht="15" hidden="false" customHeight="true" outlineLevel="0" collapsed="false">
      <c r="A509" s="1" t="s">
        <v>36</v>
      </c>
      <c r="B509" s="1" t="s">
        <v>32</v>
      </c>
      <c r="C509" s="1" t="s">
        <v>33</v>
      </c>
      <c r="D509" s="1" t="s">
        <v>23</v>
      </c>
      <c r="E509" s="1" t="s">
        <v>24</v>
      </c>
      <c r="F509" s="1" t="n">
        <f aca="false">IFERROR('dens_visc_2pe+1octoh'!C22,"")</f>
        <v>30</v>
      </c>
      <c r="G509" s="1" t="n">
        <f aca="false">IFERROR('dens_visc_2pe+1octoh'!A24,"")</f>
        <v>0.102942036474298</v>
      </c>
      <c r="H509" s="1" t="n">
        <f aca="false">IFERROR('dens_visc_2pe+1octoh'!C24,"")</f>
        <v>0.8334</v>
      </c>
      <c r="I509" s="1" t="n">
        <f aca="false">IFERROR('dens_visc_2pe+1octoh'!H24,"")</f>
        <v>0.0904327027628256</v>
      </c>
      <c r="J509" s="1" t="n">
        <f aca="false">IFERROR('dens_visc_2pe+1octoh'!C38,"")</f>
        <v>6.216</v>
      </c>
      <c r="K509" s="1" t="str">
        <f aca="false">IF(AND(ISNUMBER(H509),ISNUMBER(I509),ISNUMBER(J509)),"✓",COUNTIF(H509:J509,"&gt;-999")&amp;"/3")</f>
        <v>✓</v>
      </c>
    </row>
    <row r="510" customFormat="false" ht="15" hidden="false" customHeight="true" outlineLevel="0" collapsed="false">
      <c r="A510" s="1" t="s">
        <v>36</v>
      </c>
      <c r="B510" s="1" t="s">
        <v>32</v>
      </c>
      <c r="C510" s="1" t="s">
        <v>33</v>
      </c>
      <c r="D510" s="1" t="s">
        <v>23</v>
      </c>
      <c r="E510" s="1" t="s">
        <v>24</v>
      </c>
      <c r="F510" s="1" t="n">
        <f aca="false">IFERROR('dens_visc_2pe+1octoh'!C22,"")</f>
        <v>30</v>
      </c>
      <c r="G510" s="1" t="n">
        <f aca="false">IFERROR('dens_visc_2pe+1octoh'!A25,"")</f>
        <v>0.20060238096856</v>
      </c>
      <c r="H510" s="1" t="n">
        <f aca="false">IFERROR('dens_visc_2pe+1octoh'!C25,"")</f>
        <v>0.8489</v>
      </c>
      <c r="I510" s="1" t="n">
        <f aca="false">IFERROR('dens_visc_2pe+1octoh'!H25,"")</f>
        <v>0.0848326030710211</v>
      </c>
      <c r="J510" s="1" t="n">
        <f aca="false">IFERROR('dens_visc_2pe+1octoh'!C39,"")</f>
        <v>6.348</v>
      </c>
      <c r="K510" s="1" t="str">
        <f aca="false">IF(AND(ISNUMBER(H510),ISNUMBER(I510),ISNUMBER(J510)),"✓",COUNTIF(H510:J510,"&gt;-999")&amp;"/3")</f>
        <v>✓</v>
      </c>
    </row>
    <row r="511" customFormat="false" ht="15" hidden="false" customHeight="true" outlineLevel="0" collapsed="false">
      <c r="A511" s="1" t="s">
        <v>36</v>
      </c>
      <c r="B511" s="1" t="s">
        <v>32</v>
      </c>
      <c r="C511" s="1" t="s">
        <v>33</v>
      </c>
      <c r="D511" s="1" t="s">
        <v>23</v>
      </c>
      <c r="E511" s="1" t="s">
        <v>24</v>
      </c>
      <c r="F511" s="1" t="n">
        <f aca="false">IFERROR('dens_visc_2pe+1octoh'!C22,"")</f>
        <v>30</v>
      </c>
      <c r="G511" s="1" t="n">
        <f aca="false">IFERROR('dens_visc_2pe+1octoh'!A26,"")</f>
        <v>0.303857905301441</v>
      </c>
      <c r="H511" s="1" t="n">
        <f aca="false">IFERROR('dens_visc_2pe+1octoh'!C26,"")</f>
        <v>0.866</v>
      </c>
      <c r="I511" s="1" t="n">
        <f aca="false">IFERROR('dens_visc_2pe+1octoh'!H26,"")</f>
        <v>0.104142726798472</v>
      </c>
      <c r="J511" s="1" t="n">
        <f aca="false">IFERROR('dens_visc_2pe+1octoh'!C40,"")</f>
        <v>6.38</v>
      </c>
      <c r="K511" s="1" t="str">
        <f aca="false">IF(AND(ISNUMBER(H511),ISNUMBER(I511),ISNUMBER(J511)),"✓",COUNTIF(H511:J511,"&gt;-999")&amp;"/3")</f>
        <v>✓</v>
      </c>
    </row>
    <row r="512" customFormat="false" ht="15" hidden="false" customHeight="true" outlineLevel="0" collapsed="false">
      <c r="A512" s="1" t="s">
        <v>36</v>
      </c>
      <c r="B512" s="1" t="s">
        <v>32</v>
      </c>
      <c r="C512" s="1" t="s">
        <v>33</v>
      </c>
      <c r="D512" s="1" t="s">
        <v>23</v>
      </c>
      <c r="E512" s="1" t="s">
        <v>24</v>
      </c>
      <c r="F512" s="1" t="n">
        <f aca="false">IFERROR('dens_visc_2pe+1octoh'!C22,"")</f>
        <v>30</v>
      </c>
      <c r="G512" s="1" t="n">
        <f aca="false">IFERROR('dens_visc_2pe+1octoh'!A27,"")</f>
        <v>0.400541165787733</v>
      </c>
      <c r="H512" s="1" t="n">
        <f aca="false">IFERROR('dens_visc_2pe+1octoh'!C27,"")</f>
        <v>0.8828</v>
      </c>
      <c r="I512" s="1" t="n">
        <f aca="false">IFERROR('dens_visc_2pe+1octoh'!H27,"")</f>
        <v>0.132611823127888</v>
      </c>
      <c r="J512" s="1" t="n">
        <f aca="false">IFERROR('dens_visc_2pe+1octoh'!C41,"")</f>
        <v>6.46</v>
      </c>
      <c r="K512" s="1" t="str">
        <f aca="false">IF(AND(ISNUMBER(H512),ISNUMBER(I512),ISNUMBER(J512)),"✓",COUNTIF(H512:J512,"&gt;-999")&amp;"/3")</f>
        <v>✓</v>
      </c>
    </row>
    <row r="513" customFormat="false" ht="15" hidden="false" customHeight="true" outlineLevel="0" collapsed="false">
      <c r="A513" s="1" t="s">
        <v>36</v>
      </c>
      <c r="B513" s="1" t="s">
        <v>32</v>
      </c>
      <c r="C513" s="1" t="s">
        <v>33</v>
      </c>
      <c r="D513" s="1" t="s">
        <v>23</v>
      </c>
      <c r="E513" s="1" t="s">
        <v>24</v>
      </c>
      <c r="F513" s="1" t="n">
        <f aca="false">IFERROR('dens_visc_2pe+1octoh'!C22,"")</f>
        <v>30</v>
      </c>
      <c r="G513" s="1" t="n">
        <f aca="false">IFERROR('dens_visc_2pe+1octoh'!A28,"")</f>
        <v>0.500803081101967</v>
      </c>
      <c r="H513" s="1" t="n">
        <f aca="false">IFERROR('dens_visc_2pe+1octoh'!C28,"")</f>
        <v>0.9014</v>
      </c>
      <c r="I513" s="1" t="n">
        <f aca="false">IFERROR('dens_visc_2pe+1octoh'!H28,"")</f>
        <v>0.124456792218609</v>
      </c>
      <c r="J513" s="1" t="n">
        <f aca="false">IFERROR('dens_visc_2pe+1octoh'!C42,"")</f>
        <v>6.671</v>
      </c>
      <c r="K513" s="1" t="str">
        <f aca="false">IF(AND(ISNUMBER(H513),ISNUMBER(I513),ISNUMBER(J513)),"✓",COUNTIF(H513:J513,"&gt;-999")&amp;"/3")</f>
        <v>✓</v>
      </c>
    </row>
    <row r="514" customFormat="false" ht="15" hidden="false" customHeight="true" outlineLevel="0" collapsed="false">
      <c r="A514" s="1" t="s">
        <v>36</v>
      </c>
      <c r="B514" s="1" t="s">
        <v>32</v>
      </c>
      <c r="C514" s="1" t="s">
        <v>33</v>
      </c>
      <c r="D514" s="1" t="s">
        <v>23</v>
      </c>
      <c r="E514" s="1" t="s">
        <v>24</v>
      </c>
      <c r="F514" s="1" t="n">
        <f aca="false">IFERROR('dens_visc_2pe+1octoh'!C22,"")</f>
        <v>30</v>
      </c>
      <c r="G514" s="1" t="n">
        <f aca="false">IFERROR('dens_visc_2pe+1octoh'!A29,"")</f>
        <v>0.600207576515638</v>
      </c>
      <c r="H514" s="1" t="n">
        <f aca="false">IFERROR('dens_visc_2pe+1octoh'!C29,"")</f>
        <v>0.9208</v>
      </c>
      <c r="I514" s="1" t="n">
        <f aca="false">IFERROR('dens_visc_2pe+1octoh'!H29,"")</f>
        <v>0.128744512452272</v>
      </c>
      <c r="J514" s="1" t="n">
        <f aca="false">IFERROR('dens_visc_2pe+1octoh'!C43,"")</f>
        <v>6.767</v>
      </c>
      <c r="K514" s="1" t="str">
        <f aca="false">IF(AND(ISNUMBER(H514),ISNUMBER(I514),ISNUMBER(J514)),"✓",COUNTIF(H514:J514,"&gt;-999")&amp;"/3")</f>
        <v>✓</v>
      </c>
    </row>
    <row r="515" customFormat="false" ht="15" hidden="false" customHeight="true" outlineLevel="0" collapsed="false">
      <c r="A515" s="1" t="s">
        <v>36</v>
      </c>
      <c r="B515" s="1" t="s">
        <v>32</v>
      </c>
      <c r="C515" s="1" t="s">
        <v>33</v>
      </c>
      <c r="D515" s="1" t="s">
        <v>23</v>
      </c>
      <c r="E515" s="1" t="s">
        <v>24</v>
      </c>
      <c r="F515" s="1" t="n">
        <f aca="false">IFERROR('dens_visc_2pe+1octoh'!C22,"")</f>
        <v>30</v>
      </c>
      <c r="G515" s="1" t="n">
        <f aca="false">IFERROR('dens_visc_2pe+1octoh'!A30,"")</f>
        <v>0.701129970086883</v>
      </c>
      <c r="H515" s="1" t="n">
        <f aca="false">IFERROR('dens_visc_2pe+1octoh'!C30,"")</f>
        <v>0.9418</v>
      </c>
      <c r="I515" s="1" t="n">
        <f aca="false">IFERROR('dens_visc_2pe+1octoh'!H30,"")</f>
        <v>0.11098620948286</v>
      </c>
      <c r="J515" s="1" t="n">
        <f aca="false">IFERROR('dens_visc_2pe+1octoh'!C44,"")</f>
        <v>7.119</v>
      </c>
      <c r="K515" s="1" t="str">
        <f aca="false">IF(AND(ISNUMBER(H515),ISNUMBER(I515),ISNUMBER(J515)),"✓",COUNTIF(H515:J515,"&gt;-999")&amp;"/3")</f>
        <v>✓</v>
      </c>
    </row>
    <row r="516" customFormat="false" ht="15" hidden="false" customHeight="true" outlineLevel="0" collapsed="false">
      <c r="A516" s="1" t="s">
        <v>36</v>
      </c>
      <c r="B516" s="1" t="s">
        <v>32</v>
      </c>
      <c r="C516" s="1" t="s">
        <v>33</v>
      </c>
      <c r="D516" s="1" t="s">
        <v>23</v>
      </c>
      <c r="E516" s="1" t="s">
        <v>24</v>
      </c>
      <c r="F516" s="1" t="n">
        <f aca="false">IFERROR('dens_visc_2pe+1octoh'!C22,"")</f>
        <v>30</v>
      </c>
      <c r="G516" s="1" t="n">
        <f aca="false">IFERROR('dens_visc_2pe+1octoh'!A31,"")</f>
        <v>0.799129581162723</v>
      </c>
      <c r="H516" s="1" t="n">
        <f aca="false">IFERROR('dens_visc_2pe+1octoh'!C31,"")</f>
        <v>0.9634</v>
      </c>
      <c r="I516" s="1" t="n">
        <f aca="false">IFERROR('dens_visc_2pe+1octoh'!H31,"")</f>
        <v>0.0953696277267397</v>
      </c>
      <c r="J516" s="1" t="n">
        <f aca="false">IFERROR('dens_visc_2pe+1octoh'!C45,"")</f>
        <v>7.488</v>
      </c>
      <c r="K516" s="1" t="str">
        <f aca="false">IF(AND(ISNUMBER(H516),ISNUMBER(I516),ISNUMBER(J516)),"✓",COUNTIF(H516:J516,"&gt;-999")&amp;"/3")</f>
        <v>✓</v>
      </c>
    </row>
    <row r="517" customFormat="false" ht="15" hidden="false" customHeight="true" outlineLevel="0" collapsed="false">
      <c r="A517" s="1" t="s">
        <v>36</v>
      </c>
      <c r="B517" s="1" t="s">
        <v>32</v>
      </c>
      <c r="C517" s="1" t="s">
        <v>33</v>
      </c>
      <c r="D517" s="1" t="s">
        <v>23</v>
      </c>
      <c r="E517" s="1" t="s">
        <v>24</v>
      </c>
      <c r="F517" s="1" t="n">
        <f aca="false">IFERROR('dens_visc_2pe+1octoh'!C22,"")</f>
        <v>30</v>
      </c>
      <c r="G517" s="1" t="n">
        <f aca="false">IFERROR('dens_visc_2pe+1octoh'!A32,"")</f>
        <v>0.899567661591019</v>
      </c>
      <c r="H517" s="1" t="n">
        <f aca="false">IFERROR('dens_visc_2pe+1octoh'!C32,"")</f>
        <v>0.987</v>
      </c>
      <c r="I517" s="1" t="n">
        <f aca="false">IFERROR('dens_visc_2pe+1octoh'!H32,"")</f>
        <v>0.0666947655996921</v>
      </c>
      <c r="J517" s="1" t="n">
        <f aca="false">IFERROR('dens_visc_2pe+1octoh'!C46,"")</f>
        <v>8.037</v>
      </c>
      <c r="K517" s="1" t="str">
        <f aca="false">IF(AND(ISNUMBER(H517),ISNUMBER(I517),ISNUMBER(J517)),"✓",COUNTIF(H517:J517,"&gt;-999")&amp;"/3")</f>
        <v>✓</v>
      </c>
    </row>
    <row r="518" customFormat="false" ht="15" hidden="false" customHeight="true" outlineLevel="0" collapsed="false">
      <c r="A518" s="1" t="s">
        <v>36</v>
      </c>
      <c r="B518" s="1" t="s">
        <v>32</v>
      </c>
      <c r="C518" s="1" t="s">
        <v>33</v>
      </c>
      <c r="D518" s="1" t="s">
        <v>23</v>
      </c>
      <c r="E518" s="1" t="s">
        <v>24</v>
      </c>
      <c r="F518" s="1" t="n">
        <f aca="false">IFERROR('dens_visc_2pe+1octoh'!C22,"")</f>
        <v>30</v>
      </c>
      <c r="G518" s="1" t="n">
        <f aca="false">IFERROR('dens_visc_2pe+1octoh'!A33,"")</f>
        <v>1</v>
      </c>
      <c r="H518" s="1" t="n">
        <f aca="false">IFERROR('dens_visc_2pe+1octoh'!C33,"")</f>
        <v>1.01244</v>
      </c>
      <c r="I518" s="1" t="n">
        <f aca="false">IFERROR('dens_visc_2pe+1octoh'!H33,"")</f>
        <v>0</v>
      </c>
      <c r="J518" s="1" t="n">
        <f aca="false">IFERROR('dens_visc_2pe+1octoh'!C47,"")</f>
        <v>8.973</v>
      </c>
      <c r="K518" s="1" t="str">
        <f aca="false">IF(AND(ISNUMBER(H518),ISNUMBER(I518),ISNUMBER(J518)),"✓",COUNTIF(H518:J518,"&gt;-999")&amp;"/3")</f>
        <v>✓</v>
      </c>
    </row>
    <row r="519" customFormat="false" ht="15" hidden="false" customHeight="true" outlineLevel="0" collapsed="false">
      <c r="A519" s="1" t="s">
        <v>36</v>
      </c>
      <c r="B519" s="1" t="s">
        <v>32</v>
      </c>
      <c r="C519" s="1" t="s">
        <v>33</v>
      </c>
      <c r="D519" s="1" t="s">
        <v>23</v>
      </c>
      <c r="E519" s="1" t="s">
        <v>24</v>
      </c>
      <c r="F519" s="1" t="n">
        <f aca="false">IFERROR('dens_visc_2pe+1octoh'!D22,"")</f>
        <v>40</v>
      </c>
      <c r="G519" s="1" t="n">
        <f aca="false">IFERROR('dens_visc_2pe+1octoh'!A23,"")</f>
        <v>0</v>
      </c>
      <c r="H519" s="1" t="n">
        <f aca="false">IFERROR('dens_visc_2pe+1octoh'!D23,"")</f>
        <v>0.81141</v>
      </c>
      <c r="I519" s="1" t="n">
        <f aca="false">IFERROR('dens_visc_2pe+1octoh'!I23,"")</f>
        <v>0</v>
      </c>
      <c r="J519" s="1" t="n">
        <f aca="false">IFERROR('dens_visc_2pe+1octoh'!D37,"")</f>
        <v>4.454</v>
      </c>
      <c r="K519" s="1" t="str">
        <f aca="false">IF(AND(ISNUMBER(H519),ISNUMBER(I519),ISNUMBER(J519)),"✓",COUNTIF(H519:J519,"&gt;-999")&amp;"/3")</f>
        <v>✓</v>
      </c>
    </row>
    <row r="520" customFormat="false" ht="15" hidden="false" customHeight="true" outlineLevel="0" collapsed="false">
      <c r="A520" s="1" t="s">
        <v>36</v>
      </c>
      <c r="B520" s="1" t="s">
        <v>32</v>
      </c>
      <c r="C520" s="1" t="s">
        <v>33</v>
      </c>
      <c r="D520" s="1" t="s">
        <v>23</v>
      </c>
      <c r="E520" s="1" t="s">
        <v>24</v>
      </c>
      <c r="F520" s="1" t="n">
        <f aca="false">IFERROR('dens_visc_2pe+1octoh'!D22,"")</f>
        <v>40</v>
      </c>
      <c r="G520" s="1" t="n">
        <f aca="false">IFERROR('dens_visc_2pe+1octoh'!A24,"")</f>
        <v>0.102942036474298</v>
      </c>
      <c r="H520" s="1" t="n">
        <f aca="false">IFERROR('dens_visc_2pe+1octoh'!D24,"")</f>
        <v>0.8264</v>
      </c>
      <c r="I520" s="1" t="n">
        <f aca="false">IFERROR('dens_visc_2pe+1octoh'!I24,"")</f>
        <v>0.0919280036883095</v>
      </c>
      <c r="J520" s="1" t="n">
        <f aca="false">IFERROR('dens_visc_2pe+1octoh'!D38,"")</f>
        <v>4.548</v>
      </c>
      <c r="K520" s="1" t="str">
        <f aca="false">IF(AND(ISNUMBER(H520),ISNUMBER(I520),ISNUMBER(J520)),"✓",COUNTIF(H520:J520,"&gt;-999")&amp;"/3")</f>
        <v>✓</v>
      </c>
    </row>
    <row r="521" customFormat="false" ht="15" hidden="false" customHeight="true" outlineLevel="0" collapsed="false">
      <c r="A521" s="1" t="s">
        <v>36</v>
      </c>
      <c r="B521" s="1" t="s">
        <v>32</v>
      </c>
      <c r="C521" s="1" t="s">
        <v>33</v>
      </c>
      <c r="D521" s="1" t="s">
        <v>23</v>
      </c>
      <c r="E521" s="1" t="s">
        <v>24</v>
      </c>
      <c r="F521" s="1" t="n">
        <f aca="false">IFERROR('dens_visc_2pe+1octoh'!D22,"")</f>
        <v>40</v>
      </c>
      <c r="G521" s="1" t="n">
        <f aca="false">IFERROR('dens_visc_2pe+1octoh'!A25,"")</f>
        <v>0.20060238096856</v>
      </c>
      <c r="H521" s="1" t="n">
        <f aca="false">IFERROR('dens_visc_2pe+1octoh'!D25,"")</f>
        <v>0.8418</v>
      </c>
      <c r="I521" s="1" t="n">
        <f aca="false">IFERROR('dens_visc_2pe+1octoh'!I25,"")</f>
        <v>0.0939539413707848</v>
      </c>
      <c r="J521" s="1" t="n">
        <f aca="false">IFERROR('dens_visc_2pe+1octoh'!D39,"")</f>
        <v>4.561</v>
      </c>
      <c r="K521" s="1" t="str">
        <f aca="false">IF(AND(ISNUMBER(H521),ISNUMBER(I521),ISNUMBER(J521)),"✓",COUNTIF(H521:J521,"&gt;-999")&amp;"/3")</f>
        <v>✓</v>
      </c>
    </row>
    <row r="522" customFormat="false" ht="15" hidden="false" customHeight="true" outlineLevel="0" collapsed="false">
      <c r="A522" s="1" t="s">
        <v>36</v>
      </c>
      <c r="B522" s="1" t="s">
        <v>32</v>
      </c>
      <c r="C522" s="1" t="s">
        <v>33</v>
      </c>
      <c r="D522" s="1" t="s">
        <v>23</v>
      </c>
      <c r="E522" s="1" t="s">
        <v>24</v>
      </c>
      <c r="F522" s="1" t="n">
        <f aca="false">IFERROR('dens_visc_2pe+1octoh'!D22,"")</f>
        <v>40</v>
      </c>
      <c r="G522" s="1" t="n">
        <f aca="false">IFERROR('dens_visc_2pe+1octoh'!A26,"")</f>
        <v>0.303857905301441</v>
      </c>
      <c r="H522" s="1" t="n">
        <f aca="false">IFERROR('dens_visc_2pe+1octoh'!D26,"")</f>
        <v>0.8589</v>
      </c>
      <c r="I522" s="1" t="n">
        <f aca="false">IFERROR('dens_visc_2pe+1octoh'!I26,"")</f>
        <v>0.102700522609069</v>
      </c>
      <c r="J522" s="1" t="n">
        <f aca="false">IFERROR('dens_visc_2pe+1octoh'!D40,"")</f>
        <v>4.577</v>
      </c>
      <c r="K522" s="1" t="str">
        <f aca="false">IF(AND(ISNUMBER(H522),ISNUMBER(I522),ISNUMBER(J522)),"✓",COUNTIF(H522:J522,"&gt;-999")&amp;"/3")</f>
        <v>✓</v>
      </c>
    </row>
    <row r="523" customFormat="false" ht="15" hidden="false" customHeight="true" outlineLevel="0" collapsed="false">
      <c r="A523" s="1" t="s">
        <v>36</v>
      </c>
      <c r="B523" s="1" t="s">
        <v>32</v>
      </c>
      <c r="C523" s="1" t="s">
        <v>33</v>
      </c>
      <c r="D523" s="1" t="s">
        <v>23</v>
      </c>
      <c r="E523" s="1" t="s">
        <v>24</v>
      </c>
      <c r="F523" s="1" t="n">
        <f aca="false">IFERROR('dens_visc_2pe+1octoh'!D22,"")</f>
        <v>40</v>
      </c>
      <c r="G523" s="1" t="n">
        <f aca="false">IFERROR('dens_visc_2pe+1octoh'!A27,"")</f>
        <v>0.400541165787733</v>
      </c>
      <c r="H523" s="1" t="n">
        <f aca="false">IFERROR('dens_visc_2pe+1octoh'!D27,"")</f>
        <v>0.8757</v>
      </c>
      <c r="I523" s="1" t="n">
        <f aca="false">IFERROR('dens_visc_2pe+1octoh'!I27,"")</f>
        <v>0.122371405684447</v>
      </c>
      <c r="J523" s="1" t="n">
        <f aca="false">IFERROR('dens_visc_2pe+1octoh'!D41,"")</f>
        <v>4.624</v>
      </c>
      <c r="K523" s="1" t="str">
        <f aca="false">IF(AND(ISNUMBER(H523),ISNUMBER(I523),ISNUMBER(J523)),"✓",COUNTIF(H523:J523,"&gt;-999")&amp;"/3")</f>
        <v>✓</v>
      </c>
    </row>
    <row r="524" customFormat="false" ht="15" hidden="false" customHeight="true" outlineLevel="0" collapsed="false">
      <c r="A524" s="1" t="s">
        <v>36</v>
      </c>
      <c r="B524" s="1" t="s">
        <v>32</v>
      </c>
      <c r="C524" s="1" t="s">
        <v>33</v>
      </c>
      <c r="D524" s="1" t="s">
        <v>23</v>
      </c>
      <c r="E524" s="1" t="s">
        <v>24</v>
      </c>
      <c r="F524" s="1" t="n">
        <f aca="false">IFERROR('dens_visc_2pe+1octoh'!D22,"")</f>
        <v>40</v>
      </c>
      <c r="G524" s="1" t="n">
        <f aca="false">IFERROR('dens_visc_2pe+1octoh'!A28,"")</f>
        <v>0.500803081101967</v>
      </c>
      <c r="H524" s="1" t="n">
        <f aca="false">IFERROR('dens_visc_2pe+1octoh'!D28,"")</f>
        <v>0.8941</v>
      </c>
      <c r="I524" s="1" t="n">
        <f aca="false">IFERROR('dens_visc_2pe+1octoh'!I28,"")</f>
        <v>0.137009156744057</v>
      </c>
      <c r="J524" s="1" t="n">
        <f aca="false">IFERROR('dens_visc_2pe+1octoh'!D42,"")</f>
        <v>4.8</v>
      </c>
      <c r="K524" s="1" t="str">
        <f aca="false">IF(AND(ISNUMBER(H524),ISNUMBER(I524),ISNUMBER(J524)),"✓",COUNTIF(H524:J524,"&gt;-999")&amp;"/3")</f>
        <v>✓</v>
      </c>
    </row>
    <row r="525" customFormat="false" ht="15" hidden="false" customHeight="true" outlineLevel="0" collapsed="false">
      <c r="A525" s="1" t="s">
        <v>36</v>
      </c>
      <c r="B525" s="1" t="s">
        <v>32</v>
      </c>
      <c r="C525" s="1" t="s">
        <v>33</v>
      </c>
      <c r="D525" s="1" t="s">
        <v>23</v>
      </c>
      <c r="E525" s="1" t="s">
        <v>24</v>
      </c>
      <c r="F525" s="1" t="n">
        <f aca="false">IFERROR('dens_visc_2pe+1octoh'!D22,"")</f>
        <v>40</v>
      </c>
      <c r="G525" s="1" t="n">
        <f aca="false">IFERROR('dens_visc_2pe+1octoh'!A29,"")</f>
        <v>0.600207576515638</v>
      </c>
      <c r="H525" s="1" t="n">
        <f aca="false">IFERROR('dens_visc_2pe+1octoh'!D29,"")</f>
        <v>0.9135</v>
      </c>
      <c r="I525" s="1" t="n">
        <f aca="false">IFERROR('dens_visc_2pe+1octoh'!I29,"")</f>
        <v>0.132278452126599</v>
      </c>
      <c r="J525" s="1" t="n">
        <f aca="false">IFERROR('dens_visc_2pe+1octoh'!D43,"")</f>
        <v>4.838</v>
      </c>
      <c r="K525" s="1" t="str">
        <f aca="false">IF(AND(ISNUMBER(H525),ISNUMBER(I525),ISNUMBER(J525)),"✓",COUNTIF(H525:J525,"&gt;-999")&amp;"/3")</f>
        <v>✓</v>
      </c>
    </row>
    <row r="526" customFormat="false" ht="15" hidden="false" customHeight="true" outlineLevel="0" collapsed="false">
      <c r="A526" s="1" t="s">
        <v>36</v>
      </c>
      <c r="B526" s="1" t="s">
        <v>32</v>
      </c>
      <c r="C526" s="1" t="s">
        <v>33</v>
      </c>
      <c r="D526" s="1" t="s">
        <v>23</v>
      </c>
      <c r="E526" s="1" t="s">
        <v>24</v>
      </c>
      <c r="F526" s="1" t="n">
        <f aca="false">IFERROR('dens_visc_2pe+1octoh'!D22,"")</f>
        <v>40</v>
      </c>
      <c r="G526" s="1" t="n">
        <f aca="false">IFERROR('dens_visc_2pe+1octoh'!A30,"")</f>
        <v>0.701129970086883</v>
      </c>
      <c r="H526" s="1" t="n">
        <f aca="false">IFERROR('dens_visc_2pe+1octoh'!D30,"")</f>
        <v>0.9344</v>
      </c>
      <c r="I526" s="1" t="n">
        <f aca="false">IFERROR('dens_visc_2pe+1octoh'!I30,"")</f>
        <v>0.12034480133272</v>
      </c>
      <c r="J526" s="1" t="n">
        <f aca="false">IFERROR('dens_visc_2pe+1octoh'!D44,"")</f>
        <v>4.999</v>
      </c>
      <c r="K526" s="1" t="str">
        <f aca="false">IF(AND(ISNUMBER(H526),ISNUMBER(I526),ISNUMBER(J526)),"✓",COUNTIF(H526:J526,"&gt;-999")&amp;"/3")</f>
        <v>✓</v>
      </c>
    </row>
    <row r="527" customFormat="false" ht="15" hidden="false" customHeight="true" outlineLevel="0" collapsed="false">
      <c r="A527" s="1" t="s">
        <v>36</v>
      </c>
      <c r="B527" s="1" t="s">
        <v>32</v>
      </c>
      <c r="C527" s="1" t="s">
        <v>33</v>
      </c>
      <c r="D527" s="1" t="s">
        <v>23</v>
      </c>
      <c r="E527" s="1" t="s">
        <v>24</v>
      </c>
      <c r="F527" s="1" t="n">
        <f aca="false">IFERROR('dens_visc_2pe+1octoh'!D22,"")</f>
        <v>40</v>
      </c>
      <c r="G527" s="1" t="n">
        <f aca="false">IFERROR('dens_visc_2pe+1octoh'!A31,"")</f>
        <v>0.799129581162723</v>
      </c>
      <c r="H527" s="1" t="n">
        <f aca="false">IFERROR('dens_visc_2pe+1octoh'!D31,"")</f>
        <v>0.956</v>
      </c>
      <c r="I527" s="1" t="n">
        <f aca="false">IFERROR('dens_visc_2pe+1octoh'!I31,"")</f>
        <v>0.0968905129147117</v>
      </c>
      <c r="J527" s="1" t="n">
        <f aca="false">IFERROR('dens_visc_2pe+1octoh'!D45,"")</f>
        <v>5.205</v>
      </c>
      <c r="K527" s="1" t="str">
        <f aca="false">IF(AND(ISNUMBER(H527),ISNUMBER(I527),ISNUMBER(J527)),"✓",COUNTIF(H527:J527,"&gt;-999")&amp;"/3")</f>
        <v>✓</v>
      </c>
    </row>
    <row r="528" customFormat="false" ht="15" hidden="false" customHeight="true" outlineLevel="0" collapsed="false">
      <c r="A528" s="1" t="s">
        <v>36</v>
      </c>
      <c r="B528" s="1" t="s">
        <v>32</v>
      </c>
      <c r="C528" s="1" t="s">
        <v>33</v>
      </c>
      <c r="D528" s="1" t="s">
        <v>23</v>
      </c>
      <c r="E528" s="1" t="s">
        <v>24</v>
      </c>
      <c r="F528" s="1" t="n">
        <f aca="false">IFERROR('dens_visc_2pe+1octoh'!D22,"")</f>
        <v>40</v>
      </c>
      <c r="G528" s="1" t="n">
        <f aca="false">IFERROR('dens_visc_2pe+1octoh'!A32,"")</f>
        <v>0.899567661591019</v>
      </c>
      <c r="H528" s="1" t="n">
        <f aca="false">IFERROR('dens_visc_2pe+1octoh'!D32,"")</f>
        <v>0.9795</v>
      </c>
      <c r="I528" s="1" t="n">
        <f aca="false">IFERROR('dens_visc_2pe+1octoh'!I32,"")</f>
        <v>0.0739234919361422</v>
      </c>
      <c r="J528" s="1" t="n">
        <f aca="false">IFERROR('dens_visc_2pe+1octoh'!D46,"")</f>
        <v>5.528</v>
      </c>
      <c r="K528" s="1" t="str">
        <f aca="false">IF(AND(ISNUMBER(H528),ISNUMBER(I528),ISNUMBER(J528)),"✓",COUNTIF(H528:J528,"&gt;-999")&amp;"/3")</f>
        <v>✓</v>
      </c>
    </row>
    <row r="529" customFormat="false" ht="15" hidden="false" customHeight="true" outlineLevel="0" collapsed="false">
      <c r="A529" s="1" t="s">
        <v>36</v>
      </c>
      <c r="B529" s="1" t="s">
        <v>32</v>
      </c>
      <c r="C529" s="1" t="s">
        <v>33</v>
      </c>
      <c r="D529" s="1" t="s">
        <v>23</v>
      </c>
      <c r="E529" s="1" t="s">
        <v>24</v>
      </c>
      <c r="F529" s="1" t="n">
        <f aca="false">IFERROR('dens_visc_2pe+1octoh'!D22,"")</f>
        <v>40</v>
      </c>
      <c r="G529" s="1" t="n">
        <f aca="false">IFERROR('dens_visc_2pe+1octoh'!A33,"")</f>
        <v>1</v>
      </c>
      <c r="H529" s="1" t="n">
        <f aca="false">IFERROR('dens_visc_2pe+1octoh'!D33,"")</f>
        <v>1.00494</v>
      </c>
      <c r="I529" s="1" t="n">
        <f aca="false">IFERROR('dens_visc_2pe+1octoh'!I33,"")</f>
        <v>0</v>
      </c>
      <c r="J529" s="1" t="n">
        <f aca="false">IFERROR('dens_visc_2pe+1octoh'!D47,"")</f>
        <v>6.102</v>
      </c>
      <c r="K529" s="1" t="str">
        <f aca="false">IF(AND(ISNUMBER(H529),ISNUMBER(I529),ISNUMBER(J529)),"✓",COUNTIF(H529:J529,"&gt;-999")&amp;"/3")</f>
        <v>✓</v>
      </c>
    </row>
    <row r="530" customFormat="false" ht="15" hidden="false" customHeight="true" outlineLevel="0" collapsed="false">
      <c r="A530" s="1" t="s">
        <v>36</v>
      </c>
      <c r="B530" s="1" t="s">
        <v>32</v>
      </c>
      <c r="C530" s="1" t="s">
        <v>33</v>
      </c>
      <c r="D530" s="1" t="s">
        <v>23</v>
      </c>
      <c r="E530" s="1" t="s">
        <v>24</v>
      </c>
      <c r="F530" s="1" t="n">
        <f aca="false">IFERROR('dens_visc_2pe+1octoh'!E22,"")</f>
        <v>50</v>
      </c>
      <c r="G530" s="1" t="n">
        <f aca="false">IFERROR('dens_visc_2pe+1octoh'!A23,"")</f>
        <v>0</v>
      </c>
      <c r="H530" s="1" t="n">
        <f aca="false">IFERROR('dens_visc_2pe+1octoh'!E23,"")</f>
        <v>0.80433</v>
      </c>
      <c r="I530" s="1" t="n">
        <f aca="false">IFERROR('dens_visc_2pe+1octoh'!J23,"")</f>
        <v>0</v>
      </c>
      <c r="J530" s="1" t="n">
        <f aca="false">IFERROR('dens_visc_2pe+1octoh'!E37,"")</f>
        <v>3.292</v>
      </c>
      <c r="K530" s="1" t="str">
        <f aca="false">IF(AND(ISNUMBER(H530),ISNUMBER(I530),ISNUMBER(J530)),"✓",COUNTIF(H530:J530,"&gt;-999")&amp;"/3")</f>
        <v>✓</v>
      </c>
    </row>
    <row r="531" customFormat="false" ht="15" hidden="false" customHeight="true" outlineLevel="0" collapsed="false">
      <c r="A531" s="1" t="s">
        <v>36</v>
      </c>
      <c r="B531" s="1" t="s">
        <v>32</v>
      </c>
      <c r="C531" s="1" t="s">
        <v>33</v>
      </c>
      <c r="D531" s="1" t="s">
        <v>23</v>
      </c>
      <c r="E531" s="1" t="s">
        <v>24</v>
      </c>
      <c r="F531" s="1" t="n">
        <f aca="false">IFERROR('dens_visc_2pe+1octoh'!E22,"")</f>
        <v>50</v>
      </c>
      <c r="G531" s="1" t="n">
        <f aca="false">IFERROR('dens_visc_2pe+1octoh'!A24,"")</f>
        <v>0.102942036474298</v>
      </c>
      <c r="H531" s="1" t="n">
        <f aca="false">IFERROR('dens_visc_2pe+1octoh'!E24,"")</f>
        <v>0.8192</v>
      </c>
      <c r="I531" s="1" t="n">
        <f aca="false">IFERROR('dens_visc_2pe+1octoh'!J24,"")</f>
        <v>0.105700464377748</v>
      </c>
      <c r="J531" s="1" t="n">
        <f aca="false">IFERROR('dens_visc_2pe+1octoh'!E38,"")</f>
        <v>3.373</v>
      </c>
      <c r="K531" s="1" t="str">
        <f aca="false">IF(AND(ISNUMBER(H531),ISNUMBER(I531),ISNUMBER(J531)),"✓",COUNTIF(H531:J531,"&gt;-999")&amp;"/3")</f>
        <v>✓</v>
      </c>
    </row>
    <row r="532" customFormat="false" ht="15" hidden="false" customHeight="true" outlineLevel="0" collapsed="false">
      <c r="A532" s="1" t="s">
        <v>36</v>
      </c>
      <c r="B532" s="1" t="s">
        <v>32</v>
      </c>
      <c r="C532" s="1" t="s">
        <v>33</v>
      </c>
      <c r="D532" s="1" t="s">
        <v>23</v>
      </c>
      <c r="E532" s="1" t="s">
        <v>24</v>
      </c>
      <c r="F532" s="1" t="n">
        <f aca="false">IFERROR('dens_visc_2pe+1octoh'!E22,"")</f>
        <v>50</v>
      </c>
      <c r="G532" s="1" t="n">
        <f aca="false">IFERROR('dens_visc_2pe+1octoh'!A25,"")</f>
        <v>0.20060238096856</v>
      </c>
      <c r="H532" s="1" t="n">
        <f aca="false">IFERROR('dens_visc_2pe+1octoh'!E25,"")</f>
        <v>0.8346</v>
      </c>
      <c r="I532" s="1" t="n">
        <f aca="false">IFERROR('dens_visc_2pe+1octoh'!J25,"")</f>
        <v>0.0972905053485249</v>
      </c>
      <c r="J532" s="1" t="n">
        <f aca="false">IFERROR('dens_visc_2pe+1octoh'!E39,"")</f>
        <v>3.37</v>
      </c>
      <c r="K532" s="1" t="str">
        <f aca="false">IF(AND(ISNUMBER(H532),ISNUMBER(I532),ISNUMBER(J532)),"✓",COUNTIF(H532:J532,"&gt;-999")&amp;"/3")</f>
        <v>✓</v>
      </c>
    </row>
    <row r="533" customFormat="false" ht="15" hidden="false" customHeight="true" outlineLevel="0" collapsed="false">
      <c r="A533" s="1" t="s">
        <v>36</v>
      </c>
      <c r="B533" s="1" t="s">
        <v>32</v>
      </c>
      <c r="C533" s="1" t="s">
        <v>33</v>
      </c>
      <c r="D533" s="1" t="s">
        <v>23</v>
      </c>
      <c r="E533" s="1" t="s">
        <v>24</v>
      </c>
      <c r="F533" s="1" t="n">
        <f aca="false">IFERROR('dens_visc_2pe+1octoh'!E22,"")</f>
        <v>50</v>
      </c>
      <c r="G533" s="1" t="n">
        <f aca="false">IFERROR('dens_visc_2pe+1octoh'!A26,"")</f>
        <v>0.303857905301441</v>
      </c>
      <c r="H533" s="1" t="n">
        <f aca="false">IFERROR('dens_visc_2pe+1octoh'!E26,"")</f>
        <v>0.8516</v>
      </c>
      <c r="I533" s="1" t="n">
        <f aca="false">IFERROR('dens_visc_2pe+1octoh'!J26,"")</f>
        <v>0.113758155981316</v>
      </c>
      <c r="J533" s="1" t="n">
        <f aca="false">IFERROR('dens_visc_2pe+1octoh'!E40,"")</f>
        <v>3.369</v>
      </c>
      <c r="K533" s="1" t="str">
        <f aca="false">IF(AND(ISNUMBER(H533),ISNUMBER(I533),ISNUMBER(J533)),"✓",COUNTIF(H533:J533,"&gt;-999")&amp;"/3")</f>
        <v>✓</v>
      </c>
    </row>
    <row r="534" customFormat="false" ht="15" hidden="false" customHeight="true" outlineLevel="0" collapsed="false">
      <c r="A534" s="1" t="s">
        <v>36</v>
      </c>
      <c r="B534" s="1" t="s">
        <v>32</v>
      </c>
      <c r="C534" s="1" t="s">
        <v>33</v>
      </c>
      <c r="D534" s="1" t="s">
        <v>23</v>
      </c>
      <c r="E534" s="1" t="s">
        <v>24</v>
      </c>
      <c r="F534" s="1" t="n">
        <f aca="false">IFERROR('dens_visc_2pe+1octoh'!E22,"")</f>
        <v>50</v>
      </c>
      <c r="G534" s="1" t="n">
        <f aca="false">IFERROR('dens_visc_2pe+1octoh'!A27,"")</f>
        <v>0.400541165787733</v>
      </c>
      <c r="H534" s="1" t="n">
        <f aca="false">IFERROR('dens_visc_2pe+1octoh'!E27,"")</f>
        <v>0.8684</v>
      </c>
      <c r="I534" s="1" t="n">
        <f aca="false">IFERROR('dens_visc_2pe+1octoh'!J27,"")</f>
        <v>0.12454468843481</v>
      </c>
      <c r="J534" s="1" t="n">
        <f aca="false">IFERROR('dens_visc_2pe+1octoh'!E41,"")</f>
        <v>3.404</v>
      </c>
      <c r="K534" s="1" t="str">
        <f aca="false">IF(AND(ISNUMBER(H534),ISNUMBER(I534),ISNUMBER(J534)),"✓",COUNTIF(H534:J534,"&gt;-999")&amp;"/3")</f>
        <v>✓</v>
      </c>
    </row>
    <row r="535" customFormat="false" ht="15" hidden="false" customHeight="true" outlineLevel="0" collapsed="false">
      <c r="A535" s="1" t="s">
        <v>36</v>
      </c>
      <c r="B535" s="1" t="s">
        <v>32</v>
      </c>
      <c r="C535" s="1" t="s">
        <v>33</v>
      </c>
      <c r="D535" s="1" t="s">
        <v>23</v>
      </c>
      <c r="E535" s="1" t="s">
        <v>24</v>
      </c>
      <c r="F535" s="1" t="n">
        <f aca="false">IFERROR('dens_visc_2pe+1octoh'!E22,"")</f>
        <v>50</v>
      </c>
      <c r="G535" s="1" t="n">
        <f aca="false">IFERROR('dens_visc_2pe+1octoh'!A28,"")</f>
        <v>0.500803081101967</v>
      </c>
      <c r="H535" s="1" t="n">
        <f aca="false">IFERROR('dens_visc_2pe+1octoh'!E28,"")</f>
        <v>0.8868</v>
      </c>
      <c r="I535" s="1" t="n">
        <f aca="false">IFERROR('dens_visc_2pe+1octoh'!J28,"")</f>
        <v>0.130888513714524</v>
      </c>
      <c r="J535" s="1" t="n">
        <f aca="false">IFERROR('dens_visc_2pe+1octoh'!E42,"")</f>
        <v>3.496</v>
      </c>
      <c r="K535" s="1" t="str">
        <f aca="false">IF(AND(ISNUMBER(H535),ISNUMBER(I535),ISNUMBER(J535)),"✓",COUNTIF(H535:J535,"&gt;-999")&amp;"/3")</f>
        <v>✓</v>
      </c>
    </row>
    <row r="536" customFormat="false" ht="15" hidden="false" customHeight="true" outlineLevel="0" collapsed="false">
      <c r="A536" s="1" t="s">
        <v>36</v>
      </c>
      <c r="B536" s="1" t="s">
        <v>32</v>
      </c>
      <c r="C536" s="1" t="s">
        <v>33</v>
      </c>
      <c r="D536" s="1" t="s">
        <v>23</v>
      </c>
      <c r="E536" s="1" t="s">
        <v>24</v>
      </c>
      <c r="F536" s="1" t="n">
        <f aca="false">IFERROR('dens_visc_2pe+1octoh'!E22,"")</f>
        <v>50</v>
      </c>
      <c r="G536" s="1" t="n">
        <f aca="false">IFERROR('dens_visc_2pe+1octoh'!A29,"")</f>
        <v>0.600207576515638</v>
      </c>
      <c r="H536" s="1" t="n">
        <f aca="false">IFERROR('dens_visc_2pe+1octoh'!E29,"")</f>
        <v>0.9061</v>
      </c>
      <c r="I536" s="1" t="n">
        <f aca="false">IFERROR('dens_visc_2pe+1octoh'!J29,"")</f>
        <v>0.133936596119753</v>
      </c>
      <c r="J536" s="1" t="n">
        <f aca="false">IFERROR('dens_visc_2pe+1octoh'!E43,"")</f>
        <v>3.529</v>
      </c>
      <c r="K536" s="1" t="str">
        <f aca="false">IF(AND(ISNUMBER(H536),ISNUMBER(I536),ISNUMBER(J536)),"✓",COUNTIF(H536:J536,"&gt;-999")&amp;"/3")</f>
        <v>✓</v>
      </c>
    </row>
    <row r="537" customFormat="false" ht="15" hidden="false" customHeight="true" outlineLevel="0" collapsed="false">
      <c r="A537" s="1" t="s">
        <v>36</v>
      </c>
      <c r="B537" s="1" t="s">
        <v>32</v>
      </c>
      <c r="C537" s="1" t="s">
        <v>33</v>
      </c>
      <c r="D537" s="1" t="s">
        <v>23</v>
      </c>
      <c r="E537" s="1" t="s">
        <v>24</v>
      </c>
      <c r="F537" s="1" t="n">
        <f aca="false">IFERROR('dens_visc_2pe+1octoh'!E22,"")</f>
        <v>50</v>
      </c>
      <c r="G537" s="1" t="n">
        <f aca="false">IFERROR('dens_visc_2pe+1octoh'!A30,"")</f>
        <v>0.701129970086883</v>
      </c>
      <c r="H537" s="1" t="n">
        <f aca="false">IFERROR('dens_visc_2pe+1octoh'!E30,"")</f>
        <v>0.927</v>
      </c>
      <c r="I537" s="1" t="n">
        <f aca="false">IFERROR('dens_visc_2pe+1octoh'!J30,"")</f>
        <v>0.114605035816794</v>
      </c>
      <c r="J537" s="1" t="n">
        <f aca="false">IFERROR('dens_visc_2pe+1octoh'!E44,"")</f>
        <v>3.648</v>
      </c>
      <c r="K537" s="1" t="str">
        <f aca="false">IF(AND(ISNUMBER(H537),ISNUMBER(I537),ISNUMBER(J537)),"✓",COUNTIF(H537:J537,"&gt;-999")&amp;"/3")</f>
        <v>✓</v>
      </c>
    </row>
    <row r="538" customFormat="false" ht="15" hidden="false" customHeight="true" outlineLevel="0" collapsed="false">
      <c r="A538" s="1" t="s">
        <v>36</v>
      </c>
      <c r="B538" s="1" t="s">
        <v>32</v>
      </c>
      <c r="C538" s="1" t="s">
        <v>33</v>
      </c>
      <c r="D538" s="1" t="s">
        <v>23</v>
      </c>
      <c r="E538" s="1" t="s">
        <v>24</v>
      </c>
      <c r="F538" s="1" t="n">
        <f aca="false">IFERROR('dens_visc_2pe+1octoh'!E22,"")</f>
        <v>50</v>
      </c>
      <c r="G538" s="1" t="n">
        <f aca="false">IFERROR('dens_visc_2pe+1octoh'!A31,"")</f>
        <v>0.799129581162723</v>
      </c>
      <c r="H538" s="1" t="n">
        <f aca="false">IFERROR('dens_visc_2pe+1octoh'!E31,"")</f>
        <v>0.9485</v>
      </c>
      <c r="I538" s="1" t="n">
        <f aca="false">IFERROR('dens_visc_2pe+1octoh'!J31,"")</f>
        <v>0.0986358953443585</v>
      </c>
      <c r="J538" s="1" t="n">
        <f aca="false">IFERROR('dens_visc_2pe+1octoh'!E45,"")</f>
        <v>3.781</v>
      </c>
      <c r="K538" s="1" t="str">
        <f aca="false">IF(AND(ISNUMBER(H538),ISNUMBER(I538),ISNUMBER(J538)),"✓",COUNTIF(H538:J538,"&gt;-999")&amp;"/3")</f>
        <v>✓</v>
      </c>
    </row>
    <row r="539" customFormat="false" ht="15" hidden="false" customHeight="true" outlineLevel="0" collapsed="false">
      <c r="A539" s="1" t="s">
        <v>36</v>
      </c>
      <c r="B539" s="1" t="s">
        <v>32</v>
      </c>
      <c r="C539" s="1" t="s">
        <v>33</v>
      </c>
      <c r="D539" s="1" t="s">
        <v>23</v>
      </c>
      <c r="E539" s="1" t="s">
        <v>24</v>
      </c>
      <c r="F539" s="1" t="n">
        <f aca="false">IFERROR('dens_visc_2pe+1octoh'!E22,"")</f>
        <v>50</v>
      </c>
      <c r="G539" s="1" t="n">
        <f aca="false">IFERROR('dens_visc_2pe+1octoh'!A32,"")</f>
        <v>0.899567661591019</v>
      </c>
      <c r="H539" s="1" t="n">
        <f aca="false">IFERROR('dens_visc_2pe+1octoh'!E32,"")</f>
        <v>0.9719</v>
      </c>
      <c r="I539" s="1" t="n">
        <f aca="false">IFERROR('dens_visc_2pe+1octoh'!J32,"")</f>
        <v>0.0826836068152375</v>
      </c>
      <c r="J539" s="1" t="n">
        <f aca="false">IFERROR('dens_visc_2pe+1octoh'!E46,"")</f>
        <v>3.997</v>
      </c>
      <c r="K539" s="1" t="str">
        <f aca="false">IF(AND(ISNUMBER(H539),ISNUMBER(I539),ISNUMBER(J539)),"✓",COUNTIF(H539:J539,"&gt;-999")&amp;"/3")</f>
        <v>✓</v>
      </c>
    </row>
    <row r="540" customFormat="false" ht="15" hidden="false" customHeight="true" outlineLevel="0" collapsed="false">
      <c r="A540" s="1" t="s">
        <v>36</v>
      </c>
      <c r="B540" s="1" t="s">
        <v>32</v>
      </c>
      <c r="C540" s="1" t="s">
        <v>33</v>
      </c>
      <c r="D540" s="1" t="s">
        <v>23</v>
      </c>
      <c r="E540" s="1" t="s">
        <v>24</v>
      </c>
      <c r="F540" s="1" t="n">
        <f aca="false">IFERROR('dens_visc_2pe+1octoh'!E22,"")</f>
        <v>50</v>
      </c>
      <c r="G540" s="1" t="n">
        <f aca="false">IFERROR('dens_visc_2pe+1octoh'!A33,"")</f>
        <v>1</v>
      </c>
      <c r="H540" s="1" t="n">
        <f aca="false">IFERROR('dens_visc_2pe+1octoh'!E33,"")</f>
        <v>0.99736</v>
      </c>
      <c r="I540" s="1" t="n">
        <f aca="false">IFERROR('dens_visc_2pe+1octoh'!J33,"")</f>
        <v>0</v>
      </c>
      <c r="J540" s="1" t="n">
        <f aca="false">IFERROR('dens_visc_2pe+1octoh'!E47,"")</f>
        <v>4.368</v>
      </c>
      <c r="K540" s="1" t="str">
        <f aca="false">IF(AND(ISNUMBER(H540),ISNUMBER(I540),ISNUMBER(J540)),"✓",COUNTIF(H540:J540,"&gt;-999")&amp;"/3")</f>
        <v>✓</v>
      </c>
    </row>
    <row r="541" customFormat="false" ht="15" hidden="false" customHeight="true" outlineLevel="0" collapsed="false">
      <c r="A541" s="1" t="s">
        <v>36</v>
      </c>
      <c r="B541" s="1" t="s">
        <v>32</v>
      </c>
      <c r="C541" s="1" t="s">
        <v>33</v>
      </c>
      <c r="D541" s="1" t="s">
        <v>23</v>
      </c>
      <c r="E541" s="1" t="s">
        <v>24</v>
      </c>
      <c r="F541" s="1" t="n">
        <f aca="false">IFERROR('dens_visc_2pe+1octoh'!F22,"")</f>
        <v>60</v>
      </c>
      <c r="G541" s="1" t="n">
        <f aca="false">IFERROR('dens_visc_2pe+1octoh'!A23,"")</f>
        <v>0</v>
      </c>
      <c r="H541" s="1" t="n">
        <f aca="false">IFERROR('dens_visc_2pe+1octoh'!F23,"")</f>
        <v>0.79719</v>
      </c>
      <c r="I541" s="1" t="n">
        <f aca="false">IFERROR('dens_visc_2pe+1octoh'!K23,"")</f>
        <v>0</v>
      </c>
      <c r="J541" s="1" t="n">
        <f aca="false">IFERROR('dens_visc_2pe+1octoh'!F37,"")</f>
        <v>2.511</v>
      </c>
      <c r="K541" s="1" t="str">
        <f aca="false">IF(AND(ISNUMBER(H541),ISNUMBER(I541),ISNUMBER(J541)),"✓",COUNTIF(H541:J541,"&gt;-999")&amp;"/3")</f>
        <v>✓</v>
      </c>
    </row>
    <row r="542" customFormat="false" ht="15" hidden="false" customHeight="true" outlineLevel="0" collapsed="false">
      <c r="A542" s="1" t="s">
        <v>36</v>
      </c>
      <c r="B542" s="1" t="s">
        <v>32</v>
      </c>
      <c r="C542" s="1" t="s">
        <v>33</v>
      </c>
      <c r="D542" s="1" t="s">
        <v>23</v>
      </c>
      <c r="E542" s="1" t="s">
        <v>24</v>
      </c>
      <c r="F542" s="1" t="n">
        <f aca="false">IFERROR('dens_visc_2pe+1octoh'!F22,"")</f>
        <v>60</v>
      </c>
      <c r="G542" s="1" t="n">
        <f aca="false">IFERROR('dens_visc_2pe+1octoh'!A24,"")</f>
        <v>0.102942036474298</v>
      </c>
      <c r="H542" s="1" t="n">
        <f aca="false">IFERROR('dens_visc_2pe+1octoh'!F24,"")</f>
        <v>0.8119</v>
      </c>
      <c r="I542" s="1" t="n">
        <f aca="false">IFERROR('dens_visc_2pe+1octoh'!K24,"")</f>
        <v>0.127484897727953</v>
      </c>
      <c r="J542" s="1" t="n">
        <f aca="false">IFERROR('dens_visc_2pe+1octoh'!F38,"")</f>
        <v>2.585</v>
      </c>
      <c r="K542" s="1" t="str">
        <f aca="false">IF(AND(ISNUMBER(H542),ISNUMBER(I542),ISNUMBER(J542)),"✓",COUNTIF(H542:J542,"&gt;-999")&amp;"/3")</f>
        <v>✓</v>
      </c>
    </row>
    <row r="543" customFormat="false" ht="15" hidden="false" customHeight="true" outlineLevel="0" collapsed="false">
      <c r="A543" s="1" t="s">
        <v>36</v>
      </c>
      <c r="B543" s="1" t="s">
        <v>32</v>
      </c>
      <c r="C543" s="1" t="s">
        <v>33</v>
      </c>
      <c r="D543" s="1" t="s">
        <v>23</v>
      </c>
      <c r="E543" s="1" t="s">
        <v>24</v>
      </c>
      <c r="F543" s="1" t="n">
        <f aca="false">IFERROR('dens_visc_2pe+1octoh'!F22,"")</f>
        <v>60</v>
      </c>
      <c r="G543" s="1" t="n">
        <f aca="false">IFERROR('dens_visc_2pe+1octoh'!A25,"")</f>
        <v>0.20060238096856</v>
      </c>
      <c r="H543" s="1" t="n">
        <f aca="false">IFERROR('dens_visc_2pe+1octoh'!F25,"")</f>
        <v>0.8273</v>
      </c>
      <c r="I543" s="1" t="n">
        <f aca="false">IFERROR('dens_visc_2pe+1octoh'!K25,"")</f>
        <v>0.107628110819178</v>
      </c>
      <c r="J543" s="1" t="n">
        <f aca="false">IFERROR('dens_visc_2pe+1octoh'!F39,"")</f>
        <v>2.576</v>
      </c>
      <c r="K543" s="1" t="str">
        <f aca="false">IF(AND(ISNUMBER(H543),ISNUMBER(I543),ISNUMBER(J543)),"✓",COUNTIF(H543:J543,"&gt;-999")&amp;"/3")</f>
        <v>✓</v>
      </c>
    </row>
    <row r="544" customFormat="false" ht="15" hidden="false" customHeight="true" outlineLevel="0" collapsed="false">
      <c r="A544" s="1" t="s">
        <v>36</v>
      </c>
      <c r="B544" s="1" t="s">
        <v>32</v>
      </c>
      <c r="C544" s="1" t="s">
        <v>33</v>
      </c>
      <c r="D544" s="1" t="s">
        <v>23</v>
      </c>
      <c r="E544" s="1" t="s">
        <v>24</v>
      </c>
      <c r="F544" s="1" t="n">
        <f aca="false">IFERROR('dens_visc_2pe+1octoh'!F22,"")</f>
        <v>60</v>
      </c>
      <c r="G544" s="1" t="n">
        <f aca="false">IFERROR('dens_visc_2pe+1octoh'!A26,"")</f>
        <v>0.303857905301441</v>
      </c>
      <c r="H544" s="1" t="n">
        <f aca="false">IFERROR('dens_visc_2pe+1octoh'!F26,"")</f>
        <v>0.8442</v>
      </c>
      <c r="I544" s="1" t="n">
        <f aca="false">IFERROR('dens_visc_2pe+1octoh'!K26,"")</f>
        <v>0.131437990985262</v>
      </c>
      <c r="J544" s="1" t="n">
        <f aca="false">IFERROR('dens_visc_2pe+1octoh'!F40,"")</f>
        <v>2.564</v>
      </c>
      <c r="K544" s="1" t="str">
        <f aca="false">IF(AND(ISNUMBER(H544),ISNUMBER(I544),ISNUMBER(J544)),"✓",COUNTIF(H544:J544,"&gt;-999")&amp;"/3")</f>
        <v>✓</v>
      </c>
    </row>
    <row r="545" customFormat="false" ht="15" hidden="false" customHeight="true" outlineLevel="0" collapsed="false">
      <c r="A545" s="1" t="s">
        <v>36</v>
      </c>
      <c r="B545" s="1" t="s">
        <v>32</v>
      </c>
      <c r="C545" s="1" t="s">
        <v>33</v>
      </c>
      <c r="D545" s="1" t="s">
        <v>23</v>
      </c>
      <c r="E545" s="1" t="s">
        <v>24</v>
      </c>
      <c r="F545" s="1" t="n">
        <f aca="false">IFERROR('dens_visc_2pe+1octoh'!F22,"")</f>
        <v>60</v>
      </c>
      <c r="G545" s="1" t="n">
        <f aca="false">IFERROR('dens_visc_2pe+1octoh'!A27,"")</f>
        <v>0.400541165787733</v>
      </c>
      <c r="H545" s="1" t="n">
        <f aca="false">IFERROR('dens_visc_2pe+1octoh'!F27,"")</f>
        <v>0.8609</v>
      </c>
      <c r="I545" s="1" t="n">
        <f aca="false">IFERROR('dens_visc_2pe+1octoh'!K27,"")</f>
        <v>0.149575124841476</v>
      </c>
      <c r="J545" s="1" t="n">
        <f aca="false">IFERROR('dens_visc_2pe+1octoh'!F41,"")</f>
        <v>2.612</v>
      </c>
      <c r="K545" s="1" t="str">
        <f aca="false">IF(AND(ISNUMBER(H545),ISNUMBER(I545),ISNUMBER(J545)),"✓",COUNTIF(H545:J545,"&gt;-999")&amp;"/3")</f>
        <v>✓</v>
      </c>
    </row>
    <row r="546" customFormat="false" ht="15" hidden="false" customHeight="true" outlineLevel="0" collapsed="false">
      <c r="A546" s="1" t="s">
        <v>36</v>
      </c>
      <c r="B546" s="1" t="s">
        <v>32</v>
      </c>
      <c r="C546" s="1" t="s">
        <v>33</v>
      </c>
      <c r="D546" s="1" t="s">
        <v>23</v>
      </c>
      <c r="E546" s="1" t="s">
        <v>24</v>
      </c>
      <c r="F546" s="1" t="n">
        <f aca="false">IFERROR('dens_visc_2pe+1octoh'!F22,"")</f>
        <v>60</v>
      </c>
      <c r="G546" s="1" t="n">
        <f aca="false">IFERROR('dens_visc_2pe+1octoh'!A28,"")</f>
        <v>0.500803081101967</v>
      </c>
      <c r="H546" s="1" t="n">
        <f aca="false">IFERROR('dens_visc_2pe+1octoh'!F28,"")</f>
        <v>0.8793</v>
      </c>
      <c r="I546" s="1" t="n">
        <f aca="false">IFERROR('dens_visc_2pe+1octoh'!K28,"")</f>
        <v>0.145942602343865</v>
      </c>
      <c r="J546" s="1" t="n">
        <f aca="false">IFERROR('dens_visc_2pe+1octoh'!F42,"")</f>
        <v>2.625</v>
      </c>
      <c r="K546" s="1" t="str">
        <f aca="false">IF(AND(ISNUMBER(H546),ISNUMBER(I546),ISNUMBER(J546)),"✓",COUNTIF(H546:J546,"&gt;-999")&amp;"/3")</f>
        <v>✓</v>
      </c>
    </row>
    <row r="547" customFormat="false" ht="15" hidden="false" customHeight="true" outlineLevel="0" collapsed="false">
      <c r="A547" s="1" t="s">
        <v>36</v>
      </c>
      <c r="B547" s="1" t="s">
        <v>32</v>
      </c>
      <c r="C547" s="1" t="s">
        <v>33</v>
      </c>
      <c r="D547" s="1" t="s">
        <v>23</v>
      </c>
      <c r="E547" s="1" t="s">
        <v>24</v>
      </c>
      <c r="F547" s="1" t="n">
        <f aca="false">IFERROR('dens_visc_2pe+1octoh'!F22,"")</f>
        <v>60</v>
      </c>
      <c r="G547" s="1" t="n">
        <f aca="false">IFERROR('dens_visc_2pe+1octoh'!A29,"")</f>
        <v>0.600207576515638</v>
      </c>
      <c r="H547" s="1" t="n">
        <f aca="false">IFERROR('dens_visc_2pe+1octoh'!F29,"")</f>
        <v>0.8986</v>
      </c>
      <c r="I547" s="1" t="n">
        <f aca="false">IFERROR('dens_visc_2pe+1octoh'!K29,"")</f>
        <v>0.140153664275346</v>
      </c>
      <c r="J547" s="1" t="n">
        <f aca="false">IFERROR('dens_visc_2pe+1octoh'!F43,"")</f>
        <v>2.679</v>
      </c>
      <c r="K547" s="1" t="str">
        <f aca="false">IF(AND(ISNUMBER(H547),ISNUMBER(I547),ISNUMBER(J547)),"✓",COUNTIF(H547:J547,"&gt;-999")&amp;"/3")</f>
        <v>✓</v>
      </c>
    </row>
    <row r="548" customFormat="false" ht="15" hidden="false" customHeight="true" outlineLevel="0" collapsed="false">
      <c r="A548" s="1" t="s">
        <v>36</v>
      </c>
      <c r="B548" s="1" t="s">
        <v>32</v>
      </c>
      <c r="C548" s="1" t="s">
        <v>33</v>
      </c>
      <c r="D548" s="1" t="s">
        <v>23</v>
      </c>
      <c r="E548" s="1" t="s">
        <v>24</v>
      </c>
      <c r="F548" s="1" t="n">
        <f aca="false">IFERROR('dens_visc_2pe+1octoh'!F22,"")</f>
        <v>60</v>
      </c>
      <c r="G548" s="1" t="n">
        <f aca="false">IFERROR('dens_visc_2pe+1octoh'!A30,"")</f>
        <v>0.701129970086883</v>
      </c>
      <c r="H548" s="1" t="n">
        <f aca="false">IFERROR('dens_visc_2pe+1octoh'!F30,"")</f>
        <v>0.9194</v>
      </c>
      <c r="I548" s="1" t="n">
        <f aca="false">IFERROR('dens_visc_2pe+1octoh'!K30,"")</f>
        <v>0.127371066219581</v>
      </c>
      <c r="J548" s="1" t="n">
        <f aca="false">IFERROR('dens_visc_2pe+1octoh'!F44,"")</f>
        <v>2.783</v>
      </c>
      <c r="K548" s="1" t="str">
        <f aca="false">IF(AND(ISNUMBER(H548),ISNUMBER(I548),ISNUMBER(J548)),"✓",COUNTIF(H548:J548,"&gt;-999")&amp;"/3")</f>
        <v>✓</v>
      </c>
    </row>
    <row r="549" customFormat="false" ht="15" hidden="false" customHeight="true" outlineLevel="0" collapsed="false">
      <c r="A549" s="1" t="s">
        <v>36</v>
      </c>
      <c r="B549" s="1" t="s">
        <v>32</v>
      </c>
      <c r="C549" s="1" t="s">
        <v>33</v>
      </c>
      <c r="D549" s="1" t="s">
        <v>23</v>
      </c>
      <c r="E549" s="1" t="s">
        <v>24</v>
      </c>
      <c r="F549" s="1" t="n">
        <f aca="false">IFERROR('dens_visc_2pe+1octoh'!F22,"")</f>
        <v>60</v>
      </c>
      <c r="G549" s="1" t="n">
        <f aca="false">IFERROR('dens_visc_2pe+1octoh'!A31,"")</f>
        <v>0.799129581162723</v>
      </c>
      <c r="H549" s="1" t="n">
        <f aca="false">IFERROR('dens_visc_2pe+1octoh'!F31,"")</f>
        <v>0.9408</v>
      </c>
      <c r="I549" s="1" t="n">
        <f aca="false">IFERROR('dens_visc_2pe+1octoh'!K31,"")</f>
        <v>0.117874908596718</v>
      </c>
      <c r="J549" s="1" t="n">
        <f aca="false">IFERROR('dens_visc_2pe+1octoh'!F45,"")</f>
        <v>2.862</v>
      </c>
      <c r="K549" s="1" t="str">
        <f aca="false">IF(AND(ISNUMBER(H549),ISNUMBER(I549),ISNUMBER(J549)),"✓",COUNTIF(H549:J549,"&gt;-999")&amp;"/3")</f>
        <v>✓</v>
      </c>
    </row>
    <row r="550" customFormat="false" ht="15" hidden="false" customHeight="true" outlineLevel="0" collapsed="false">
      <c r="A550" s="1" t="s">
        <v>36</v>
      </c>
      <c r="B550" s="1" t="s">
        <v>32</v>
      </c>
      <c r="C550" s="1" t="s">
        <v>33</v>
      </c>
      <c r="D550" s="1" t="s">
        <v>23</v>
      </c>
      <c r="E550" s="1" t="s">
        <v>24</v>
      </c>
      <c r="F550" s="1" t="n">
        <f aca="false">IFERROR('dens_visc_2pe+1octoh'!F22,"")</f>
        <v>60</v>
      </c>
      <c r="G550" s="1" t="n">
        <f aca="false">IFERROR('dens_visc_2pe+1octoh'!A32,"")</f>
        <v>0.899567661591019</v>
      </c>
      <c r="H550" s="1" t="n">
        <f aca="false">IFERROR('dens_visc_2pe+1octoh'!F32,"")</f>
        <v>0.9643</v>
      </c>
      <c r="I550" s="1" t="n">
        <f aca="false">IFERROR('dens_visc_2pe+1octoh'!K32,"")</f>
        <v>0.0814598309016645</v>
      </c>
      <c r="J550" s="1" t="n">
        <f aca="false">IFERROR('dens_visc_2pe+1octoh'!F46,"")</f>
        <v>3.002</v>
      </c>
      <c r="K550" s="1" t="str">
        <f aca="false">IF(AND(ISNUMBER(H550),ISNUMBER(I550),ISNUMBER(J550)),"✓",COUNTIF(H550:J550,"&gt;-999")&amp;"/3")</f>
        <v>✓</v>
      </c>
    </row>
    <row r="551" customFormat="false" ht="15" hidden="false" customHeight="true" outlineLevel="0" collapsed="false">
      <c r="A551" s="1" t="s">
        <v>36</v>
      </c>
      <c r="B551" s="1" t="s">
        <v>32</v>
      </c>
      <c r="C551" s="1" t="s">
        <v>33</v>
      </c>
      <c r="D551" s="1" t="s">
        <v>23</v>
      </c>
      <c r="E551" s="1" t="s">
        <v>24</v>
      </c>
      <c r="F551" s="1" t="n">
        <f aca="false">IFERROR('dens_visc_2pe+1octoh'!F22,"")</f>
        <v>60</v>
      </c>
      <c r="G551" s="1" t="n">
        <f aca="false">IFERROR('dens_visc_2pe+1octoh'!A33,"")</f>
        <v>1</v>
      </c>
      <c r="H551" s="1" t="n">
        <f aca="false">IFERROR('dens_visc_2pe+1octoh'!F33,"")</f>
        <v>0.9897</v>
      </c>
      <c r="I551" s="1" t="n">
        <f aca="false">IFERROR('dens_visc_2pe+1octoh'!K33,"")</f>
        <v>0</v>
      </c>
      <c r="J551" s="1" t="n">
        <f aca="false">IFERROR('dens_visc_2pe+1octoh'!F47,"")</f>
        <v>3.252</v>
      </c>
      <c r="K551" s="1" t="str">
        <f aca="false">IF(AND(ISNUMBER(H551),ISNUMBER(I551),ISNUMBER(J551)),"✓",COUNTIF(H551:J551,"&gt;-999")&amp;"/3")</f>
        <v>✓</v>
      </c>
    </row>
    <row r="552" customFormat="false" ht="15" hidden="false" customHeight="true" outlineLevel="0" collapsed="false">
      <c r="A552" s="1" t="s">
        <v>37</v>
      </c>
      <c r="B552" s="1" t="s">
        <v>32</v>
      </c>
      <c r="C552" s="1" t="s">
        <v>33</v>
      </c>
      <c r="D552" s="1" t="s">
        <v>26</v>
      </c>
      <c r="E552" s="1" t="s">
        <v>27</v>
      </c>
      <c r="F552" s="1" t="n">
        <f aca="false">IFERROR('dens_visc_2pe+mibk'!B22,"")</f>
        <v>20</v>
      </c>
      <c r="G552" s="1" t="n">
        <f aca="false">IFERROR('dens_visc_2pe+mibk'!A23,"")</f>
        <v>0</v>
      </c>
      <c r="H552" s="4" t="n">
        <f aca="false">IFERROR('dens_visc_2pe+mibk'!B23,"")</f>
        <v>0.80143</v>
      </c>
      <c r="I552" s="1" t="n">
        <f aca="false">IFERROR('dens_visc_2pe+mibk'!G23,"")</f>
        <v>0</v>
      </c>
      <c r="J552" s="5" t="n">
        <f aca="false">IFERROR('dens_visc_2pe+mibk'!B37,"")</f>
        <v>0.58507</v>
      </c>
      <c r="K552" s="1" t="str">
        <f aca="false">IF(AND(ISNUMBER(H552),ISNUMBER(I552),ISNUMBER(J552)),"✓",COUNTIF(H552:J552,"&gt;-999")&amp;"/3")</f>
        <v>✓</v>
      </c>
    </row>
    <row r="553" customFormat="false" ht="15" hidden="false" customHeight="true" outlineLevel="0" collapsed="false">
      <c r="A553" s="1" t="s">
        <v>37</v>
      </c>
      <c r="B553" s="1" t="s">
        <v>32</v>
      </c>
      <c r="C553" s="1" t="s">
        <v>33</v>
      </c>
      <c r="D553" s="1" t="s">
        <v>26</v>
      </c>
      <c r="E553" s="1" t="s">
        <v>27</v>
      </c>
      <c r="F553" s="1" t="n">
        <f aca="false">IFERROR('dens_visc_2pe+mibk'!B22,"")</f>
        <v>20</v>
      </c>
      <c r="G553" s="1" t="n">
        <f aca="false">IFERROR('dens_visc_2pe+mibk'!A24,"")</f>
        <v>0.105926031920863</v>
      </c>
      <c r="H553" s="1" t="n">
        <f aca="false">IFERROR('dens_visc_2pe+mibk'!B24,"")</f>
        <v>0.82529</v>
      </c>
      <c r="I553" s="1" t="n">
        <f aca="false">IFERROR('dens_visc_2pe+mibk'!G24,"")</f>
        <v>-0.239293348636437</v>
      </c>
      <c r="J553" s="1" t="n">
        <f aca="false">IFERROR('dens_visc_2pe+mibk'!B38,"")</f>
        <v>0.73</v>
      </c>
      <c r="K553" s="1" t="str">
        <f aca="false">IF(AND(ISNUMBER(H553),ISNUMBER(I553),ISNUMBER(J553)),"✓",COUNTIF(H553:J553,"&gt;-999")&amp;"/3")</f>
        <v>✓</v>
      </c>
    </row>
    <row r="554" customFormat="false" ht="15" hidden="false" customHeight="true" outlineLevel="0" collapsed="false">
      <c r="A554" s="1" t="s">
        <v>37</v>
      </c>
      <c r="B554" s="1" t="s">
        <v>32</v>
      </c>
      <c r="C554" s="1" t="s">
        <v>33</v>
      </c>
      <c r="D554" s="1" t="s">
        <v>26</v>
      </c>
      <c r="E554" s="1" t="s">
        <v>27</v>
      </c>
      <c r="F554" s="1" t="n">
        <f aca="false">IFERROR('dens_visc_2pe+mibk'!B22,"")</f>
        <v>20</v>
      </c>
      <c r="G554" s="1" t="n">
        <f aca="false">IFERROR('dens_visc_2pe+mibk'!A25,"")</f>
        <v>0.202551826920771</v>
      </c>
      <c r="H554" s="1" t="n">
        <f aca="false">IFERROR('dens_visc_2pe+mibk'!B25,"")</f>
        <v>0.84746</v>
      </c>
      <c r="I554" s="1" t="n">
        <f aca="false">IFERROR('dens_visc_2pe+mibk'!G25,"")</f>
        <v>-0.477792953439277</v>
      </c>
      <c r="J554" s="1" t="n">
        <f aca="false">IFERROR('dens_visc_2pe+mibk'!B39,"")</f>
        <v>0.918</v>
      </c>
      <c r="K554" s="1" t="str">
        <f aca="false">IF(AND(ISNUMBER(H554),ISNUMBER(I554),ISNUMBER(J554)),"✓",COUNTIF(H554:J554,"&gt;-999")&amp;"/3")</f>
        <v>✓</v>
      </c>
    </row>
    <row r="555" customFormat="false" ht="15" hidden="false" customHeight="true" outlineLevel="0" collapsed="false">
      <c r="A555" s="1" t="s">
        <v>37</v>
      </c>
      <c r="B555" s="1" t="s">
        <v>32</v>
      </c>
      <c r="C555" s="1" t="s">
        <v>33</v>
      </c>
      <c r="D555" s="1" t="s">
        <v>26</v>
      </c>
      <c r="E555" s="1" t="s">
        <v>27</v>
      </c>
      <c r="F555" s="1" t="n">
        <f aca="false">IFERROR('dens_visc_2pe+mibk'!B22,"")</f>
        <v>20</v>
      </c>
      <c r="G555" s="1" t="n">
        <f aca="false">IFERROR('dens_visc_2pe+mibk'!A26,"")</f>
        <v>0.294950185637093</v>
      </c>
      <c r="H555" s="1" t="n">
        <f aca="false">IFERROR('dens_visc_2pe+mibk'!B26,"")</f>
        <v>0.86835</v>
      </c>
      <c r="I555" s="1" t="n">
        <f aca="false">IFERROR('dens_visc_2pe+mibk'!G26,"")</f>
        <v>-0.626671788901192</v>
      </c>
      <c r="J555" s="1" t="n">
        <f aca="false">IFERROR('dens_visc_2pe+mibk'!B40,"")</f>
        <v>1.162</v>
      </c>
      <c r="K555" s="1" t="str">
        <f aca="false">IF(AND(ISNUMBER(H555),ISNUMBER(I555),ISNUMBER(J555)),"✓",COUNTIF(H555:J555,"&gt;-999")&amp;"/3")</f>
        <v>✓</v>
      </c>
    </row>
    <row r="556" customFormat="false" ht="15" hidden="false" customHeight="true" outlineLevel="0" collapsed="false">
      <c r="A556" s="1" t="s">
        <v>37</v>
      </c>
      <c r="B556" s="1" t="s">
        <v>32</v>
      </c>
      <c r="C556" s="1" t="s">
        <v>33</v>
      </c>
      <c r="D556" s="1" t="s">
        <v>26</v>
      </c>
      <c r="E556" s="1" t="s">
        <v>27</v>
      </c>
      <c r="F556" s="1" t="n">
        <f aca="false">IFERROR('dens_visc_2pe+mibk'!B22,"")</f>
        <v>20</v>
      </c>
      <c r="G556" s="1" t="n">
        <f aca="false">IFERROR('dens_visc_2pe+mibk'!A27,"")</f>
        <v>0.403037564900804</v>
      </c>
      <c r="H556" s="1" t="n">
        <f aca="false">IFERROR('dens_visc_2pe+mibk'!B27,"")</f>
        <v>0.89242</v>
      </c>
      <c r="I556" s="1" t="n">
        <f aca="false">IFERROR('dens_visc_2pe+mibk'!G27,"")</f>
        <v>-0.713253028181924</v>
      </c>
      <c r="J556" s="1" t="n">
        <f aca="false">IFERROR('dens_visc_2pe+mibk'!B41,"")</f>
        <v>1.574</v>
      </c>
      <c r="K556" s="1" t="str">
        <f aca="false">IF(AND(ISNUMBER(H556),ISNUMBER(I556),ISNUMBER(J556)),"✓",COUNTIF(H556:J556,"&gt;-999")&amp;"/3")</f>
        <v>✓</v>
      </c>
    </row>
    <row r="557" customFormat="false" ht="15" hidden="false" customHeight="true" outlineLevel="0" collapsed="false">
      <c r="A557" s="1" t="s">
        <v>37</v>
      </c>
      <c r="B557" s="1" t="s">
        <v>32</v>
      </c>
      <c r="C557" s="1" t="s">
        <v>33</v>
      </c>
      <c r="D557" s="1" t="s">
        <v>26</v>
      </c>
      <c r="E557" s="1" t="s">
        <v>27</v>
      </c>
      <c r="F557" s="1" t="n">
        <f aca="false">IFERROR('dens_visc_2pe+mibk'!B22,"")</f>
        <v>20</v>
      </c>
      <c r="G557" s="1" t="n">
        <f aca="false">IFERROR('dens_visc_2pe+mibk'!A28,"")</f>
        <v>0.503427820355105</v>
      </c>
      <c r="H557" s="1" t="n">
        <f aca="false">IFERROR('dens_visc_2pe+mibk'!B28,"")</f>
        <v>0.91458</v>
      </c>
      <c r="I557" s="1" t="n">
        <f aca="false">IFERROR('dens_visc_2pe+mibk'!G28,"")</f>
        <v>-0.737073540013114</v>
      </c>
      <c r="J557" s="1" t="n">
        <f aca="false">IFERROR('dens_visc_2pe+mibk'!B42,"")</f>
        <v>2.113</v>
      </c>
      <c r="K557" s="1" t="str">
        <f aca="false">IF(AND(ISNUMBER(H557),ISNUMBER(I557),ISNUMBER(J557)),"✓",COUNTIF(H557:J557,"&gt;-999")&amp;"/3")</f>
        <v>✓</v>
      </c>
    </row>
    <row r="558" customFormat="false" ht="15" hidden="false" customHeight="true" outlineLevel="0" collapsed="false">
      <c r="A558" s="1" t="s">
        <v>37</v>
      </c>
      <c r="B558" s="1" t="s">
        <v>32</v>
      </c>
      <c r="C558" s="1" t="s">
        <v>33</v>
      </c>
      <c r="D558" s="1" t="s">
        <v>26</v>
      </c>
      <c r="E558" s="1" t="s">
        <v>27</v>
      </c>
      <c r="F558" s="1" t="n">
        <f aca="false">IFERROR('dens_visc_2pe+mibk'!B22,"")</f>
        <v>20</v>
      </c>
      <c r="G558" s="1" t="n">
        <f aca="false">IFERROR('dens_visc_2pe+mibk'!A29,"")</f>
        <v>0.606763452498099</v>
      </c>
      <c r="H558" s="1" t="n">
        <f aca="false">IFERROR('dens_visc_2pe+mibk'!B29,"")</f>
        <v>0.93718</v>
      </c>
      <c r="I558" s="1" t="n">
        <f aca="false">IFERROR('dens_visc_2pe+mibk'!G29,"")</f>
        <v>-0.707512575449798</v>
      </c>
      <c r="J558" s="1" t="n">
        <f aca="false">IFERROR('dens_visc_2pe+mibk'!B43,"")</f>
        <v>2.971</v>
      </c>
      <c r="K558" s="1" t="str">
        <f aca="false">IF(AND(ISNUMBER(H558),ISNUMBER(I558),ISNUMBER(J558)),"✓",COUNTIF(H558:J558,"&gt;-999")&amp;"/3")</f>
        <v>✓</v>
      </c>
    </row>
    <row r="559" customFormat="false" ht="15" hidden="false" customHeight="true" outlineLevel="0" collapsed="false">
      <c r="A559" s="1" t="s">
        <v>37</v>
      </c>
      <c r="B559" s="1" t="s">
        <v>32</v>
      </c>
      <c r="C559" s="1" t="s">
        <v>33</v>
      </c>
      <c r="D559" s="1" t="s">
        <v>26</v>
      </c>
      <c r="E559" s="1" t="s">
        <v>27</v>
      </c>
      <c r="F559" s="1" t="n">
        <f aca="false">IFERROR('dens_visc_2pe+mibk'!B22,"")</f>
        <v>20</v>
      </c>
      <c r="G559" s="1" t="n">
        <f aca="false">IFERROR('dens_visc_2pe+mibk'!A30,"")</f>
        <v>0.701083783054225</v>
      </c>
      <c r="H559" s="1" t="n">
        <f aca="false">IFERROR('dens_visc_2pe+mibk'!B30,"")</f>
        <v>0.95734</v>
      </c>
      <c r="I559" s="1" t="n">
        <f aca="false">IFERROR('dens_visc_2pe+mibk'!G30,"")</f>
        <v>-0.600604954231841</v>
      </c>
      <c r="J559" s="1" t="n">
        <f aca="false">IFERROR('dens_visc_2pe+mibk'!B44,"")</f>
        <v>4.158</v>
      </c>
      <c r="K559" s="1" t="str">
        <f aca="false">IF(AND(ISNUMBER(H559),ISNUMBER(I559),ISNUMBER(J559)),"✓",COUNTIF(H559:J559,"&gt;-999")&amp;"/3")</f>
        <v>✓</v>
      </c>
    </row>
    <row r="560" customFormat="false" ht="15" hidden="false" customHeight="true" outlineLevel="0" collapsed="false">
      <c r="A560" s="1" t="s">
        <v>37</v>
      </c>
      <c r="B560" s="1" t="s">
        <v>32</v>
      </c>
      <c r="C560" s="1" t="s">
        <v>33</v>
      </c>
      <c r="D560" s="1" t="s">
        <v>26</v>
      </c>
      <c r="E560" s="1" t="s">
        <v>27</v>
      </c>
      <c r="F560" s="1" t="n">
        <f aca="false">IFERROR('dens_visc_2pe+mibk'!B22,"")</f>
        <v>20</v>
      </c>
      <c r="G560" s="1" t="n">
        <f aca="false">IFERROR('dens_visc_2pe+mibk'!A31,"")</f>
        <v>0.798845694462126</v>
      </c>
      <c r="H560" s="1" t="n">
        <f aca="false">IFERROR('dens_visc_2pe+mibk'!B31,"")</f>
        <v>0.97809</v>
      </c>
      <c r="I560" s="1" t="n">
        <f aca="false">IFERROR('dens_visc_2pe+mibk'!G31,"")</f>
        <v>-0.455218589666828</v>
      </c>
      <c r="J560" s="1" t="n">
        <f aca="false">IFERROR('dens_visc_2pe+mibk'!B45,"")</f>
        <v>6.052</v>
      </c>
      <c r="K560" s="1" t="str">
        <f aca="false">IF(AND(ISNUMBER(H560),ISNUMBER(I560),ISNUMBER(J560)),"✓",COUNTIF(H560:J560,"&gt;-999")&amp;"/3")</f>
        <v>✓</v>
      </c>
    </row>
    <row r="561" customFormat="false" ht="15" hidden="false" customHeight="true" outlineLevel="0" collapsed="false">
      <c r="A561" s="1" t="s">
        <v>37</v>
      </c>
      <c r="B561" s="1" t="s">
        <v>32</v>
      </c>
      <c r="C561" s="1" t="s">
        <v>33</v>
      </c>
      <c r="D561" s="1" t="s">
        <v>26</v>
      </c>
      <c r="E561" s="1" t="s">
        <v>27</v>
      </c>
      <c r="F561" s="1" t="n">
        <f aca="false">IFERROR('dens_visc_2pe+mibk'!B22,"")</f>
        <v>20</v>
      </c>
      <c r="G561" s="1" t="n">
        <f aca="false">IFERROR('dens_visc_2pe+mibk'!A32,"")</f>
        <v>0.899940898700494</v>
      </c>
      <c r="H561" s="1" t="n">
        <f aca="false">IFERROR('dens_visc_2pe+mibk'!B32,"")</f>
        <v>0.99916</v>
      </c>
      <c r="I561" s="1" t="n">
        <f aca="false">IFERROR('dens_visc_2pe+mibk'!G32,"")</f>
        <v>-0.242506464232633</v>
      </c>
      <c r="J561" s="1" t="n">
        <f aca="false">IFERROR('dens_visc_2pe+mibk'!B46,"")</f>
        <v>9.162</v>
      </c>
      <c r="K561" s="1" t="str">
        <f aca="false">IF(AND(ISNUMBER(H561),ISNUMBER(I561),ISNUMBER(J561)),"✓",COUNTIF(H561:J561,"&gt;-999")&amp;"/3")</f>
        <v>✓</v>
      </c>
    </row>
    <row r="562" customFormat="false" ht="15" hidden="false" customHeight="true" outlineLevel="0" collapsed="false">
      <c r="A562" s="1" t="s">
        <v>37</v>
      </c>
      <c r="B562" s="1" t="s">
        <v>32</v>
      </c>
      <c r="C562" s="1" t="s">
        <v>33</v>
      </c>
      <c r="D562" s="1" t="s">
        <v>26</v>
      </c>
      <c r="E562" s="1" t="s">
        <v>27</v>
      </c>
      <c r="F562" s="1" t="n">
        <f aca="false">IFERROR('dens_visc_2pe+mibk'!B22,"")</f>
        <v>20</v>
      </c>
      <c r="G562" s="1" t="n">
        <f aca="false">IFERROR('dens_visc_2pe+mibk'!A33,"")</f>
        <v>1</v>
      </c>
      <c r="H562" s="1" t="n">
        <f aca="false">IFERROR('dens_visc_2pe+mibk'!B33,"")</f>
        <v>1.01985</v>
      </c>
      <c r="I562" s="1" t="n">
        <f aca="false">IFERROR('dens_visc_2pe+mibk'!G33,"")</f>
        <v>0</v>
      </c>
      <c r="J562" s="1" t="n">
        <f aca="false">IFERROR('dens_visc_2pe+mibk'!B47,"")</f>
        <v>14.04</v>
      </c>
      <c r="K562" s="1" t="str">
        <f aca="false">IF(AND(ISNUMBER(H562),ISNUMBER(I562),ISNUMBER(J562)),"✓",COUNTIF(H562:J562,"&gt;-999")&amp;"/3")</f>
        <v>✓</v>
      </c>
    </row>
    <row r="563" customFormat="false" ht="15" hidden="false" customHeight="true" outlineLevel="0" collapsed="false">
      <c r="A563" s="1" t="s">
        <v>37</v>
      </c>
      <c r="B563" s="1" t="s">
        <v>32</v>
      </c>
      <c r="C563" s="1" t="s">
        <v>33</v>
      </c>
      <c r="D563" s="1" t="s">
        <v>26</v>
      </c>
      <c r="E563" s="1" t="s">
        <v>27</v>
      </c>
      <c r="F563" s="1" t="n">
        <f aca="false">IFERROR('dens_visc_2pe+mibk'!C22,"")</f>
        <v>30</v>
      </c>
      <c r="G563" s="1" t="n">
        <f aca="false">IFERROR('dens_visc_2pe+mibk'!A23,"")</f>
        <v>0</v>
      </c>
      <c r="H563" s="4" t="n">
        <f aca="false">IFERROR('dens_visc_2pe+mibk'!C23,"")</f>
        <v>0.79234</v>
      </c>
      <c r="I563" s="1" t="n">
        <f aca="false">IFERROR('dens_visc_2pe+mibk'!H23,"")</f>
        <v>0</v>
      </c>
      <c r="J563" s="5" t="n">
        <f aca="false">IFERROR('dens_visc_2pe+mibk'!C37,"")</f>
        <v>0.5218</v>
      </c>
      <c r="K563" s="1" t="str">
        <f aca="false">IF(AND(ISNUMBER(H563),ISNUMBER(I563),ISNUMBER(J563)),"✓",COUNTIF(H563:J563,"&gt;-999")&amp;"/3")</f>
        <v>✓</v>
      </c>
    </row>
    <row r="564" customFormat="false" ht="15" hidden="false" customHeight="true" outlineLevel="0" collapsed="false">
      <c r="A564" s="1" t="s">
        <v>37</v>
      </c>
      <c r="B564" s="1" t="s">
        <v>32</v>
      </c>
      <c r="C564" s="1" t="s">
        <v>33</v>
      </c>
      <c r="D564" s="1" t="s">
        <v>26</v>
      </c>
      <c r="E564" s="1" t="s">
        <v>27</v>
      </c>
      <c r="F564" s="1" t="n">
        <f aca="false">IFERROR('dens_visc_2pe+mibk'!C22,"")</f>
        <v>30</v>
      </c>
      <c r="G564" s="1" t="n">
        <f aca="false">IFERROR('dens_visc_2pe+mibk'!A24,"")</f>
        <v>0.105926031920863</v>
      </c>
      <c r="H564" s="1" t="n">
        <f aca="false">IFERROR('dens_visc_2pe+mibk'!C24,"")</f>
        <v>0.81641</v>
      </c>
      <c r="I564" s="1" t="n">
        <f aca="false">IFERROR('dens_visc_2pe+mibk'!H24,"")</f>
        <v>-0.263288486925461</v>
      </c>
      <c r="J564" s="1" t="n">
        <f aca="false">IFERROR('dens_visc_2pe+mibk'!C38,"")</f>
        <v>0.638</v>
      </c>
      <c r="K564" s="1" t="str">
        <f aca="false">IF(AND(ISNUMBER(H564),ISNUMBER(I564),ISNUMBER(J564)),"✓",COUNTIF(H564:J564,"&gt;-999")&amp;"/3")</f>
        <v>✓</v>
      </c>
    </row>
    <row r="565" customFormat="false" ht="15" hidden="false" customHeight="true" outlineLevel="0" collapsed="false">
      <c r="A565" s="1" t="s">
        <v>37</v>
      </c>
      <c r="B565" s="1" t="s">
        <v>32</v>
      </c>
      <c r="C565" s="1" t="s">
        <v>33</v>
      </c>
      <c r="D565" s="1" t="s">
        <v>26</v>
      </c>
      <c r="E565" s="1" t="s">
        <v>27</v>
      </c>
      <c r="F565" s="1" t="n">
        <f aca="false">IFERROR('dens_visc_2pe+mibk'!C22,"")</f>
        <v>30</v>
      </c>
      <c r="G565" s="1" t="n">
        <f aca="false">IFERROR('dens_visc_2pe+mibk'!A25,"")</f>
        <v>0.202551826920771</v>
      </c>
      <c r="H565" s="1" t="n">
        <f aca="false">IFERROR('dens_visc_2pe+mibk'!C25,"")</f>
        <v>0.8387</v>
      </c>
      <c r="I565" s="1" t="n">
        <f aca="false">IFERROR('dens_visc_2pe+mibk'!H25,"")</f>
        <v>-0.509359436368726</v>
      </c>
      <c r="J565" s="1" t="n">
        <f aca="false">IFERROR('dens_visc_2pe+mibk'!C39,"")</f>
        <v>0.789</v>
      </c>
      <c r="K565" s="1" t="str">
        <f aca="false">IF(AND(ISNUMBER(H565),ISNUMBER(I565),ISNUMBER(J565)),"✓",COUNTIF(H565:J565,"&gt;-999")&amp;"/3")</f>
        <v>✓</v>
      </c>
    </row>
    <row r="566" customFormat="false" ht="15" hidden="false" customHeight="true" outlineLevel="0" collapsed="false">
      <c r="A566" s="1" t="s">
        <v>37</v>
      </c>
      <c r="B566" s="1" t="s">
        <v>32</v>
      </c>
      <c r="C566" s="1" t="s">
        <v>33</v>
      </c>
      <c r="D566" s="1" t="s">
        <v>26</v>
      </c>
      <c r="E566" s="1" t="s">
        <v>27</v>
      </c>
      <c r="F566" s="1" t="n">
        <f aca="false">IFERROR('dens_visc_2pe+mibk'!C22,"")</f>
        <v>30</v>
      </c>
      <c r="G566" s="1" t="n">
        <f aca="false">IFERROR('dens_visc_2pe+mibk'!A26,"")</f>
        <v>0.294950185637093</v>
      </c>
      <c r="H566" s="1" t="n">
        <f aca="false">IFERROR('dens_visc_2pe+mibk'!C26,"")</f>
        <v>0.85979</v>
      </c>
      <c r="I566" s="1" t="n">
        <f aca="false">IFERROR('dens_visc_2pe+mibk'!H26,"")</f>
        <v>-0.673366980146142</v>
      </c>
      <c r="J566" s="1" t="n">
        <f aca="false">IFERROR('dens_visc_2pe+mibk'!C40,"")</f>
        <v>0.981</v>
      </c>
      <c r="K566" s="1" t="str">
        <f aca="false">IF(AND(ISNUMBER(H566),ISNUMBER(I566),ISNUMBER(J566)),"✓",COUNTIF(H566:J566,"&gt;-999")&amp;"/3")</f>
        <v>✓</v>
      </c>
    </row>
    <row r="567" customFormat="false" ht="15" hidden="false" customHeight="true" outlineLevel="0" collapsed="false">
      <c r="A567" s="1" t="s">
        <v>37</v>
      </c>
      <c r="B567" s="1" t="s">
        <v>32</v>
      </c>
      <c r="C567" s="1" t="s">
        <v>33</v>
      </c>
      <c r="D567" s="1" t="s">
        <v>26</v>
      </c>
      <c r="E567" s="1" t="s">
        <v>27</v>
      </c>
      <c r="F567" s="1" t="n">
        <f aca="false">IFERROR('dens_visc_2pe+mibk'!C22,"")</f>
        <v>30</v>
      </c>
      <c r="G567" s="1" t="n">
        <f aca="false">IFERROR('dens_visc_2pe+mibk'!A27,"")</f>
        <v>0.403037564900804</v>
      </c>
      <c r="H567" s="1" t="n">
        <f aca="false">IFERROR('dens_visc_2pe+mibk'!C27,"")</f>
        <v>0.88404</v>
      </c>
      <c r="I567" s="1" t="n">
        <f aca="false">IFERROR('dens_visc_2pe+mibk'!H27,"")</f>
        <v>-0.764424644370678</v>
      </c>
      <c r="J567" s="1" t="n">
        <f aca="false">IFERROR('dens_visc_2pe+mibk'!C41,"")</f>
        <v>1.294</v>
      </c>
      <c r="K567" s="1" t="str">
        <f aca="false">IF(AND(ISNUMBER(H567),ISNUMBER(I567),ISNUMBER(J567)),"✓",COUNTIF(H567:J567,"&gt;-999")&amp;"/3")</f>
        <v>✓</v>
      </c>
    </row>
    <row r="568" customFormat="false" ht="15" hidden="false" customHeight="true" outlineLevel="0" collapsed="false">
      <c r="A568" s="1" t="s">
        <v>37</v>
      </c>
      <c r="B568" s="1" t="s">
        <v>32</v>
      </c>
      <c r="C568" s="1" t="s">
        <v>33</v>
      </c>
      <c r="D568" s="1" t="s">
        <v>26</v>
      </c>
      <c r="E568" s="1" t="s">
        <v>27</v>
      </c>
      <c r="F568" s="1" t="n">
        <f aca="false">IFERROR('dens_visc_2pe+mibk'!C22,"")</f>
        <v>30</v>
      </c>
      <c r="G568" s="1" t="n">
        <f aca="false">IFERROR('dens_visc_2pe+mibk'!A28,"")</f>
        <v>0.503427820355105</v>
      </c>
      <c r="H568" s="1" t="n">
        <f aca="false">IFERROR('dens_visc_2pe+mibk'!C28,"")</f>
        <v>0.90638</v>
      </c>
      <c r="I568" s="1" t="n">
        <f aca="false">IFERROR('dens_visc_2pe+mibk'!H28,"")</f>
        <v>-0.790057049415466</v>
      </c>
      <c r="J568" s="1" t="n">
        <f aca="false">IFERROR('dens_visc_2pe+mibk'!C42,"")</f>
        <v>1.692</v>
      </c>
      <c r="K568" s="1" t="str">
        <f aca="false">IF(AND(ISNUMBER(H568),ISNUMBER(I568),ISNUMBER(J568)),"✓",COUNTIF(H568:J568,"&gt;-999")&amp;"/3")</f>
        <v>✓</v>
      </c>
    </row>
    <row r="569" customFormat="false" ht="15" hidden="false" customHeight="true" outlineLevel="0" collapsed="false">
      <c r="A569" s="1" t="s">
        <v>37</v>
      </c>
      <c r="B569" s="1" t="s">
        <v>32</v>
      </c>
      <c r="C569" s="1" t="s">
        <v>33</v>
      </c>
      <c r="D569" s="1" t="s">
        <v>26</v>
      </c>
      <c r="E569" s="1" t="s">
        <v>27</v>
      </c>
      <c r="F569" s="1" t="n">
        <f aca="false">IFERROR('dens_visc_2pe+mibk'!C22,"")</f>
        <v>30</v>
      </c>
      <c r="G569" s="1" t="n">
        <f aca="false">IFERROR('dens_visc_2pe+mibk'!A29,"")</f>
        <v>0.606763452498099</v>
      </c>
      <c r="H569" s="1" t="n">
        <f aca="false">IFERROR('dens_visc_2pe+mibk'!C29,"")</f>
        <v>0.92911</v>
      </c>
      <c r="I569" s="1" t="n">
        <f aca="false">IFERROR('dens_visc_2pe+mibk'!H29,"")</f>
        <v>-0.751270239185814</v>
      </c>
      <c r="J569" s="1" t="n">
        <f aca="false">IFERROR('dens_visc_2pe+mibk'!C43,"")</f>
        <v>2.298</v>
      </c>
      <c r="K569" s="1" t="str">
        <f aca="false">IF(AND(ISNUMBER(H569),ISNUMBER(I569),ISNUMBER(J569)),"✓",COUNTIF(H569:J569,"&gt;-999")&amp;"/3")</f>
        <v>✓</v>
      </c>
    </row>
    <row r="570" customFormat="false" ht="15" hidden="false" customHeight="true" outlineLevel="0" collapsed="false">
      <c r="A570" s="1" t="s">
        <v>37</v>
      </c>
      <c r="B570" s="1" t="s">
        <v>32</v>
      </c>
      <c r="C570" s="1" t="s">
        <v>33</v>
      </c>
      <c r="D570" s="1" t="s">
        <v>26</v>
      </c>
      <c r="E570" s="1" t="s">
        <v>27</v>
      </c>
      <c r="F570" s="1" t="n">
        <f aca="false">IFERROR('dens_visc_2pe+mibk'!C22,"")</f>
        <v>30</v>
      </c>
      <c r="G570" s="1" t="n">
        <f aca="false">IFERROR('dens_visc_2pe+mibk'!A30,"")</f>
        <v>0.701083783054225</v>
      </c>
      <c r="H570" s="1" t="n">
        <f aca="false">IFERROR('dens_visc_2pe+mibk'!C30,"")</f>
        <v>0.94948</v>
      </c>
      <c r="I570" s="1" t="n">
        <f aca="false">IFERROR('dens_visc_2pe+mibk'!H30,"")</f>
        <v>-0.644345324897188</v>
      </c>
      <c r="J570" s="1" t="n">
        <f aca="false">IFERROR('dens_visc_2pe+mibk'!C44,"")</f>
        <v>3.1</v>
      </c>
      <c r="K570" s="1" t="str">
        <f aca="false">IF(AND(ISNUMBER(H570),ISNUMBER(I570),ISNUMBER(J570)),"✓",COUNTIF(H570:J570,"&gt;-999")&amp;"/3")</f>
        <v>✓</v>
      </c>
    </row>
    <row r="571" customFormat="false" ht="15" hidden="false" customHeight="true" outlineLevel="0" collapsed="false">
      <c r="A571" s="1" t="s">
        <v>37</v>
      </c>
      <c r="B571" s="1" t="s">
        <v>32</v>
      </c>
      <c r="C571" s="1" t="s">
        <v>33</v>
      </c>
      <c r="D571" s="1" t="s">
        <v>26</v>
      </c>
      <c r="E571" s="1" t="s">
        <v>27</v>
      </c>
      <c r="F571" s="1" t="n">
        <f aca="false">IFERROR('dens_visc_2pe+mibk'!C22,"")</f>
        <v>30</v>
      </c>
      <c r="G571" s="1" t="n">
        <f aca="false">IFERROR('dens_visc_2pe+mibk'!A31,"")</f>
        <v>0.798845694462126</v>
      </c>
      <c r="H571" s="1" t="n">
        <f aca="false">IFERROR('dens_visc_2pe+mibk'!C31,"")</f>
        <v>0.97039</v>
      </c>
      <c r="I571" s="1" t="n">
        <f aca="false">IFERROR('dens_visc_2pe+mibk'!H31,"")</f>
        <v>-0.488815604404991</v>
      </c>
      <c r="J571" s="1" t="n">
        <f aca="false">IFERROR('dens_visc_2pe+mibk'!C45,"")</f>
        <v>4.32</v>
      </c>
      <c r="K571" s="1" t="str">
        <f aca="false">IF(AND(ISNUMBER(H571),ISNUMBER(I571),ISNUMBER(J571)),"✓",COUNTIF(H571:J571,"&gt;-999")&amp;"/3")</f>
        <v>✓</v>
      </c>
    </row>
    <row r="572" customFormat="false" ht="15" hidden="false" customHeight="true" outlineLevel="0" collapsed="false">
      <c r="A572" s="1" t="s">
        <v>37</v>
      </c>
      <c r="B572" s="1" t="s">
        <v>32</v>
      </c>
      <c r="C572" s="1" t="s">
        <v>33</v>
      </c>
      <c r="D572" s="1" t="s">
        <v>26</v>
      </c>
      <c r="E572" s="1" t="s">
        <v>27</v>
      </c>
      <c r="F572" s="1" t="n">
        <f aca="false">IFERROR('dens_visc_2pe+mibk'!C22,"")</f>
        <v>30</v>
      </c>
      <c r="G572" s="1" t="n">
        <f aca="false">IFERROR('dens_visc_2pe+mibk'!A32,"")</f>
        <v>0.899940898700494</v>
      </c>
      <c r="H572" s="1" t="n">
        <f aca="false">IFERROR('dens_visc_2pe+mibk'!C32,"")</f>
        <v>0.99163</v>
      </c>
      <c r="I572" s="1" t="n">
        <f aca="false">IFERROR('dens_visc_2pe+mibk'!H32,"")</f>
        <v>-0.263250707788444</v>
      </c>
      <c r="J572" s="1" t="n">
        <f aca="false">IFERROR('dens_visc_2pe+mibk'!C46,"")</f>
        <v>6.204</v>
      </c>
      <c r="K572" s="1" t="str">
        <f aca="false">IF(AND(ISNUMBER(H572),ISNUMBER(I572),ISNUMBER(J572)),"✓",COUNTIF(H572:J572,"&gt;-999")&amp;"/3")</f>
        <v>✓</v>
      </c>
    </row>
    <row r="573" customFormat="false" ht="15" hidden="false" customHeight="true" outlineLevel="0" collapsed="false">
      <c r="A573" s="1" t="s">
        <v>37</v>
      </c>
      <c r="B573" s="1" t="s">
        <v>32</v>
      </c>
      <c r="C573" s="1" t="s">
        <v>33</v>
      </c>
      <c r="D573" s="1" t="s">
        <v>26</v>
      </c>
      <c r="E573" s="1" t="s">
        <v>27</v>
      </c>
      <c r="F573" s="1" t="n">
        <f aca="false">IFERROR('dens_visc_2pe+mibk'!C22,"")</f>
        <v>30</v>
      </c>
      <c r="G573" s="1" t="n">
        <f aca="false">IFERROR('dens_visc_2pe+mibk'!A33,"")</f>
        <v>1</v>
      </c>
      <c r="H573" s="1" t="n">
        <f aca="false">IFERROR('dens_visc_2pe+mibk'!C33,"")</f>
        <v>1.01244</v>
      </c>
      <c r="I573" s="1" t="n">
        <f aca="false">IFERROR('dens_visc_2pe+mibk'!H33,"")</f>
        <v>0</v>
      </c>
      <c r="J573" s="1" t="n">
        <f aca="false">IFERROR('dens_visc_2pe+mibk'!C47,"")</f>
        <v>8.973</v>
      </c>
      <c r="K573" s="1" t="str">
        <f aca="false">IF(AND(ISNUMBER(H573),ISNUMBER(I573),ISNUMBER(J573)),"✓",COUNTIF(H573:J573,"&gt;-999")&amp;"/3")</f>
        <v>✓</v>
      </c>
    </row>
    <row r="574" customFormat="false" ht="15" hidden="false" customHeight="true" outlineLevel="0" collapsed="false">
      <c r="A574" s="1" t="s">
        <v>37</v>
      </c>
      <c r="B574" s="1" t="s">
        <v>32</v>
      </c>
      <c r="C574" s="1" t="s">
        <v>33</v>
      </c>
      <c r="D574" s="1" t="s">
        <v>26</v>
      </c>
      <c r="E574" s="1" t="s">
        <v>27</v>
      </c>
      <c r="F574" s="1" t="n">
        <f aca="false">IFERROR('dens_visc_2pe+mibk'!D22,"")</f>
        <v>40</v>
      </c>
      <c r="G574" s="1" t="n">
        <f aca="false">IFERROR('dens_visc_2pe+mibk'!A23,"")</f>
        <v>0</v>
      </c>
      <c r="H574" s="4" t="n">
        <f aca="false">IFERROR('dens_visc_2pe+mibk'!D23,"")</f>
        <v>0.78314</v>
      </c>
      <c r="I574" s="1" t="n">
        <f aca="false">IFERROR('dens_visc_2pe+mibk'!I23,"")</f>
        <v>0</v>
      </c>
      <c r="J574" s="5" t="n">
        <f aca="false">IFERROR('dens_visc_2pe+mibk'!D37,"")</f>
        <v>0.46729</v>
      </c>
      <c r="K574" s="1" t="str">
        <f aca="false">IF(AND(ISNUMBER(H574),ISNUMBER(I574),ISNUMBER(J574)),"✓",COUNTIF(H574:J574,"&gt;-999")&amp;"/3")</f>
        <v>✓</v>
      </c>
    </row>
    <row r="575" customFormat="false" ht="15" hidden="false" customHeight="true" outlineLevel="0" collapsed="false">
      <c r="A575" s="1" t="s">
        <v>37</v>
      </c>
      <c r="B575" s="1" t="s">
        <v>32</v>
      </c>
      <c r="C575" s="1" t="s">
        <v>33</v>
      </c>
      <c r="D575" s="1" t="s">
        <v>26</v>
      </c>
      <c r="E575" s="1" t="s">
        <v>27</v>
      </c>
      <c r="F575" s="1" t="n">
        <f aca="false">IFERROR('dens_visc_2pe+mibk'!D22,"")</f>
        <v>40</v>
      </c>
      <c r="G575" s="1" t="n">
        <f aca="false">IFERROR('dens_visc_2pe+mibk'!A24,"")</f>
        <v>0.105926031920863</v>
      </c>
      <c r="H575" s="1" t="n">
        <f aca="false">IFERROR('dens_visc_2pe+mibk'!D24,"")</f>
        <v>0.80742</v>
      </c>
      <c r="I575" s="1" t="n">
        <f aca="false">IFERROR('dens_visc_2pe+mibk'!I24,"")</f>
        <v>-0.288620943505734</v>
      </c>
      <c r="J575" s="1" t="n">
        <f aca="false">IFERROR('dens_visc_2pe+mibk'!D38,"")</f>
        <v>0.564</v>
      </c>
      <c r="K575" s="1" t="str">
        <f aca="false">IF(AND(ISNUMBER(H575),ISNUMBER(I575),ISNUMBER(J575)),"✓",COUNTIF(H575:J575,"&gt;-999")&amp;"/3")</f>
        <v>✓</v>
      </c>
    </row>
    <row r="576" customFormat="false" ht="15" hidden="false" customHeight="true" outlineLevel="0" collapsed="false">
      <c r="A576" s="1" t="s">
        <v>37</v>
      </c>
      <c r="B576" s="1" t="s">
        <v>32</v>
      </c>
      <c r="C576" s="1" t="s">
        <v>33</v>
      </c>
      <c r="D576" s="1" t="s">
        <v>26</v>
      </c>
      <c r="E576" s="1" t="s">
        <v>27</v>
      </c>
      <c r="F576" s="1" t="n">
        <f aca="false">IFERROR('dens_visc_2pe+mibk'!D22,"")</f>
        <v>40</v>
      </c>
      <c r="G576" s="1" t="n">
        <f aca="false">IFERROR('dens_visc_2pe+mibk'!A25,"")</f>
        <v>0.202551826920771</v>
      </c>
      <c r="H576" s="1" t="n">
        <f aca="false">IFERROR('dens_visc_2pe+mibk'!D25,"")</f>
        <v>0.82988</v>
      </c>
      <c r="I576" s="1" t="n">
        <f aca="false">IFERROR('dens_visc_2pe+mibk'!I25,"")</f>
        <v>-0.550279268606658</v>
      </c>
      <c r="J576" s="1" t="n">
        <f aca="false">IFERROR('dens_visc_2pe+mibk'!D39,"")</f>
        <v>0.686</v>
      </c>
      <c r="K576" s="1" t="str">
        <f aca="false">IF(AND(ISNUMBER(H576),ISNUMBER(I576),ISNUMBER(J576)),"✓",COUNTIF(H576:J576,"&gt;-999")&amp;"/3")</f>
        <v>✓</v>
      </c>
    </row>
    <row r="577" customFormat="false" ht="15" hidden="false" customHeight="true" outlineLevel="0" collapsed="false">
      <c r="A577" s="1" t="s">
        <v>37</v>
      </c>
      <c r="B577" s="1" t="s">
        <v>32</v>
      </c>
      <c r="C577" s="1" t="s">
        <v>33</v>
      </c>
      <c r="D577" s="1" t="s">
        <v>26</v>
      </c>
      <c r="E577" s="1" t="s">
        <v>27</v>
      </c>
      <c r="F577" s="1" t="n">
        <f aca="false">IFERROR('dens_visc_2pe+mibk'!D22,"")</f>
        <v>40</v>
      </c>
      <c r="G577" s="1" t="n">
        <f aca="false">IFERROR('dens_visc_2pe+mibk'!A26,"")</f>
        <v>0.294950185637093</v>
      </c>
      <c r="H577" s="1" t="n">
        <f aca="false">IFERROR('dens_visc_2pe+mibk'!D26,"")</f>
        <v>0.85113</v>
      </c>
      <c r="I577" s="1" t="n">
        <f aca="false">IFERROR('dens_visc_2pe+mibk'!I26,"")</f>
        <v>-0.723900751711611</v>
      </c>
      <c r="J577" s="1" t="n">
        <f aca="false">IFERROR('dens_visc_2pe+mibk'!D40,"")</f>
        <v>0.841</v>
      </c>
      <c r="K577" s="1" t="str">
        <f aca="false">IF(AND(ISNUMBER(H577),ISNUMBER(I577),ISNUMBER(J577)),"✓",COUNTIF(H577:J577,"&gt;-999")&amp;"/3")</f>
        <v>✓</v>
      </c>
    </row>
    <row r="578" customFormat="false" ht="15" hidden="false" customHeight="true" outlineLevel="0" collapsed="false">
      <c r="A578" s="1" t="s">
        <v>37</v>
      </c>
      <c r="B578" s="1" t="s">
        <v>32</v>
      </c>
      <c r="C578" s="1" t="s">
        <v>33</v>
      </c>
      <c r="D578" s="1" t="s">
        <v>26</v>
      </c>
      <c r="E578" s="1" t="s">
        <v>27</v>
      </c>
      <c r="F578" s="1" t="n">
        <f aca="false">IFERROR('dens_visc_2pe+mibk'!D22,"")</f>
        <v>40</v>
      </c>
      <c r="G578" s="1" t="n">
        <f aca="false">IFERROR('dens_visc_2pe+mibk'!A27,"")</f>
        <v>0.403037564900804</v>
      </c>
      <c r="H578" s="1" t="n">
        <f aca="false">IFERROR('dens_visc_2pe+mibk'!D27,"")</f>
        <v>0.87557</v>
      </c>
      <c r="I578" s="1" t="n">
        <f aca="false">IFERROR('dens_visc_2pe+mibk'!I27,"")</f>
        <v>-0.820819177831098</v>
      </c>
      <c r="J578" s="1" t="n">
        <f aca="false">IFERROR('dens_visc_2pe+mibk'!D41,"")</f>
        <v>1.084</v>
      </c>
      <c r="K578" s="1" t="str">
        <f aca="false">IF(AND(ISNUMBER(H578),ISNUMBER(I578),ISNUMBER(J578)),"✓",COUNTIF(H578:J578,"&gt;-999")&amp;"/3")</f>
        <v>✓</v>
      </c>
    </row>
    <row r="579" customFormat="false" ht="15" hidden="false" customHeight="true" outlineLevel="0" collapsed="false">
      <c r="A579" s="1" t="s">
        <v>37</v>
      </c>
      <c r="B579" s="1" t="s">
        <v>32</v>
      </c>
      <c r="C579" s="1" t="s">
        <v>33</v>
      </c>
      <c r="D579" s="1" t="s">
        <v>26</v>
      </c>
      <c r="E579" s="1" t="s">
        <v>27</v>
      </c>
      <c r="F579" s="1" t="n">
        <f aca="false">IFERROR('dens_visc_2pe+mibk'!D22,"")</f>
        <v>40</v>
      </c>
      <c r="G579" s="1" t="n">
        <f aca="false">IFERROR('dens_visc_2pe+mibk'!A28,"")</f>
        <v>0.503427820355105</v>
      </c>
      <c r="H579" s="1" t="n">
        <f aca="false">IFERROR('dens_visc_2pe+mibk'!D28,"")</f>
        <v>0.89808</v>
      </c>
      <c r="I579" s="1" t="n">
        <f aca="false">IFERROR('dens_visc_2pe+mibk'!I28,"")</f>
        <v>-0.846592352596446</v>
      </c>
      <c r="J579" s="1" t="n">
        <f aca="false">IFERROR('dens_visc_2pe+mibk'!D42,"")</f>
        <v>1.386</v>
      </c>
      <c r="K579" s="1" t="str">
        <f aca="false">IF(AND(ISNUMBER(H579),ISNUMBER(I579),ISNUMBER(J579)),"✓",COUNTIF(H579:J579,"&gt;-999")&amp;"/3")</f>
        <v>✓</v>
      </c>
    </row>
    <row r="580" customFormat="false" ht="15" hidden="false" customHeight="true" outlineLevel="0" collapsed="false">
      <c r="A580" s="1" t="s">
        <v>37</v>
      </c>
      <c r="B580" s="1" t="s">
        <v>32</v>
      </c>
      <c r="C580" s="1" t="s">
        <v>33</v>
      </c>
      <c r="D580" s="1" t="s">
        <v>26</v>
      </c>
      <c r="E580" s="1" t="s">
        <v>27</v>
      </c>
      <c r="F580" s="1" t="n">
        <f aca="false">IFERROR('dens_visc_2pe+mibk'!D22,"")</f>
        <v>40</v>
      </c>
      <c r="G580" s="1" t="n">
        <f aca="false">IFERROR('dens_visc_2pe+mibk'!A29,"")</f>
        <v>0.606763452498099</v>
      </c>
      <c r="H580" s="1" t="n">
        <f aca="false">IFERROR('dens_visc_2pe+mibk'!D29,"")</f>
        <v>0.92098</v>
      </c>
      <c r="I580" s="1" t="n">
        <f aca="false">IFERROR('dens_visc_2pe+mibk'!I29,"")</f>
        <v>-0.803162987816577</v>
      </c>
      <c r="J580" s="1" t="n">
        <f aca="false">IFERROR('dens_visc_2pe+mibk'!D43,"")</f>
        <v>1.828</v>
      </c>
      <c r="K580" s="1" t="str">
        <f aca="false">IF(AND(ISNUMBER(H580),ISNUMBER(I580),ISNUMBER(J580)),"✓",COUNTIF(H580:J580,"&gt;-999")&amp;"/3")</f>
        <v>✓</v>
      </c>
    </row>
    <row r="581" customFormat="false" ht="15" hidden="false" customHeight="true" outlineLevel="0" collapsed="false">
      <c r="A581" s="1" t="s">
        <v>37</v>
      </c>
      <c r="B581" s="1" t="s">
        <v>32</v>
      </c>
      <c r="C581" s="1" t="s">
        <v>33</v>
      </c>
      <c r="D581" s="1" t="s">
        <v>26</v>
      </c>
      <c r="E581" s="1" t="s">
        <v>27</v>
      </c>
      <c r="F581" s="1" t="n">
        <f aca="false">IFERROR('dens_visc_2pe+mibk'!D22,"")</f>
        <v>40</v>
      </c>
      <c r="G581" s="1" t="n">
        <f aca="false">IFERROR('dens_visc_2pe+mibk'!A30,"")</f>
        <v>0.701083783054225</v>
      </c>
      <c r="H581" s="1" t="n">
        <f aca="false">IFERROR('dens_visc_2pe+mibk'!D30,"")</f>
        <v>0.94151</v>
      </c>
      <c r="I581" s="1" t="n">
        <f aca="false">IFERROR('dens_visc_2pe+mibk'!I30,"")</f>
        <v>-0.689070340077166</v>
      </c>
      <c r="J581" s="1" t="n">
        <f aca="false">IFERROR('dens_visc_2pe+mibk'!D44,"")</f>
        <v>2.391</v>
      </c>
      <c r="K581" s="1" t="str">
        <f aca="false">IF(AND(ISNUMBER(H581),ISNUMBER(I581),ISNUMBER(J581)),"✓",COUNTIF(H581:J581,"&gt;-999")&amp;"/3")</f>
        <v>✓</v>
      </c>
    </row>
    <row r="582" customFormat="false" ht="15" hidden="false" customHeight="true" outlineLevel="0" collapsed="false">
      <c r="A582" s="1" t="s">
        <v>37</v>
      </c>
      <c r="B582" s="1" t="s">
        <v>32</v>
      </c>
      <c r="C582" s="1" t="s">
        <v>33</v>
      </c>
      <c r="D582" s="1" t="s">
        <v>26</v>
      </c>
      <c r="E582" s="1" t="s">
        <v>27</v>
      </c>
      <c r="F582" s="1" t="n">
        <f aca="false">IFERROR('dens_visc_2pe+mibk'!D22,"")</f>
        <v>40</v>
      </c>
      <c r="G582" s="1" t="n">
        <f aca="false">IFERROR('dens_visc_2pe+mibk'!A31,"")</f>
        <v>0.798845694462126</v>
      </c>
      <c r="H582" s="1" t="n">
        <f aca="false">IFERROR('dens_visc_2pe+mibk'!D31,"")</f>
        <v>0.96258</v>
      </c>
      <c r="I582" s="1" t="n">
        <f aca="false">IFERROR('dens_visc_2pe+mibk'!I31,"")</f>
        <v>-0.522487856362446</v>
      </c>
      <c r="J582" s="1" t="n">
        <f aca="false">IFERROR('dens_visc_2pe+mibk'!D45,"")</f>
        <v>3.213</v>
      </c>
      <c r="K582" s="1" t="str">
        <f aca="false">IF(AND(ISNUMBER(H582),ISNUMBER(I582),ISNUMBER(J582)),"✓",COUNTIF(H582:J582,"&gt;-999")&amp;"/3")</f>
        <v>✓</v>
      </c>
    </row>
    <row r="583" customFormat="false" ht="15" hidden="false" customHeight="true" outlineLevel="0" collapsed="false">
      <c r="A583" s="1" t="s">
        <v>37</v>
      </c>
      <c r="B583" s="1" t="s">
        <v>32</v>
      </c>
      <c r="C583" s="1" t="s">
        <v>33</v>
      </c>
      <c r="D583" s="1" t="s">
        <v>26</v>
      </c>
      <c r="E583" s="1" t="s">
        <v>27</v>
      </c>
      <c r="F583" s="1" t="n">
        <f aca="false">IFERROR('dens_visc_2pe+mibk'!D22,"")</f>
        <v>40</v>
      </c>
      <c r="G583" s="1" t="n">
        <f aca="false">IFERROR('dens_visc_2pe+mibk'!A32,"")</f>
        <v>0.899940898700494</v>
      </c>
      <c r="H583" s="1" t="n">
        <f aca="false">IFERROR('dens_visc_2pe+mibk'!D32,"")</f>
        <v>0.98398</v>
      </c>
      <c r="I583" s="1" t="n">
        <f aca="false">IFERROR('dens_visc_2pe+mibk'!I32,"")</f>
        <v>-0.281734870428082</v>
      </c>
      <c r="J583" s="1" t="n">
        <f aca="false">IFERROR('dens_visc_2pe+mibk'!D46,"")</f>
        <v>4.421</v>
      </c>
      <c r="K583" s="1" t="str">
        <f aca="false">IF(AND(ISNUMBER(H583),ISNUMBER(I583),ISNUMBER(J583)),"✓",COUNTIF(H583:J583,"&gt;-999")&amp;"/3")</f>
        <v>✓</v>
      </c>
    </row>
    <row r="584" customFormat="false" ht="15" hidden="false" customHeight="true" outlineLevel="0" collapsed="false">
      <c r="A584" s="1" t="s">
        <v>37</v>
      </c>
      <c r="B584" s="1" t="s">
        <v>32</v>
      </c>
      <c r="C584" s="1" t="s">
        <v>33</v>
      </c>
      <c r="D584" s="1" t="s">
        <v>26</v>
      </c>
      <c r="E584" s="1" t="s">
        <v>27</v>
      </c>
      <c r="F584" s="1" t="n">
        <f aca="false">IFERROR('dens_visc_2pe+mibk'!D22,"")</f>
        <v>40</v>
      </c>
      <c r="G584" s="1" t="n">
        <f aca="false">IFERROR('dens_visc_2pe+mibk'!A33,"")</f>
        <v>1</v>
      </c>
      <c r="H584" s="1" t="n">
        <f aca="false">IFERROR('dens_visc_2pe+mibk'!D33,"")</f>
        <v>1.00494</v>
      </c>
      <c r="I584" s="1" t="n">
        <f aca="false">IFERROR('dens_visc_2pe+mibk'!I33,"")</f>
        <v>0</v>
      </c>
      <c r="J584" s="1" t="n">
        <f aca="false">IFERROR('dens_visc_2pe+mibk'!D47,"")</f>
        <v>6.102</v>
      </c>
      <c r="K584" s="1" t="str">
        <f aca="false">IF(AND(ISNUMBER(H584),ISNUMBER(I584),ISNUMBER(J584)),"✓",COUNTIF(H584:J584,"&gt;-999")&amp;"/3")</f>
        <v>✓</v>
      </c>
    </row>
    <row r="585" customFormat="false" ht="15" hidden="false" customHeight="true" outlineLevel="0" collapsed="false">
      <c r="A585" s="1" t="s">
        <v>37</v>
      </c>
      <c r="B585" s="1" t="s">
        <v>32</v>
      </c>
      <c r="C585" s="1" t="s">
        <v>33</v>
      </c>
      <c r="D585" s="1" t="s">
        <v>26</v>
      </c>
      <c r="E585" s="1" t="s">
        <v>27</v>
      </c>
      <c r="F585" s="1" t="n">
        <f aca="false">IFERROR('dens_visc_2pe+mibk'!E22,"")</f>
        <v>50</v>
      </c>
      <c r="G585" s="1" t="n">
        <f aca="false">IFERROR('dens_visc_2pe+mibk'!A23,"")</f>
        <v>0</v>
      </c>
      <c r="H585" s="4" t="n">
        <f aca="false">IFERROR('dens_visc_2pe+mibk'!E23,"")</f>
        <v>0.77383</v>
      </c>
      <c r="I585" s="1" t="n">
        <f aca="false">IFERROR('dens_visc_2pe+mibk'!J23,"")</f>
        <v>0</v>
      </c>
      <c r="J585" s="5" t="n">
        <f aca="false">IFERROR('dens_visc_2pe+mibk'!E37,"")</f>
        <v>0.42305</v>
      </c>
      <c r="K585" s="1" t="str">
        <f aca="false">IF(AND(ISNUMBER(H585),ISNUMBER(I585),ISNUMBER(J585)),"✓",COUNTIF(H585:J585,"&gt;-999")&amp;"/3")</f>
        <v>✓</v>
      </c>
    </row>
    <row r="586" customFormat="false" ht="15" hidden="false" customHeight="true" outlineLevel="0" collapsed="false">
      <c r="A586" s="1" t="s">
        <v>37</v>
      </c>
      <c r="B586" s="1" t="s">
        <v>32</v>
      </c>
      <c r="C586" s="1" t="s">
        <v>33</v>
      </c>
      <c r="D586" s="1" t="s">
        <v>26</v>
      </c>
      <c r="E586" s="1" t="s">
        <v>27</v>
      </c>
      <c r="F586" s="1" t="n">
        <f aca="false">IFERROR('dens_visc_2pe+mibk'!E22,"")</f>
        <v>50</v>
      </c>
      <c r="G586" s="1" t="n">
        <f aca="false">IFERROR('dens_visc_2pe+mibk'!A24,"")</f>
        <v>0.105926031920863</v>
      </c>
      <c r="H586" s="1" t="n">
        <f aca="false">IFERROR('dens_visc_2pe+mibk'!E24,"")</f>
        <v>0.79835</v>
      </c>
      <c r="I586" s="1" t="n">
        <f aca="false">IFERROR('dens_visc_2pe+mibk'!J24,"")</f>
        <v>-0.32010231126921</v>
      </c>
      <c r="J586" s="1" t="n">
        <f aca="false">IFERROR('dens_visc_2pe+mibk'!E38,"")</f>
        <v>0.502</v>
      </c>
      <c r="K586" s="1" t="str">
        <f aca="false">IF(AND(ISNUMBER(H586),ISNUMBER(I586),ISNUMBER(J586)),"✓",COUNTIF(H586:J586,"&gt;-999")&amp;"/3")</f>
        <v>✓</v>
      </c>
    </row>
    <row r="587" customFormat="false" ht="15" hidden="false" customHeight="true" outlineLevel="0" collapsed="false">
      <c r="A587" s="1" t="s">
        <v>37</v>
      </c>
      <c r="B587" s="1" t="s">
        <v>32</v>
      </c>
      <c r="C587" s="1" t="s">
        <v>33</v>
      </c>
      <c r="D587" s="1" t="s">
        <v>26</v>
      </c>
      <c r="E587" s="1" t="s">
        <v>27</v>
      </c>
      <c r="F587" s="1" t="n">
        <f aca="false">IFERROR('dens_visc_2pe+mibk'!E22,"")</f>
        <v>50</v>
      </c>
      <c r="G587" s="1" t="n">
        <f aca="false">IFERROR('dens_visc_2pe+mibk'!A25,"")</f>
        <v>0.202551826920771</v>
      </c>
      <c r="H587" s="1" t="n">
        <f aca="false">IFERROR('dens_visc_2pe+mibk'!E25,"")</f>
        <v>0.82098</v>
      </c>
      <c r="I587" s="1" t="n">
        <f aca="false">IFERROR('dens_visc_2pe+mibk'!J25,"")</f>
        <v>-0.597858497590309</v>
      </c>
      <c r="J587" s="1" t="n">
        <f aca="false">IFERROR('dens_visc_2pe+mibk'!E39,"")</f>
        <v>0.603</v>
      </c>
      <c r="K587" s="1" t="str">
        <f aca="false">IF(AND(ISNUMBER(H587),ISNUMBER(I587),ISNUMBER(J587)),"✓",COUNTIF(H587:J587,"&gt;-999")&amp;"/3")</f>
        <v>✓</v>
      </c>
    </row>
    <row r="588" customFormat="false" ht="15" hidden="false" customHeight="true" outlineLevel="0" collapsed="false">
      <c r="A588" s="1" t="s">
        <v>37</v>
      </c>
      <c r="B588" s="1" t="s">
        <v>32</v>
      </c>
      <c r="C588" s="1" t="s">
        <v>33</v>
      </c>
      <c r="D588" s="1" t="s">
        <v>26</v>
      </c>
      <c r="E588" s="1" t="s">
        <v>27</v>
      </c>
      <c r="F588" s="1" t="n">
        <f aca="false">IFERROR('dens_visc_2pe+mibk'!E22,"")</f>
        <v>50</v>
      </c>
      <c r="G588" s="1" t="n">
        <f aca="false">IFERROR('dens_visc_2pe+mibk'!A26,"")</f>
        <v>0.294950185637093</v>
      </c>
      <c r="H588" s="1" t="n">
        <f aca="false">IFERROR('dens_visc_2pe+mibk'!E26,"")</f>
        <v>0.84241</v>
      </c>
      <c r="I588" s="1" t="n">
        <f aca="false">IFERROR('dens_visc_2pe+mibk'!J26,"")</f>
        <v>-0.784225945959676</v>
      </c>
      <c r="J588" s="1" t="n">
        <f aca="false">IFERROR('dens_visc_2pe+mibk'!E40,"")</f>
        <v>0.729</v>
      </c>
      <c r="K588" s="1" t="str">
        <f aca="false">IF(AND(ISNUMBER(H588),ISNUMBER(I588),ISNUMBER(J588)),"✓",COUNTIF(H588:J588,"&gt;-999")&amp;"/3")</f>
        <v>✓</v>
      </c>
    </row>
    <row r="589" customFormat="false" ht="15" hidden="false" customHeight="true" outlineLevel="0" collapsed="false">
      <c r="A589" s="1" t="s">
        <v>37</v>
      </c>
      <c r="B589" s="1" t="s">
        <v>32</v>
      </c>
      <c r="C589" s="1" t="s">
        <v>33</v>
      </c>
      <c r="D589" s="1" t="s">
        <v>26</v>
      </c>
      <c r="E589" s="1" t="s">
        <v>27</v>
      </c>
      <c r="F589" s="1" t="n">
        <f aca="false">IFERROR('dens_visc_2pe+mibk'!E22,"")</f>
        <v>50</v>
      </c>
      <c r="G589" s="1" t="n">
        <f aca="false">IFERROR('dens_visc_2pe+mibk'!A27,"")</f>
        <v>0.403037564900804</v>
      </c>
      <c r="H589" s="1" t="n">
        <f aca="false">IFERROR('dens_visc_2pe+mibk'!E27,"")</f>
        <v>0.86703</v>
      </c>
      <c r="I589" s="1" t="n">
        <f aca="false">IFERROR('dens_visc_2pe+mibk'!J27,"")</f>
        <v>-0.885229976406336</v>
      </c>
      <c r="J589" s="1" t="n">
        <f aca="false">IFERROR('dens_visc_2pe+mibk'!E41,"")</f>
        <v>0.922</v>
      </c>
      <c r="K589" s="1" t="str">
        <f aca="false">IF(AND(ISNUMBER(H589),ISNUMBER(I589),ISNUMBER(J589)),"✓",COUNTIF(H589:J589,"&gt;-999")&amp;"/3")</f>
        <v>✓</v>
      </c>
    </row>
    <row r="590" customFormat="false" ht="15" hidden="false" customHeight="true" outlineLevel="0" collapsed="false">
      <c r="A590" s="1" t="s">
        <v>37</v>
      </c>
      <c r="B590" s="1" t="s">
        <v>32</v>
      </c>
      <c r="C590" s="1" t="s">
        <v>33</v>
      </c>
      <c r="D590" s="1" t="s">
        <v>26</v>
      </c>
      <c r="E590" s="1" t="s">
        <v>27</v>
      </c>
      <c r="F590" s="1" t="n">
        <f aca="false">IFERROR('dens_visc_2pe+mibk'!E22,"")</f>
        <v>50</v>
      </c>
      <c r="G590" s="1" t="n">
        <f aca="false">IFERROR('dens_visc_2pe+mibk'!A28,"")</f>
        <v>0.503427820355105</v>
      </c>
      <c r="H590" s="1" t="n">
        <f aca="false">IFERROR('dens_visc_2pe+mibk'!E28,"")</f>
        <v>0.8897</v>
      </c>
      <c r="I590" s="1" t="n">
        <f aca="false">IFERROR('dens_visc_2pe+mibk'!J28,"")</f>
        <v>-0.90915624568413</v>
      </c>
      <c r="J590" s="1" t="n">
        <f aca="false">IFERROR('dens_visc_2pe+mibk'!E42,"")</f>
        <v>1.157</v>
      </c>
      <c r="K590" s="1" t="str">
        <f aca="false">IF(AND(ISNUMBER(H590),ISNUMBER(I590),ISNUMBER(J590)),"✓",COUNTIF(H590:J590,"&gt;-999")&amp;"/3")</f>
        <v>✓</v>
      </c>
    </row>
    <row r="591" customFormat="false" ht="15" hidden="false" customHeight="true" outlineLevel="0" collapsed="false">
      <c r="A591" s="1" t="s">
        <v>37</v>
      </c>
      <c r="B591" s="1" t="s">
        <v>32</v>
      </c>
      <c r="C591" s="1" t="s">
        <v>33</v>
      </c>
      <c r="D591" s="1" t="s">
        <v>26</v>
      </c>
      <c r="E591" s="1" t="s">
        <v>27</v>
      </c>
      <c r="F591" s="1" t="n">
        <f aca="false">IFERROR('dens_visc_2pe+mibk'!E22,"")</f>
        <v>50</v>
      </c>
      <c r="G591" s="1" t="n">
        <f aca="false">IFERROR('dens_visc_2pe+mibk'!A29,"")</f>
        <v>0.606763452498099</v>
      </c>
      <c r="H591" s="1" t="n">
        <f aca="false">IFERROR('dens_visc_2pe+mibk'!E29,"")</f>
        <v>0.91278</v>
      </c>
      <c r="I591" s="1" t="n">
        <f aca="false">IFERROR('dens_visc_2pe+mibk'!J29,"")</f>
        <v>-0.861605106144182</v>
      </c>
      <c r="J591" s="1" t="n">
        <f aca="false">IFERROR('dens_visc_2pe+mibk'!E43,"")</f>
        <v>1.488</v>
      </c>
      <c r="K591" s="1" t="str">
        <f aca="false">IF(AND(ISNUMBER(H591),ISNUMBER(I591),ISNUMBER(J591)),"✓",COUNTIF(H591:J591,"&gt;-999")&amp;"/3")</f>
        <v>✓</v>
      </c>
    </row>
    <row r="592" customFormat="false" ht="15" hidden="false" customHeight="true" outlineLevel="0" collapsed="false">
      <c r="A592" s="1" t="s">
        <v>37</v>
      </c>
      <c r="B592" s="1" t="s">
        <v>32</v>
      </c>
      <c r="C592" s="1" t="s">
        <v>33</v>
      </c>
      <c r="D592" s="1" t="s">
        <v>26</v>
      </c>
      <c r="E592" s="1" t="s">
        <v>27</v>
      </c>
      <c r="F592" s="1" t="n">
        <f aca="false">IFERROR('dens_visc_2pe+mibk'!E22,"")</f>
        <v>50</v>
      </c>
      <c r="G592" s="1" t="n">
        <f aca="false">IFERROR('dens_visc_2pe+mibk'!A30,"")</f>
        <v>0.701083783054225</v>
      </c>
      <c r="H592" s="1" t="n">
        <f aca="false">IFERROR('dens_visc_2pe+mibk'!E30,"")</f>
        <v>0.93347</v>
      </c>
      <c r="I592" s="1" t="n">
        <f aca="false">IFERROR('dens_visc_2pe+mibk'!J30,"")</f>
        <v>-0.739349165324398</v>
      </c>
      <c r="J592" s="1" t="n">
        <f aca="false">IFERROR('dens_visc_2pe+mibk'!E44,"")</f>
        <v>1.897</v>
      </c>
      <c r="K592" s="1" t="str">
        <f aca="false">IF(AND(ISNUMBER(H592),ISNUMBER(I592),ISNUMBER(J592)),"✓",COUNTIF(H592:J592,"&gt;-999")&amp;"/3")</f>
        <v>✓</v>
      </c>
    </row>
    <row r="593" customFormat="false" ht="15" hidden="false" customHeight="true" outlineLevel="0" collapsed="false">
      <c r="A593" s="1" t="s">
        <v>37</v>
      </c>
      <c r="B593" s="1" t="s">
        <v>32</v>
      </c>
      <c r="C593" s="1" t="s">
        <v>33</v>
      </c>
      <c r="D593" s="1" t="s">
        <v>26</v>
      </c>
      <c r="E593" s="1" t="s">
        <v>27</v>
      </c>
      <c r="F593" s="1" t="n">
        <f aca="false">IFERROR('dens_visc_2pe+mibk'!E22,"")</f>
        <v>50</v>
      </c>
      <c r="G593" s="1" t="n">
        <f aca="false">IFERROR('dens_visc_2pe+mibk'!A31,"")</f>
        <v>0.798845694462126</v>
      </c>
      <c r="H593" s="1" t="n">
        <f aca="false">IFERROR('dens_visc_2pe+mibk'!E31,"")</f>
        <v>0.9547</v>
      </c>
      <c r="I593" s="1" t="n">
        <f aca="false">IFERROR('dens_visc_2pe+mibk'!J31,"")</f>
        <v>-0.560482044607838</v>
      </c>
      <c r="J593" s="1" t="n">
        <f aca="false">IFERROR('dens_visc_2pe+mibk'!E45,"")</f>
        <v>2.472</v>
      </c>
      <c r="K593" s="1" t="str">
        <f aca="false">IF(AND(ISNUMBER(H593),ISNUMBER(I593),ISNUMBER(J593)),"✓",COUNTIF(H593:J593,"&gt;-999")&amp;"/3")</f>
        <v>✓</v>
      </c>
    </row>
    <row r="594" customFormat="false" ht="15" hidden="false" customHeight="true" outlineLevel="0" collapsed="false">
      <c r="A594" s="1" t="s">
        <v>37</v>
      </c>
      <c r="B594" s="1" t="s">
        <v>32</v>
      </c>
      <c r="C594" s="1" t="s">
        <v>33</v>
      </c>
      <c r="D594" s="1" t="s">
        <v>26</v>
      </c>
      <c r="E594" s="1" t="s">
        <v>27</v>
      </c>
      <c r="F594" s="1" t="n">
        <f aca="false">IFERROR('dens_visc_2pe+mibk'!E22,"")</f>
        <v>50</v>
      </c>
      <c r="G594" s="1" t="n">
        <f aca="false">IFERROR('dens_visc_2pe+mibk'!A32,"")</f>
        <v>0.899940898700494</v>
      </c>
      <c r="H594" s="1" t="n">
        <f aca="false">IFERROR('dens_visc_2pe+mibk'!E32,"")</f>
        <v>0.97625</v>
      </c>
      <c r="I594" s="1" t="n">
        <f aca="false">IFERROR('dens_visc_2pe+mibk'!J32,"")</f>
        <v>-0.30181338109513</v>
      </c>
      <c r="J594" s="1" t="n">
        <f aca="false">IFERROR('dens_visc_2pe+mibk'!E46,"")</f>
        <v>3.284</v>
      </c>
      <c r="K594" s="1" t="str">
        <f aca="false">IF(AND(ISNUMBER(H594),ISNUMBER(I594),ISNUMBER(J594)),"✓",COUNTIF(H594:J594,"&gt;-999")&amp;"/3")</f>
        <v>✓</v>
      </c>
    </row>
    <row r="595" customFormat="false" ht="15" hidden="false" customHeight="true" outlineLevel="0" collapsed="false">
      <c r="A595" s="1" t="s">
        <v>37</v>
      </c>
      <c r="B595" s="1" t="s">
        <v>32</v>
      </c>
      <c r="C595" s="1" t="s">
        <v>33</v>
      </c>
      <c r="D595" s="1" t="s">
        <v>26</v>
      </c>
      <c r="E595" s="1" t="s">
        <v>27</v>
      </c>
      <c r="F595" s="1" t="n">
        <f aca="false">IFERROR('dens_visc_2pe+mibk'!E22,"")</f>
        <v>50</v>
      </c>
      <c r="G595" s="1" t="n">
        <f aca="false">IFERROR('dens_visc_2pe+mibk'!A33,"")</f>
        <v>1</v>
      </c>
      <c r="H595" s="1" t="n">
        <f aca="false">IFERROR('dens_visc_2pe+mibk'!E33,"")</f>
        <v>0.99736</v>
      </c>
      <c r="I595" s="1" t="n">
        <f aca="false">IFERROR('dens_visc_2pe+mibk'!J33,"")</f>
        <v>0</v>
      </c>
      <c r="J595" s="1" t="n">
        <f aca="false">IFERROR('dens_visc_2pe+mibk'!E47,"")</f>
        <v>4.368</v>
      </c>
      <c r="K595" s="1" t="str">
        <f aca="false">IF(AND(ISNUMBER(H595),ISNUMBER(I595),ISNUMBER(J595)),"✓",COUNTIF(H595:J595,"&gt;-999")&amp;"/3")</f>
        <v>✓</v>
      </c>
    </row>
    <row r="596" customFormat="false" ht="15" hidden="false" customHeight="true" outlineLevel="0" collapsed="false">
      <c r="A596" s="1" t="s">
        <v>37</v>
      </c>
      <c r="B596" s="1" t="s">
        <v>32</v>
      </c>
      <c r="C596" s="1" t="s">
        <v>33</v>
      </c>
      <c r="D596" s="1" t="s">
        <v>26</v>
      </c>
      <c r="E596" s="1" t="s">
        <v>27</v>
      </c>
      <c r="F596" s="1" t="n">
        <f aca="false">IFERROR('dens_visc_2pe+mibk'!F22,"")</f>
        <v>60</v>
      </c>
      <c r="G596" s="1" t="n">
        <f aca="false">IFERROR('dens_visc_2pe+mibk'!A23,"")</f>
        <v>0</v>
      </c>
      <c r="H596" s="4" t="n">
        <f aca="false">IFERROR('dens_visc_2pe+mibk'!F23,"")</f>
        <v>0.76444</v>
      </c>
      <c r="I596" s="1" t="n">
        <f aca="false">IFERROR('dens_visc_2pe+mibk'!K23,"")</f>
        <v>0</v>
      </c>
      <c r="J596" s="5" t="n">
        <f aca="false">IFERROR('dens_visc_2pe+mibk'!F37,"")</f>
        <v>0.38771</v>
      </c>
      <c r="K596" s="1" t="str">
        <f aca="false">IF(AND(ISNUMBER(H596),ISNUMBER(I596),ISNUMBER(J596)),"✓",COUNTIF(H596:J596,"&gt;-999")&amp;"/3")</f>
        <v>✓</v>
      </c>
    </row>
    <row r="597" customFormat="false" ht="15" hidden="false" customHeight="true" outlineLevel="0" collapsed="false">
      <c r="A597" s="1" t="s">
        <v>37</v>
      </c>
      <c r="B597" s="1" t="s">
        <v>32</v>
      </c>
      <c r="C597" s="1" t="s">
        <v>33</v>
      </c>
      <c r="D597" s="1" t="s">
        <v>26</v>
      </c>
      <c r="E597" s="1" t="s">
        <v>27</v>
      </c>
      <c r="F597" s="1" t="n">
        <f aca="false">IFERROR('dens_visc_2pe+mibk'!F22,"")</f>
        <v>60</v>
      </c>
      <c r="G597" s="1" t="n">
        <f aca="false">IFERROR('dens_visc_2pe+mibk'!A24,"")</f>
        <v>0.105926031920863</v>
      </c>
      <c r="H597" s="1" t="n">
        <f aca="false">IFERROR('dens_visc_2pe+mibk'!F24,"")</f>
        <v>0.78915</v>
      </c>
      <c r="I597" s="1" t="n">
        <f aca="false">IFERROR('dens_visc_2pe+mibk'!K24,"")</f>
        <v>-0.345368418559445</v>
      </c>
      <c r="J597" s="1" t="n">
        <f aca="false">IFERROR('dens_visc_2pe+mibk'!F38,"")</f>
        <v>0.451</v>
      </c>
      <c r="K597" s="1" t="str">
        <f aca="false">IF(AND(ISNUMBER(H597),ISNUMBER(I597),ISNUMBER(J597)),"✓",COUNTIF(H597:J597,"&gt;-999")&amp;"/3")</f>
        <v>✓</v>
      </c>
    </row>
    <row r="598" customFormat="false" ht="15" hidden="false" customHeight="true" outlineLevel="0" collapsed="false">
      <c r="A598" s="1" t="s">
        <v>37</v>
      </c>
      <c r="B598" s="1" t="s">
        <v>32</v>
      </c>
      <c r="C598" s="1" t="s">
        <v>33</v>
      </c>
      <c r="D598" s="1" t="s">
        <v>26</v>
      </c>
      <c r="E598" s="1" t="s">
        <v>27</v>
      </c>
      <c r="F598" s="1" t="n">
        <f aca="false">IFERROR('dens_visc_2pe+mibk'!F22,"")</f>
        <v>60</v>
      </c>
      <c r="G598" s="1" t="n">
        <f aca="false">IFERROR('dens_visc_2pe+mibk'!A25,"")</f>
        <v>0.202551826920771</v>
      </c>
      <c r="H598" s="1" t="n">
        <f aca="false">IFERROR('dens_visc_2pe+mibk'!F25,"")</f>
        <v>0.81198</v>
      </c>
      <c r="I598" s="1" t="n">
        <f aca="false">IFERROR('dens_visc_2pe+mibk'!K25,"")</f>
        <v>-0.645322947056343</v>
      </c>
      <c r="J598" s="1" t="n">
        <f aca="false">IFERROR('dens_visc_2pe+mibk'!F39,"")</f>
        <v>0.536</v>
      </c>
      <c r="K598" s="1" t="str">
        <f aca="false">IF(AND(ISNUMBER(H598),ISNUMBER(I598),ISNUMBER(J598)),"✓",COUNTIF(H598:J598,"&gt;-999")&amp;"/3")</f>
        <v>✓</v>
      </c>
    </row>
    <row r="599" customFormat="false" ht="15" hidden="false" customHeight="true" outlineLevel="0" collapsed="false">
      <c r="A599" s="1" t="s">
        <v>37</v>
      </c>
      <c r="B599" s="1" t="s">
        <v>32</v>
      </c>
      <c r="C599" s="1" t="s">
        <v>33</v>
      </c>
      <c r="D599" s="1" t="s">
        <v>26</v>
      </c>
      <c r="E599" s="1" t="s">
        <v>27</v>
      </c>
      <c r="F599" s="1" t="n">
        <f aca="false">IFERROR('dens_visc_2pe+mibk'!F22,"")</f>
        <v>60</v>
      </c>
      <c r="G599" s="1" t="n">
        <f aca="false">IFERROR('dens_visc_2pe+mibk'!A26,"")</f>
        <v>0.294950185637093</v>
      </c>
      <c r="H599" s="1" t="n">
        <f aca="false">IFERROR('dens_visc_2pe+mibk'!F26,"")</f>
        <v>0.83358</v>
      </c>
      <c r="I599" s="1" t="n">
        <f aca="false">IFERROR('dens_visc_2pe+mibk'!K26,"")</f>
        <v>-0.843742334652688</v>
      </c>
      <c r="J599" s="1" t="n">
        <f aca="false">IFERROR('dens_visc_2pe+mibk'!F40,"")</f>
        <v>0.639</v>
      </c>
      <c r="K599" s="1" t="str">
        <f aca="false">IF(AND(ISNUMBER(H599),ISNUMBER(I599),ISNUMBER(J599)),"✓",COUNTIF(H599:J599,"&gt;-999")&amp;"/3")</f>
        <v>✓</v>
      </c>
    </row>
    <row r="600" customFormat="false" ht="15" hidden="false" customHeight="true" outlineLevel="0" collapsed="false">
      <c r="A600" s="1" t="s">
        <v>37</v>
      </c>
      <c r="B600" s="1" t="s">
        <v>32</v>
      </c>
      <c r="C600" s="1" t="s">
        <v>33</v>
      </c>
      <c r="D600" s="1" t="s">
        <v>26</v>
      </c>
      <c r="E600" s="1" t="s">
        <v>27</v>
      </c>
      <c r="F600" s="1" t="n">
        <f aca="false">IFERROR('dens_visc_2pe+mibk'!F22,"")</f>
        <v>60</v>
      </c>
      <c r="G600" s="1" t="n">
        <f aca="false">IFERROR('dens_visc_2pe+mibk'!A27,"")</f>
        <v>0.403037564900804</v>
      </c>
      <c r="H600" s="1" t="n">
        <f aca="false">IFERROR('dens_visc_2pe+mibk'!F27,"")</f>
        <v>0.8584</v>
      </c>
      <c r="I600" s="1" t="n">
        <f aca="false">IFERROR('dens_visc_2pe+mibk'!K27,"")</f>
        <v>-0.952204071123717</v>
      </c>
      <c r="J600" s="1" t="n">
        <f aca="false">IFERROR('dens_visc_2pe+mibk'!F41,"")</f>
        <v>0.795</v>
      </c>
      <c r="K600" s="1" t="str">
        <f aca="false">IF(AND(ISNUMBER(H600),ISNUMBER(I600),ISNUMBER(J600)),"✓",COUNTIF(H600:J600,"&gt;-999")&amp;"/3")</f>
        <v>✓</v>
      </c>
    </row>
    <row r="601" customFormat="false" ht="15" hidden="false" customHeight="true" outlineLevel="0" collapsed="false">
      <c r="A601" s="1" t="s">
        <v>37</v>
      </c>
      <c r="B601" s="1" t="s">
        <v>32</v>
      </c>
      <c r="C601" s="1" t="s">
        <v>33</v>
      </c>
      <c r="D601" s="1" t="s">
        <v>26</v>
      </c>
      <c r="E601" s="1" t="s">
        <v>27</v>
      </c>
      <c r="F601" s="1" t="n">
        <f aca="false">IFERROR('dens_visc_2pe+mibk'!F22,"")</f>
        <v>60</v>
      </c>
      <c r="G601" s="1" t="n">
        <f aca="false">IFERROR('dens_visc_2pe+mibk'!A28,"")</f>
        <v>0.503427820355105</v>
      </c>
      <c r="H601" s="1" t="n">
        <f aca="false">IFERROR('dens_visc_2pe+mibk'!F28,"")</f>
        <v>0.88124</v>
      </c>
      <c r="I601" s="1" t="n">
        <f aca="false">IFERROR('dens_visc_2pe+mibk'!K28,"")</f>
        <v>-0.975640482182357</v>
      </c>
      <c r="J601" s="1" t="n">
        <f aca="false">IFERROR('dens_visc_2pe+mibk'!F42,"")</f>
        <v>0.984</v>
      </c>
      <c r="K601" s="1" t="str">
        <f aca="false">IF(AND(ISNUMBER(H601),ISNUMBER(I601),ISNUMBER(J601)),"✓",COUNTIF(H601:J601,"&gt;-999")&amp;"/3")</f>
        <v>✓</v>
      </c>
    </row>
    <row r="602" customFormat="false" ht="15" hidden="false" customHeight="true" outlineLevel="0" collapsed="false">
      <c r="A602" s="1" t="s">
        <v>37</v>
      </c>
      <c r="B602" s="1" t="s">
        <v>32</v>
      </c>
      <c r="C602" s="1" t="s">
        <v>33</v>
      </c>
      <c r="D602" s="1" t="s">
        <v>26</v>
      </c>
      <c r="E602" s="1" t="s">
        <v>27</v>
      </c>
      <c r="F602" s="1" t="n">
        <f aca="false">IFERROR('dens_visc_2pe+mibk'!F22,"")</f>
        <v>60</v>
      </c>
      <c r="G602" s="1" t="n">
        <f aca="false">IFERROR('dens_visc_2pe+mibk'!A29,"")</f>
        <v>0.606763452498099</v>
      </c>
      <c r="H602" s="1" t="n">
        <f aca="false">IFERROR('dens_visc_2pe+mibk'!F29,"")</f>
        <v>0.90449</v>
      </c>
      <c r="I602" s="1" t="n">
        <f aca="false">IFERROR('dens_visc_2pe+mibk'!K29,"")</f>
        <v>-0.922255278957337</v>
      </c>
      <c r="J602" s="1" t="n">
        <f aca="false">IFERROR('dens_visc_2pe+mibk'!F43,"")</f>
        <v>1.236</v>
      </c>
      <c r="K602" s="1" t="str">
        <f aca="false">IF(AND(ISNUMBER(H602),ISNUMBER(I602),ISNUMBER(J602)),"✓",COUNTIF(H602:J602,"&gt;-999")&amp;"/3")</f>
        <v>✓</v>
      </c>
    </row>
    <row r="603" customFormat="false" ht="15" hidden="false" customHeight="true" outlineLevel="0" collapsed="false">
      <c r="A603" s="1" t="s">
        <v>37</v>
      </c>
      <c r="B603" s="1" t="s">
        <v>32</v>
      </c>
      <c r="C603" s="1" t="s">
        <v>33</v>
      </c>
      <c r="D603" s="1" t="s">
        <v>26</v>
      </c>
      <c r="E603" s="1" t="s">
        <v>27</v>
      </c>
      <c r="F603" s="1" t="n">
        <f aca="false">IFERROR('dens_visc_2pe+mibk'!F22,"")</f>
        <v>60</v>
      </c>
      <c r="G603" s="1" t="n">
        <f aca="false">IFERROR('dens_visc_2pe+mibk'!A30,"")</f>
        <v>0.701083783054225</v>
      </c>
      <c r="H603" s="1" t="n">
        <f aca="false">IFERROR('dens_visc_2pe+mibk'!F30,"")</f>
        <v>0.92533</v>
      </c>
      <c r="I603" s="1" t="n">
        <f aca="false">IFERROR('dens_visc_2pe+mibk'!K30,"")</f>
        <v>-0.789973075510901</v>
      </c>
      <c r="J603" s="1" t="n">
        <f aca="false">IFERROR('dens_visc_2pe+mibk'!F44,"")</f>
        <v>1.54</v>
      </c>
      <c r="K603" s="1" t="str">
        <f aca="false">IF(AND(ISNUMBER(H603),ISNUMBER(I603),ISNUMBER(J603)),"✓",COUNTIF(H603:J603,"&gt;-999")&amp;"/3")</f>
        <v>✓</v>
      </c>
    </row>
    <row r="604" customFormat="false" ht="15" hidden="false" customHeight="true" outlineLevel="0" collapsed="false">
      <c r="A604" s="1" t="s">
        <v>37</v>
      </c>
      <c r="B604" s="1" t="s">
        <v>32</v>
      </c>
      <c r="C604" s="1" t="s">
        <v>33</v>
      </c>
      <c r="D604" s="1" t="s">
        <v>26</v>
      </c>
      <c r="E604" s="1" t="s">
        <v>27</v>
      </c>
      <c r="F604" s="1" t="n">
        <f aca="false">IFERROR('dens_visc_2pe+mibk'!F22,"")</f>
        <v>60</v>
      </c>
      <c r="G604" s="1" t="n">
        <f aca="false">IFERROR('dens_visc_2pe+mibk'!A31,"")</f>
        <v>0.798845694462126</v>
      </c>
      <c r="H604" s="1" t="n">
        <f aca="false">IFERROR('dens_visc_2pe+mibk'!F31,"")</f>
        <v>0.94672</v>
      </c>
      <c r="I604" s="1" t="n">
        <f aca="false">IFERROR('dens_visc_2pe+mibk'!K31,"")</f>
        <v>-0.598107488243116</v>
      </c>
      <c r="J604" s="1" t="n">
        <f aca="false">IFERROR('dens_visc_2pe+mibk'!F45,"")</f>
        <v>1.957</v>
      </c>
      <c r="K604" s="1" t="str">
        <f aca="false">IF(AND(ISNUMBER(H604),ISNUMBER(I604),ISNUMBER(J604)),"✓",COUNTIF(H604:J604,"&gt;-999")&amp;"/3")</f>
        <v>✓</v>
      </c>
    </row>
    <row r="605" customFormat="false" ht="15" hidden="false" customHeight="true" outlineLevel="0" collapsed="false">
      <c r="A605" s="1" t="s">
        <v>37</v>
      </c>
      <c r="B605" s="1" t="s">
        <v>32</v>
      </c>
      <c r="C605" s="1" t="s">
        <v>33</v>
      </c>
      <c r="D605" s="1" t="s">
        <v>26</v>
      </c>
      <c r="E605" s="1" t="s">
        <v>27</v>
      </c>
      <c r="F605" s="1" t="n">
        <f aca="false">IFERROR('dens_visc_2pe+mibk'!F22,"")</f>
        <v>60</v>
      </c>
      <c r="G605" s="1" t="n">
        <f aca="false">IFERROR('dens_visc_2pe+mibk'!A32,"")</f>
        <v>0.899940898700494</v>
      </c>
      <c r="H605" s="1" t="n">
        <f aca="false">IFERROR('dens_visc_2pe+mibk'!F32,"")</f>
        <v>0.96842</v>
      </c>
      <c r="I605" s="1" t="n">
        <f aca="false">IFERROR('dens_visc_2pe+mibk'!K32,"")</f>
        <v>-0.320527898170084</v>
      </c>
      <c r="J605" s="1" t="n">
        <f aca="false">IFERROR('dens_visc_2pe+mibk'!F46,"")</f>
        <v>2.524</v>
      </c>
      <c r="K605" s="1" t="str">
        <f aca="false">IF(AND(ISNUMBER(H605),ISNUMBER(I605),ISNUMBER(J605)),"✓",COUNTIF(H605:J605,"&gt;-999")&amp;"/3")</f>
        <v>✓</v>
      </c>
    </row>
    <row r="606" customFormat="false" ht="15" hidden="false" customHeight="true" outlineLevel="0" collapsed="false">
      <c r="A606" s="1" t="s">
        <v>37</v>
      </c>
      <c r="B606" s="1" t="s">
        <v>32</v>
      </c>
      <c r="C606" s="1" t="s">
        <v>33</v>
      </c>
      <c r="D606" s="1" t="s">
        <v>26</v>
      </c>
      <c r="E606" s="1" t="s">
        <v>27</v>
      </c>
      <c r="F606" s="1" t="n">
        <f aca="false">IFERROR('dens_visc_2pe+mibk'!F22,"")</f>
        <v>60</v>
      </c>
      <c r="G606" s="1" t="n">
        <f aca="false">IFERROR('dens_visc_2pe+mibk'!A33,"")</f>
        <v>1</v>
      </c>
      <c r="H606" s="1" t="n">
        <f aca="false">IFERROR('dens_visc_2pe+mibk'!F33,"")</f>
        <v>0.9897</v>
      </c>
      <c r="I606" s="1" t="n">
        <f aca="false">IFERROR('dens_visc_2pe+mibk'!K33,"")</f>
        <v>0</v>
      </c>
      <c r="J606" s="1" t="n">
        <f aca="false">IFERROR('dens_visc_2pe+mibk'!F47,"")</f>
        <v>3.252</v>
      </c>
      <c r="K606" s="1" t="str">
        <f aca="false">IF(AND(ISNUMBER(H606),ISNUMBER(I606),ISNUMBER(J606)),"✓",COUNTIF(H606:J606,"&gt;-999")&amp;"/3")</f>
        <v>✓</v>
      </c>
    </row>
    <row r="607" customFormat="false" ht="15" hidden="false" customHeight="true" outlineLevel="0" collapsed="false">
      <c r="A607" s="1" t="s">
        <v>38</v>
      </c>
      <c r="B607" s="1" t="s">
        <v>32</v>
      </c>
      <c r="C607" s="1" t="s">
        <v>33</v>
      </c>
      <c r="D607" s="1" t="s">
        <v>29</v>
      </c>
      <c r="E607" s="1" t="s">
        <v>30</v>
      </c>
      <c r="F607" s="1" t="n">
        <f aca="false">IFERROR('dens_visc_2pe+2octanone'!B22,"")</f>
        <v>20</v>
      </c>
      <c r="G607" s="1" t="n">
        <f aca="false">IFERROR('dens_visc_2pe+2octanone'!A23,"")</f>
        <v>0</v>
      </c>
      <c r="H607" s="1" t="n">
        <f aca="false">IFERROR('dens_visc_2pe+2octanone'!B23,"")</f>
        <v>0.81906</v>
      </c>
      <c r="I607" s="1" t="n">
        <f aca="false">IFERROR('dens_visc_2pe+2octanone'!G23,"")</f>
        <v>0</v>
      </c>
      <c r="J607" s="1" t="n">
        <f aca="false">IFERROR('dens_visc_2pe+2octanone'!B37,"")</f>
        <v>1.01</v>
      </c>
      <c r="K607" s="1" t="str">
        <f aca="false">IF(AND(ISNUMBER(H607),ISNUMBER(I607),ISNUMBER(J607)),"✓",COUNTIF(H607:J607,"&gt;-999")&amp;"/3")</f>
        <v>✓</v>
      </c>
    </row>
    <row r="608" customFormat="false" ht="15" hidden="false" customHeight="true" outlineLevel="0" collapsed="false">
      <c r="A608" s="1" t="s">
        <v>38</v>
      </c>
      <c r="B608" s="1" t="s">
        <v>32</v>
      </c>
      <c r="C608" s="1" t="s">
        <v>33</v>
      </c>
      <c r="D608" s="1" t="s">
        <v>29</v>
      </c>
      <c r="E608" s="1" t="s">
        <v>30</v>
      </c>
      <c r="F608" s="1" t="n">
        <f aca="false">IFERROR('dens_visc_2pe+2octanone'!B22,"")</f>
        <v>20</v>
      </c>
      <c r="G608" s="1" t="n">
        <f aca="false">IFERROR('dens_visc_2pe+2octanone'!A24,"")</f>
        <v>0.10290767799473</v>
      </c>
      <c r="H608" s="1" t="n">
        <f aca="false">IFERROR('dens_visc_2pe+2octanone'!B24,"")</f>
        <v>0.83583</v>
      </c>
      <c r="I608" s="1" t="n">
        <f aca="false">IFERROR('dens_visc_2pe+2octanone'!G24,"")</f>
        <v>-0.103603517482213</v>
      </c>
      <c r="J608" s="1" t="n">
        <f aca="false">IFERROR('dens_visc_2pe+2octanone'!B38,"")</f>
        <v>1.181</v>
      </c>
      <c r="K608" s="1" t="str">
        <f aca="false">IF(AND(ISNUMBER(H608),ISNUMBER(I608),ISNUMBER(J608)),"✓",COUNTIF(H608:J608,"&gt;-999")&amp;"/3")</f>
        <v>✓</v>
      </c>
    </row>
    <row r="609" customFormat="false" ht="15" hidden="false" customHeight="true" outlineLevel="0" collapsed="false">
      <c r="A609" s="1" t="s">
        <v>38</v>
      </c>
      <c r="B609" s="1" t="s">
        <v>32</v>
      </c>
      <c r="C609" s="1" t="s">
        <v>33</v>
      </c>
      <c r="D609" s="1" t="s">
        <v>29</v>
      </c>
      <c r="E609" s="1" t="s">
        <v>30</v>
      </c>
      <c r="F609" s="1" t="n">
        <f aca="false">IFERROR('dens_visc_2pe+2octanone'!B22,"")</f>
        <v>20</v>
      </c>
      <c r="G609" s="1" t="n">
        <f aca="false">IFERROR('dens_visc_2pe+2octanone'!A25,"")</f>
        <v>0.184061205395094</v>
      </c>
      <c r="H609" s="1" t="n">
        <f aca="false">IFERROR('dens_visc_2pe+2octanone'!B25,"")</f>
        <v>0.8497</v>
      </c>
      <c r="I609" s="1" t="n">
        <f aca="false">IFERROR('dens_visc_2pe+2octanone'!G25,"")</f>
        <v>-0.190702765452215</v>
      </c>
      <c r="J609" s="1" t="n">
        <f aca="false">IFERROR('dens_visc_2pe+2octanone'!B39,"")</f>
        <v>1.355</v>
      </c>
      <c r="K609" s="1" t="str">
        <f aca="false">IF(AND(ISNUMBER(H609),ISNUMBER(I609),ISNUMBER(J609)),"✓",COUNTIF(H609:J609,"&gt;-999")&amp;"/3")</f>
        <v>✓</v>
      </c>
    </row>
    <row r="610" customFormat="false" ht="15" hidden="false" customHeight="true" outlineLevel="0" collapsed="false">
      <c r="A610" s="1" t="s">
        <v>38</v>
      </c>
      <c r="B610" s="1" t="s">
        <v>32</v>
      </c>
      <c r="C610" s="1" t="s">
        <v>33</v>
      </c>
      <c r="D610" s="1" t="s">
        <v>29</v>
      </c>
      <c r="E610" s="1" t="s">
        <v>30</v>
      </c>
      <c r="F610" s="1" t="n">
        <f aca="false">IFERROR('dens_visc_2pe+2octanone'!B22,"")</f>
        <v>20</v>
      </c>
      <c r="G610" s="1" t="n">
        <f aca="false">IFERROR('dens_visc_2pe+2octanone'!A26,"")</f>
        <v>0.285587520662777</v>
      </c>
      <c r="H610" s="1" t="n">
        <f aca="false">IFERROR('dens_visc_2pe+2octanone'!B26,"")</f>
        <v>0.86769</v>
      </c>
      <c r="I610" s="1" t="n">
        <f aca="false">IFERROR('dens_visc_2pe+2octanone'!G26,"")</f>
        <v>-0.268659945245247</v>
      </c>
      <c r="J610" s="1" t="n">
        <f aca="false">IFERROR('dens_visc_2pe+2octanone'!B40,"")</f>
        <v>1.613</v>
      </c>
      <c r="K610" s="1" t="str">
        <f aca="false">IF(AND(ISNUMBER(H610),ISNUMBER(I610),ISNUMBER(J610)),"✓",COUNTIF(H610:J610,"&gt;-999")&amp;"/3")</f>
        <v>✓</v>
      </c>
    </row>
    <row r="611" customFormat="false" ht="15" hidden="false" customHeight="true" outlineLevel="0" collapsed="false">
      <c r="A611" s="1" t="s">
        <v>38</v>
      </c>
      <c r="B611" s="1" t="s">
        <v>32</v>
      </c>
      <c r="C611" s="1" t="s">
        <v>33</v>
      </c>
      <c r="D611" s="1" t="s">
        <v>29</v>
      </c>
      <c r="E611" s="1" t="s">
        <v>30</v>
      </c>
      <c r="F611" s="1" t="n">
        <f aca="false">IFERROR('dens_visc_2pe+2octanone'!B22,"")</f>
        <v>20</v>
      </c>
      <c r="G611" s="1" t="n">
        <f aca="false">IFERROR('dens_visc_2pe+2octanone'!A27,"")</f>
        <v>0.441946578451035</v>
      </c>
      <c r="H611" s="1" t="n">
        <f aca="false">IFERROR('dens_visc_2pe+2octanone'!B27,"")</f>
        <v>0.897</v>
      </c>
      <c r="I611" s="1" t="n">
        <f aca="false">IFERROR('dens_visc_2pe+2octanone'!G27,"")</f>
        <v>-0.340021897775301</v>
      </c>
      <c r="J611" s="1" t="n">
        <f aca="false">IFERROR('dens_visc_2pe+2octanone'!B41,"")</f>
        <v>2.24</v>
      </c>
      <c r="K611" s="1" t="str">
        <f aca="false">IF(AND(ISNUMBER(H611),ISNUMBER(I611),ISNUMBER(J611)),"✓",COUNTIF(H611:J611,"&gt;-999")&amp;"/3")</f>
        <v>✓</v>
      </c>
    </row>
    <row r="612" customFormat="false" ht="15" hidden="false" customHeight="true" outlineLevel="0" collapsed="false">
      <c r="A612" s="1" t="s">
        <v>38</v>
      </c>
      <c r="B612" s="1" t="s">
        <v>32</v>
      </c>
      <c r="C612" s="1" t="s">
        <v>33</v>
      </c>
      <c r="D612" s="1" t="s">
        <v>29</v>
      </c>
      <c r="E612" s="1" t="s">
        <v>30</v>
      </c>
      <c r="F612" s="1" t="n">
        <f aca="false">IFERROR('dens_visc_2pe+2octanone'!B22,"")</f>
        <v>20</v>
      </c>
      <c r="G612" s="1" t="n">
        <f aca="false">IFERROR('dens_visc_2pe+2octanone'!A28,"")</f>
        <v>0.507809776347763</v>
      </c>
      <c r="H612" s="1" t="n">
        <f aca="false">IFERROR('dens_visc_2pe+2octanone'!B28,"")</f>
        <v>0.90981</v>
      </c>
      <c r="I612" s="1" t="n">
        <f aca="false">IFERROR('dens_visc_2pe+2octanone'!G28,"")</f>
        <v>-0.327964927951115</v>
      </c>
      <c r="J612" s="1" t="n">
        <f aca="false">IFERROR('dens_visc_2pe+2octanone'!B42,"")</f>
        <v>2.623</v>
      </c>
      <c r="K612" s="1" t="str">
        <f aca="false">IF(AND(ISNUMBER(H612),ISNUMBER(I612),ISNUMBER(J612)),"✓",COUNTIF(H612:J612,"&gt;-999")&amp;"/3")</f>
        <v>✓</v>
      </c>
    </row>
    <row r="613" customFormat="false" ht="15" hidden="false" customHeight="true" outlineLevel="0" collapsed="false">
      <c r="A613" s="1" t="s">
        <v>38</v>
      </c>
      <c r="B613" s="1" t="s">
        <v>32</v>
      </c>
      <c r="C613" s="1" t="s">
        <v>33</v>
      </c>
      <c r="D613" s="1" t="s">
        <v>29</v>
      </c>
      <c r="E613" s="1" t="s">
        <v>30</v>
      </c>
      <c r="F613" s="1" t="n">
        <f aca="false">IFERROR('dens_visc_2pe+2octanone'!B22,"")</f>
        <v>20</v>
      </c>
      <c r="G613" s="1" t="n">
        <f aca="false">IFERROR('dens_visc_2pe+2octanone'!A29,"")</f>
        <v>0.603034895845163</v>
      </c>
      <c r="H613" s="1" t="n">
        <f aca="false">IFERROR('dens_visc_2pe+2octanone'!B29,"")</f>
        <v>0.92932</v>
      </c>
      <c r="I613" s="1" t="n">
        <f aca="false">IFERROR('dens_visc_2pe+2octanone'!G29,"")</f>
        <v>-0.335846964846837</v>
      </c>
      <c r="J613" s="1" t="n">
        <f aca="false">IFERROR('dens_visc_2pe+2octanone'!B43,"")</f>
        <v>3.386</v>
      </c>
      <c r="K613" s="1" t="str">
        <f aca="false">IF(AND(ISNUMBER(H613),ISNUMBER(I613),ISNUMBER(J613)),"✓",COUNTIF(H613:J613,"&gt;-999")&amp;"/3")</f>
        <v>✓</v>
      </c>
    </row>
    <row r="614" customFormat="false" ht="15" hidden="false" customHeight="true" outlineLevel="0" collapsed="false">
      <c r="A614" s="1" t="s">
        <v>38</v>
      </c>
      <c r="B614" s="1" t="s">
        <v>32</v>
      </c>
      <c r="C614" s="1" t="s">
        <v>33</v>
      </c>
      <c r="D614" s="1" t="s">
        <v>29</v>
      </c>
      <c r="E614" s="1" t="s">
        <v>30</v>
      </c>
      <c r="F614" s="1" t="n">
        <f aca="false">IFERROR('dens_visc_2pe+2octanone'!B22,"")</f>
        <v>20</v>
      </c>
      <c r="G614" s="1" t="n">
        <f aca="false">IFERROR('dens_visc_2pe+2octanone'!A30,"")</f>
        <v>0.703422225953614</v>
      </c>
      <c r="H614" s="1" t="n">
        <f aca="false">IFERROR('dens_visc_2pe+2octanone'!B30,"")</f>
        <v>0.95074</v>
      </c>
      <c r="I614" s="1" t="n">
        <f aca="false">IFERROR('dens_visc_2pe+2octanone'!G30,"")</f>
        <v>-0.305135583584274</v>
      </c>
      <c r="J614" s="1" t="n">
        <f aca="false">IFERROR('dens_visc_2pe+2octanone'!B44,"")</f>
        <v>4.556</v>
      </c>
      <c r="K614" s="1" t="str">
        <f aca="false">IF(AND(ISNUMBER(H614),ISNUMBER(I614),ISNUMBER(J614)),"✓",COUNTIF(H614:J614,"&gt;-999")&amp;"/3")</f>
        <v>✓</v>
      </c>
    </row>
    <row r="615" customFormat="false" ht="15" hidden="false" customHeight="true" outlineLevel="0" collapsed="false">
      <c r="A615" s="1" t="s">
        <v>38</v>
      </c>
      <c r="B615" s="1" t="s">
        <v>32</v>
      </c>
      <c r="C615" s="1" t="s">
        <v>33</v>
      </c>
      <c r="D615" s="1" t="s">
        <v>29</v>
      </c>
      <c r="E615" s="1" t="s">
        <v>30</v>
      </c>
      <c r="F615" s="1" t="n">
        <f aca="false">IFERROR('dens_visc_2pe+2octanone'!B22,"")</f>
        <v>20</v>
      </c>
      <c r="G615" s="1" t="n">
        <f aca="false">IFERROR('dens_visc_2pe+2octanone'!A31,"")</f>
        <v>0.803310581963571</v>
      </c>
      <c r="H615" s="1" t="n">
        <f aca="false">IFERROR('dens_visc_2pe+2octanone'!B31,"")</f>
        <v>0.97288</v>
      </c>
      <c r="I615" s="1" t="n">
        <f aca="false">IFERROR('dens_visc_2pe+2octanone'!G31,"")</f>
        <v>-0.222335659552982</v>
      </c>
      <c r="J615" s="1" t="n">
        <f aca="false">IFERROR('dens_visc_2pe+2octanone'!B45,"")</f>
        <v>6.391</v>
      </c>
      <c r="K615" s="1" t="str">
        <f aca="false">IF(AND(ISNUMBER(H615),ISNUMBER(I615),ISNUMBER(J615)),"✓",COUNTIF(H615:J615,"&gt;-999")&amp;"/3")</f>
        <v>✓</v>
      </c>
    </row>
    <row r="616" customFormat="false" ht="15" hidden="false" customHeight="true" outlineLevel="0" collapsed="false">
      <c r="A616" s="1" t="s">
        <v>38</v>
      </c>
      <c r="B616" s="1" t="s">
        <v>32</v>
      </c>
      <c r="C616" s="1" t="s">
        <v>33</v>
      </c>
      <c r="D616" s="1" t="s">
        <v>29</v>
      </c>
      <c r="E616" s="1" t="s">
        <v>30</v>
      </c>
      <c r="F616" s="1" t="n">
        <f aca="false">IFERROR('dens_visc_2pe+2octanone'!B22,"")</f>
        <v>20</v>
      </c>
      <c r="G616" s="1" t="n">
        <f aca="false">IFERROR('dens_visc_2pe+2octanone'!A32,"")</f>
        <v>0.90095052307922</v>
      </c>
      <c r="H616" s="1" t="n">
        <f aca="false">IFERROR('dens_visc_2pe+2octanone'!B32,"")</f>
        <v>0.99558</v>
      </c>
      <c r="I616" s="1" t="n">
        <f aca="false">IFERROR('dens_visc_2pe+2octanone'!G32,"")</f>
        <v>-0.118212127099653</v>
      </c>
      <c r="J616" s="1" t="n">
        <f aca="false">IFERROR('dens_visc_2pe+2octanone'!B46,"")</f>
        <v>9.264</v>
      </c>
      <c r="K616" s="1" t="str">
        <f aca="false">IF(AND(ISNUMBER(H616),ISNUMBER(I616),ISNUMBER(J616)),"✓",COUNTIF(H616:J616,"&gt;-999")&amp;"/3")</f>
        <v>✓</v>
      </c>
    </row>
    <row r="617" customFormat="false" ht="15" hidden="false" customHeight="true" outlineLevel="0" collapsed="false">
      <c r="A617" s="1" t="s">
        <v>38</v>
      </c>
      <c r="B617" s="1" t="s">
        <v>32</v>
      </c>
      <c r="C617" s="1" t="s">
        <v>33</v>
      </c>
      <c r="D617" s="1" t="s">
        <v>29</v>
      </c>
      <c r="E617" s="1" t="s">
        <v>30</v>
      </c>
      <c r="F617" s="1" t="n">
        <f aca="false">IFERROR('dens_visc_2pe+2octanone'!B22,"")</f>
        <v>20</v>
      </c>
      <c r="G617" s="1" t="n">
        <f aca="false">IFERROR('dens_visc_2pe+2octanone'!A33,"")</f>
        <v>1</v>
      </c>
      <c r="H617" s="1" t="n">
        <f aca="false">IFERROR('dens_visc_2pe+2octanone'!B33,"")</f>
        <v>1.01985</v>
      </c>
      <c r="I617" s="1" t="n">
        <f aca="false">IFERROR('dens_visc_2pe+2octanone'!G33,"")</f>
        <v>0</v>
      </c>
      <c r="J617" s="1" t="n">
        <f aca="false">IFERROR('dens_visc_2pe+2octanone'!B47,"")</f>
        <v>14.04</v>
      </c>
      <c r="K617" s="1" t="str">
        <f aca="false">IF(AND(ISNUMBER(H617),ISNUMBER(I617),ISNUMBER(J617)),"✓",COUNTIF(H617:J617,"&gt;-999")&amp;"/3")</f>
        <v>✓</v>
      </c>
    </row>
    <row r="618" customFormat="false" ht="15" hidden="false" customHeight="true" outlineLevel="0" collapsed="false">
      <c r="A618" s="1" t="s">
        <v>38</v>
      </c>
      <c r="B618" s="1" t="s">
        <v>32</v>
      </c>
      <c r="C618" s="1" t="s">
        <v>33</v>
      </c>
      <c r="D618" s="1" t="s">
        <v>29</v>
      </c>
      <c r="E618" s="1" t="s">
        <v>30</v>
      </c>
      <c r="F618" s="1" t="n">
        <f aca="false">IFERROR('dens_visc_2pe+2octanone'!C22,"")</f>
        <v>30</v>
      </c>
      <c r="G618" s="1" t="n">
        <f aca="false">IFERROR('dens_visc_2pe+2octanone'!A23,"")</f>
        <v>0</v>
      </c>
      <c r="H618" s="1" t="n">
        <f aca="false">IFERROR('dens_visc_2pe+2octanone'!C23,"")</f>
        <v>0.81089</v>
      </c>
      <c r="I618" s="1" t="n">
        <f aca="false">IFERROR('dens_visc_2pe+2octanone'!H23,"")</f>
        <v>0</v>
      </c>
      <c r="J618" s="1" t="n">
        <f aca="false">IFERROR('dens_visc_2pe+2octanone'!C37,"")</f>
        <v>0.869</v>
      </c>
      <c r="K618" s="1" t="str">
        <f aca="false">IF(AND(ISNUMBER(H618),ISNUMBER(I618),ISNUMBER(J618)),"✓",COUNTIF(H618:J618,"&gt;-999")&amp;"/3")</f>
        <v>✓</v>
      </c>
    </row>
    <row r="619" customFormat="false" ht="15" hidden="false" customHeight="true" outlineLevel="0" collapsed="false">
      <c r="A619" s="1" t="s">
        <v>38</v>
      </c>
      <c r="B619" s="1" t="s">
        <v>32</v>
      </c>
      <c r="C619" s="1" t="s">
        <v>33</v>
      </c>
      <c r="D619" s="1" t="s">
        <v>29</v>
      </c>
      <c r="E619" s="1" t="s">
        <v>30</v>
      </c>
      <c r="F619" s="1" t="n">
        <f aca="false">IFERROR('dens_visc_2pe+2octanone'!C22,"")</f>
        <v>30</v>
      </c>
      <c r="G619" s="1" t="n">
        <f aca="false">IFERROR('dens_visc_2pe+2octanone'!A24,"")</f>
        <v>0.10290767799473</v>
      </c>
      <c r="H619" s="1" t="n">
        <f aca="false">IFERROR('dens_visc_2pe+2octanone'!C24,"")</f>
        <v>0.82771</v>
      </c>
      <c r="I619" s="1" t="n">
        <f aca="false">IFERROR('dens_visc_2pe+2octanone'!H24,"")</f>
        <v>-0.111145086795119</v>
      </c>
      <c r="J619" s="1" t="n">
        <f aca="false">IFERROR('dens_visc_2pe+2octanone'!C38,"")</f>
        <v>1.004</v>
      </c>
      <c r="K619" s="1" t="str">
        <f aca="false">IF(AND(ISNUMBER(H619),ISNUMBER(I619),ISNUMBER(J619)),"✓",COUNTIF(H619:J619,"&gt;-999")&amp;"/3")</f>
        <v>✓</v>
      </c>
    </row>
    <row r="620" customFormat="false" ht="15" hidden="false" customHeight="true" outlineLevel="0" collapsed="false">
      <c r="A620" s="1" t="s">
        <v>38</v>
      </c>
      <c r="B620" s="1" t="s">
        <v>32</v>
      </c>
      <c r="C620" s="1" t="s">
        <v>33</v>
      </c>
      <c r="D620" s="1" t="s">
        <v>29</v>
      </c>
      <c r="E620" s="1" t="s">
        <v>30</v>
      </c>
      <c r="F620" s="1" t="n">
        <f aca="false">IFERROR('dens_visc_2pe+2octanone'!C22,"")</f>
        <v>30</v>
      </c>
      <c r="G620" s="1" t="n">
        <f aca="false">IFERROR('dens_visc_2pe+2octanone'!A25,"")</f>
        <v>0.184061205395094</v>
      </c>
      <c r="H620" s="1" t="n">
        <f aca="false">IFERROR('dens_visc_2pe+2octanone'!C25,"")</f>
        <v>0.84158</v>
      </c>
      <c r="I620" s="1" t="n">
        <f aca="false">IFERROR('dens_visc_2pe+2octanone'!H25,"")</f>
        <v>-0.195697644342005</v>
      </c>
      <c r="J620" s="1" t="n">
        <f aca="false">IFERROR('dens_visc_2pe+2octanone'!C39,"")</f>
        <v>1.13</v>
      </c>
      <c r="K620" s="1" t="str">
        <f aca="false">IF(AND(ISNUMBER(H620),ISNUMBER(I620),ISNUMBER(J620)),"✓",COUNTIF(H620:J620,"&gt;-999")&amp;"/3")</f>
        <v>✓</v>
      </c>
    </row>
    <row r="621" customFormat="false" ht="15" hidden="false" customHeight="true" outlineLevel="0" collapsed="false">
      <c r="A621" s="1" t="s">
        <v>38</v>
      </c>
      <c r="B621" s="1" t="s">
        <v>32</v>
      </c>
      <c r="C621" s="1" t="s">
        <v>33</v>
      </c>
      <c r="D621" s="1" t="s">
        <v>29</v>
      </c>
      <c r="E621" s="1" t="s">
        <v>30</v>
      </c>
      <c r="F621" s="1" t="n">
        <f aca="false">IFERROR('dens_visc_2pe+2octanone'!C22,"")</f>
        <v>30</v>
      </c>
      <c r="G621" s="1" t="n">
        <f aca="false">IFERROR('dens_visc_2pe+2octanone'!A26,"")</f>
        <v>0.285587520662777</v>
      </c>
      <c r="H621" s="1" t="n">
        <f aca="false">IFERROR('dens_visc_2pe+2octanone'!C26,"")</f>
        <v>0.85968</v>
      </c>
      <c r="I621" s="1" t="n">
        <f aca="false">IFERROR('dens_visc_2pe+2octanone'!H26,"")</f>
        <v>-0.287557469970778</v>
      </c>
      <c r="J621" s="1" t="n">
        <f aca="false">IFERROR('dens_visc_2pe+2octanone'!C40,"")</f>
        <v>1.333</v>
      </c>
      <c r="K621" s="1" t="str">
        <f aca="false">IF(AND(ISNUMBER(H621),ISNUMBER(I621),ISNUMBER(J621)),"✓",COUNTIF(H621:J621,"&gt;-999")&amp;"/3")</f>
        <v>✓</v>
      </c>
    </row>
    <row r="622" customFormat="false" ht="15" hidden="false" customHeight="true" outlineLevel="0" collapsed="false">
      <c r="A622" s="1" t="s">
        <v>38</v>
      </c>
      <c r="B622" s="1" t="s">
        <v>32</v>
      </c>
      <c r="C622" s="1" t="s">
        <v>33</v>
      </c>
      <c r="D622" s="1" t="s">
        <v>29</v>
      </c>
      <c r="E622" s="1" t="s">
        <v>30</v>
      </c>
      <c r="F622" s="1" t="n">
        <f aca="false">IFERROR('dens_visc_2pe+2octanone'!C22,"")</f>
        <v>30</v>
      </c>
      <c r="G622" s="1" t="n">
        <f aca="false">IFERROR('dens_visc_2pe+2octanone'!A27,"")</f>
        <v>0.441946578451035</v>
      </c>
      <c r="H622" s="1" t="n">
        <f aca="false">IFERROR('dens_visc_2pe+2octanone'!C27,"")</f>
        <v>0.8891</v>
      </c>
      <c r="I622" s="1" t="n">
        <f aca="false">IFERROR('dens_visc_2pe+2octanone'!H27,"")</f>
        <v>-0.364067546856035</v>
      </c>
      <c r="J622" s="1" t="n">
        <f aca="false">IFERROR('dens_visc_2pe+2octanone'!C41,"")</f>
        <v>1.793</v>
      </c>
      <c r="K622" s="1" t="str">
        <f aca="false">IF(AND(ISNUMBER(H622),ISNUMBER(I622),ISNUMBER(J622)),"✓",COUNTIF(H622:J622,"&gt;-999")&amp;"/3")</f>
        <v>✓</v>
      </c>
    </row>
    <row r="623" customFormat="false" ht="15" hidden="false" customHeight="true" outlineLevel="0" collapsed="false">
      <c r="A623" s="1" t="s">
        <v>38</v>
      </c>
      <c r="B623" s="1" t="s">
        <v>32</v>
      </c>
      <c r="C623" s="1" t="s">
        <v>33</v>
      </c>
      <c r="D623" s="1" t="s">
        <v>29</v>
      </c>
      <c r="E623" s="1" t="s">
        <v>30</v>
      </c>
      <c r="F623" s="1" t="n">
        <f aca="false">IFERROR('dens_visc_2pe+2octanone'!C22,"")</f>
        <v>30</v>
      </c>
      <c r="G623" s="1" t="n">
        <f aca="false">IFERROR('dens_visc_2pe+2octanone'!A28,"")</f>
        <v>0.507809776347763</v>
      </c>
      <c r="H623" s="1" t="n">
        <f aca="false">IFERROR('dens_visc_2pe+2octanone'!C28,"")</f>
        <v>0.90208</v>
      </c>
      <c r="I623" s="1" t="n">
        <f aca="false">IFERROR('dens_visc_2pe+2octanone'!H28,"")</f>
        <v>-0.37078266874525</v>
      </c>
      <c r="J623" s="1" t="n">
        <f aca="false">IFERROR('dens_visc_2pe+2octanone'!C42,"")</f>
        <v>2.066</v>
      </c>
      <c r="K623" s="1" t="str">
        <f aca="false">IF(AND(ISNUMBER(H623),ISNUMBER(I623),ISNUMBER(J623)),"✓",COUNTIF(H623:J623,"&gt;-999")&amp;"/3")</f>
        <v>✓</v>
      </c>
    </row>
    <row r="624" customFormat="false" ht="15" hidden="false" customHeight="true" outlineLevel="0" collapsed="false">
      <c r="A624" s="1" t="s">
        <v>38</v>
      </c>
      <c r="B624" s="1" t="s">
        <v>32</v>
      </c>
      <c r="C624" s="1" t="s">
        <v>33</v>
      </c>
      <c r="D624" s="1" t="s">
        <v>29</v>
      </c>
      <c r="E624" s="1" t="s">
        <v>30</v>
      </c>
      <c r="F624" s="1" t="n">
        <f aca="false">IFERROR('dens_visc_2pe+2octanone'!C22,"")</f>
        <v>30</v>
      </c>
      <c r="G624" s="1" t="n">
        <f aca="false">IFERROR('dens_visc_2pe+2octanone'!A29,"")</f>
        <v>0.603034895845163</v>
      </c>
      <c r="H624" s="1" t="n">
        <f aca="false">IFERROR('dens_visc_2pe+2octanone'!C29,"")</f>
        <v>0.92155</v>
      </c>
      <c r="I624" s="1" t="n">
        <f aca="false">IFERROR('dens_visc_2pe+2octanone'!H29,"")</f>
        <v>-0.360468987520193</v>
      </c>
      <c r="J624" s="1" t="n">
        <f aca="false">IFERROR('dens_visc_2pe+2octanone'!C43,"")</f>
        <v>2.594</v>
      </c>
      <c r="K624" s="1" t="str">
        <f aca="false">IF(AND(ISNUMBER(H624),ISNUMBER(I624),ISNUMBER(J624)),"✓",COUNTIF(H624:J624,"&gt;-999")&amp;"/3")</f>
        <v>✓</v>
      </c>
    </row>
    <row r="625" customFormat="false" ht="15" hidden="false" customHeight="true" outlineLevel="0" collapsed="false">
      <c r="A625" s="1" t="s">
        <v>38</v>
      </c>
      <c r="B625" s="1" t="s">
        <v>32</v>
      </c>
      <c r="C625" s="1" t="s">
        <v>33</v>
      </c>
      <c r="D625" s="1" t="s">
        <v>29</v>
      </c>
      <c r="E625" s="1" t="s">
        <v>30</v>
      </c>
      <c r="F625" s="1" t="n">
        <f aca="false">IFERROR('dens_visc_2pe+2octanone'!C22,"")</f>
        <v>30</v>
      </c>
      <c r="G625" s="1" t="n">
        <f aca="false">IFERROR('dens_visc_2pe+2octanone'!A30,"")</f>
        <v>0.703422225953614</v>
      </c>
      <c r="H625" s="1" t="n">
        <f aca="false">IFERROR('dens_visc_2pe+2octanone'!C30,"")</f>
        <v>0.94302</v>
      </c>
      <c r="I625" s="1" t="n">
        <f aca="false">IFERROR('dens_visc_2pe+2octanone'!H30,"")</f>
        <v>-0.32222911361788</v>
      </c>
      <c r="J625" s="1" t="n">
        <f aca="false">IFERROR('dens_visc_2pe+2octanone'!C44,"")</f>
        <v>3.377</v>
      </c>
      <c r="K625" s="1" t="str">
        <f aca="false">IF(AND(ISNUMBER(H625),ISNUMBER(I625),ISNUMBER(J625)),"✓",COUNTIF(H625:J625,"&gt;-999")&amp;"/3")</f>
        <v>✓</v>
      </c>
    </row>
    <row r="626" customFormat="false" ht="15" hidden="false" customHeight="true" outlineLevel="0" collapsed="false">
      <c r="A626" s="1" t="s">
        <v>38</v>
      </c>
      <c r="B626" s="1" t="s">
        <v>32</v>
      </c>
      <c r="C626" s="1" t="s">
        <v>33</v>
      </c>
      <c r="D626" s="1" t="s">
        <v>29</v>
      </c>
      <c r="E626" s="1" t="s">
        <v>30</v>
      </c>
      <c r="F626" s="1" t="n">
        <f aca="false">IFERROR('dens_visc_2pe+2octanone'!C22,"")</f>
        <v>30</v>
      </c>
      <c r="G626" s="1" t="n">
        <f aca="false">IFERROR('dens_visc_2pe+2octanone'!A31,"")</f>
        <v>0.803310581963571</v>
      </c>
      <c r="H626" s="1" t="n">
        <f aca="false">IFERROR('dens_visc_2pe+2octanone'!C31,"")</f>
        <v>0.9653</v>
      </c>
      <c r="I626" s="1" t="n">
        <f aca="false">IFERROR('dens_visc_2pe+2octanone'!H31,"")</f>
        <v>-0.24118268048197</v>
      </c>
      <c r="J626" s="1" t="n">
        <f aca="false">IFERROR('dens_visc_2pe+2octanone'!C45,"")</f>
        <v>4.544</v>
      </c>
      <c r="K626" s="1" t="str">
        <f aca="false">IF(AND(ISNUMBER(H626),ISNUMBER(I626),ISNUMBER(J626)),"✓",COUNTIF(H626:J626,"&gt;-999")&amp;"/3")</f>
        <v>✓</v>
      </c>
    </row>
    <row r="627" customFormat="false" ht="15" hidden="false" customHeight="true" outlineLevel="0" collapsed="false">
      <c r="A627" s="1" t="s">
        <v>38</v>
      </c>
      <c r="B627" s="1" t="s">
        <v>32</v>
      </c>
      <c r="C627" s="1" t="s">
        <v>33</v>
      </c>
      <c r="D627" s="1" t="s">
        <v>29</v>
      </c>
      <c r="E627" s="1" t="s">
        <v>30</v>
      </c>
      <c r="F627" s="1" t="n">
        <f aca="false">IFERROR('dens_visc_2pe+2octanone'!C22,"")</f>
        <v>30</v>
      </c>
      <c r="G627" s="1" t="n">
        <f aca="false">IFERROR('dens_visc_2pe+2octanone'!A32,"")</f>
        <v>0.90095052307922</v>
      </c>
      <c r="H627" s="1" t="n">
        <f aca="false">IFERROR('dens_visc_2pe+2octanone'!C32,"")</f>
        <v>0.9881</v>
      </c>
      <c r="I627" s="1" t="n">
        <f aca="false">IFERROR('dens_visc_2pe+2octanone'!H32,"")</f>
        <v>-0.130848318865034</v>
      </c>
      <c r="J627" s="1" t="n">
        <f aca="false">IFERROR('dens_visc_2pe+2octanone'!C46,"")</f>
        <v>6.276</v>
      </c>
      <c r="K627" s="1" t="str">
        <f aca="false">IF(AND(ISNUMBER(H627),ISNUMBER(I627),ISNUMBER(J627)),"✓",COUNTIF(H627:J627,"&gt;-999")&amp;"/3")</f>
        <v>✓</v>
      </c>
    </row>
    <row r="628" customFormat="false" ht="15" hidden="false" customHeight="true" outlineLevel="0" collapsed="false">
      <c r="A628" s="1" t="s">
        <v>38</v>
      </c>
      <c r="B628" s="1" t="s">
        <v>32</v>
      </c>
      <c r="C628" s="1" t="s">
        <v>33</v>
      </c>
      <c r="D628" s="1" t="s">
        <v>29</v>
      </c>
      <c r="E628" s="1" t="s">
        <v>30</v>
      </c>
      <c r="F628" s="1" t="n">
        <f aca="false">IFERROR('dens_visc_2pe+2octanone'!C22,"")</f>
        <v>30</v>
      </c>
      <c r="G628" s="1" t="n">
        <f aca="false">IFERROR('dens_visc_2pe+2octanone'!A33,"")</f>
        <v>1</v>
      </c>
      <c r="H628" s="1" t="n">
        <f aca="false">IFERROR('dens_visc_2pe+2octanone'!C33,"")</f>
        <v>1.01244</v>
      </c>
      <c r="I628" s="1" t="n">
        <f aca="false">IFERROR('dens_visc_2pe+2octanone'!H33,"")</f>
        <v>0</v>
      </c>
      <c r="J628" s="1" t="n">
        <f aca="false">IFERROR('dens_visc_2pe+2octanone'!C47,"")</f>
        <v>8.973</v>
      </c>
      <c r="K628" s="1" t="str">
        <f aca="false">IF(AND(ISNUMBER(H628),ISNUMBER(I628),ISNUMBER(J628)),"✓",COUNTIF(H628:J628,"&gt;-999")&amp;"/3")</f>
        <v>✓</v>
      </c>
    </row>
    <row r="629" customFormat="false" ht="15" hidden="false" customHeight="true" outlineLevel="0" collapsed="false">
      <c r="A629" s="1" t="s">
        <v>38</v>
      </c>
      <c r="B629" s="1" t="s">
        <v>32</v>
      </c>
      <c r="C629" s="1" t="s">
        <v>33</v>
      </c>
      <c r="D629" s="1" t="s">
        <v>29</v>
      </c>
      <c r="E629" s="1" t="s">
        <v>30</v>
      </c>
      <c r="F629" s="1" t="n">
        <f aca="false">IFERROR('dens_visc_2pe+2octanone'!D22,"")</f>
        <v>40</v>
      </c>
      <c r="G629" s="1" t="n">
        <f aca="false">IFERROR('dens_visc_2pe+2octanone'!A23,"")</f>
        <v>0</v>
      </c>
      <c r="H629" s="1" t="n">
        <f aca="false">IFERROR('dens_visc_2pe+2octanone'!D23,"")</f>
        <v>0.80264</v>
      </c>
      <c r="I629" s="1" t="n">
        <f aca="false">IFERROR('dens_visc_2pe+2octanone'!I23,"")</f>
        <v>0</v>
      </c>
      <c r="J629" s="1" t="n">
        <f aca="false">IFERROR('dens_visc_2pe+2octanone'!D37,"")</f>
        <v>0.758</v>
      </c>
      <c r="K629" s="1" t="str">
        <f aca="false">IF(AND(ISNUMBER(H629),ISNUMBER(I629),ISNUMBER(J629)),"✓",COUNTIF(H629:J629,"&gt;-999")&amp;"/3")</f>
        <v>✓</v>
      </c>
    </row>
    <row r="630" customFormat="false" ht="15" hidden="false" customHeight="true" outlineLevel="0" collapsed="false">
      <c r="A630" s="1" t="s">
        <v>38</v>
      </c>
      <c r="B630" s="1" t="s">
        <v>32</v>
      </c>
      <c r="C630" s="1" t="s">
        <v>33</v>
      </c>
      <c r="D630" s="1" t="s">
        <v>29</v>
      </c>
      <c r="E630" s="1" t="s">
        <v>30</v>
      </c>
      <c r="F630" s="1" t="n">
        <f aca="false">IFERROR('dens_visc_2pe+2octanone'!D22,"")</f>
        <v>40</v>
      </c>
      <c r="G630" s="1" t="n">
        <f aca="false">IFERROR('dens_visc_2pe+2octanone'!A24,"")</f>
        <v>0.10290767799473</v>
      </c>
      <c r="H630" s="1" t="n">
        <f aca="false">IFERROR('dens_visc_2pe+2octanone'!D24,"")</f>
        <v>0.8195</v>
      </c>
      <c r="I630" s="1" t="n">
        <f aca="false">IFERROR('dens_visc_2pe+2octanone'!I24,"")</f>
        <v>-0.117449203632162</v>
      </c>
      <c r="J630" s="1" t="n">
        <f aca="false">IFERROR('dens_visc_2pe+2octanone'!D38,"")</f>
        <v>0.867</v>
      </c>
      <c r="K630" s="1" t="str">
        <f aca="false">IF(AND(ISNUMBER(H630),ISNUMBER(I630),ISNUMBER(J630)),"✓",COUNTIF(H630:J630,"&gt;-999")&amp;"/3")</f>
        <v>✓</v>
      </c>
    </row>
    <row r="631" customFormat="false" ht="15" hidden="false" customHeight="true" outlineLevel="0" collapsed="false">
      <c r="A631" s="1" t="s">
        <v>38</v>
      </c>
      <c r="B631" s="1" t="s">
        <v>32</v>
      </c>
      <c r="C631" s="1" t="s">
        <v>33</v>
      </c>
      <c r="D631" s="1" t="s">
        <v>29</v>
      </c>
      <c r="E631" s="1" t="s">
        <v>30</v>
      </c>
      <c r="F631" s="1" t="n">
        <f aca="false">IFERROR('dens_visc_2pe+2octanone'!D22,"")</f>
        <v>40</v>
      </c>
      <c r="G631" s="1" t="n">
        <f aca="false">IFERROR('dens_visc_2pe+2octanone'!A25,"")</f>
        <v>0.184061205395094</v>
      </c>
      <c r="H631" s="1" t="n">
        <f aca="false">IFERROR('dens_visc_2pe+2octanone'!D25,"")</f>
        <v>0.83341</v>
      </c>
      <c r="I631" s="1" t="n">
        <f aca="false">IFERROR('dens_visc_2pe+2octanone'!I25,"")</f>
        <v>-0.206989803886046</v>
      </c>
      <c r="J631" s="1" t="n">
        <f aca="false">IFERROR('dens_visc_2pe+2octanone'!D39,"")</f>
        <v>0.97</v>
      </c>
      <c r="K631" s="1" t="str">
        <f aca="false">IF(AND(ISNUMBER(H631),ISNUMBER(I631),ISNUMBER(J631)),"✓",COUNTIF(H631:J631,"&gt;-999")&amp;"/3")</f>
        <v>✓</v>
      </c>
    </row>
    <row r="632" customFormat="false" ht="15" hidden="false" customHeight="true" outlineLevel="0" collapsed="false">
      <c r="A632" s="1" t="s">
        <v>38</v>
      </c>
      <c r="B632" s="1" t="s">
        <v>32</v>
      </c>
      <c r="C632" s="1" t="s">
        <v>33</v>
      </c>
      <c r="D632" s="1" t="s">
        <v>29</v>
      </c>
      <c r="E632" s="1" t="s">
        <v>30</v>
      </c>
      <c r="F632" s="1" t="n">
        <f aca="false">IFERROR('dens_visc_2pe+2octanone'!D22,"")</f>
        <v>40</v>
      </c>
      <c r="G632" s="1" t="n">
        <f aca="false">IFERROR('dens_visc_2pe+2octanone'!A26,"")</f>
        <v>0.285587520662777</v>
      </c>
      <c r="H632" s="1" t="n">
        <f aca="false">IFERROR('dens_visc_2pe+2octanone'!D26,"")</f>
        <v>0.85158</v>
      </c>
      <c r="I632" s="1" t="n">
        <f aca="false">IFERROR('dens_visc_2pe+2octanone'!I26,"")</f>
        <v>-0.306320764353046</v>
      </c>
      <c r="J632" s="1" t="n">
        <f aca="false">IFERROR('dens_visc_2pe+2octanone'!D40,"")</f>
        <v>1.123</v>
      </c>
      <c r="K632" s="1" t="str">
        <f aca="false">IF(AND(ISNUMBER(H632),ISNUMBER(I632),ISNUMBER(J632)),"✓",COUNTIF(H632:J632,"&gt;-999")&amp;"/3")</f>
        <v>✓</v>
      </c>
    </row>
    <row r="633" customFormat="false" ht="15" hidden="false" customHeight="true" outlineLevel="0" collapsed="false">
      <c r="A633" s="1" t="s">
        <v>38</v>
      </c>
      <c r="B633" s="1" t="s">
        <v>32</v>
      </c>
      <c r="C633" s="1" t="s">
        <v>33</v>
      </c>
      <c r="D633" s="1" t="s">
        <v>29</v>
      </c>
      <c r="E633" s="1" t="s">
        <v>30</v>
      </c>
      <c r="F633" s="1" t="n">
        <f aca="false">IFERROR('dens_visc_2pe+2octanone'!D22,"")</f>
        <v>40</v>
      </c>
      <c r="G633" s="1" t="n">
        <f aca="false">IFERROR('dens_visc_2pe+2octanone'!A27,"")</f>
        <v>0.441946578451035</v>
      </c>
      <c r="H633" s="1" t="n">
        <f aca="false">IFERROR('dens_visc_2pe+2octanone'!D27,"")</f>
        <v>0.88111</v>
      </c>
      <c r="I633" s="1" t="n">
        <f aca="false">IFERROR('dens_visc_2pe+2octanone'!I27,"")</f>
        <v>-0.388588771122443</v>
      </c>
      <c r="J633" s="1" t="n">
        <f aca="false">IFERROR('dens_visc_2pe+2octanone'!D41,"")</f>
        <v>1.469</v>
      </c>
      <c r="K633" s="1" t="str">
        <f aca="false">IF(AND(ISNUMBER(H633),ISNUMBER(I633),ISNUMBER(J633)),"✓",COUNTIF(H633:J633,"&gt;-999")&amp;"/3")</f>
        <v>✓</v>
      </c>
    </row>
    <row r="634" customFormat="false" ht="15" hidden="false" customHeight="true" outlineLevel="0" collapsed="false">
      <c r="A634" s="1" t="s">
        <v>38</v>
      </c>
      <c r="B634" s="1" t="s">
        <v>32</v>
      </c>
      <c r="C634" s="1" t="s">
        <v>33</v>
      </c>
      <c r="D634" s="1" t="s">
        <v>29</v>
      </c>
      <c r="E634" s="1" t="s">
        <v>30</v>
      </c>
      <c r="F634" s="1" t="n">
        <f aca="false">IFERROR('dens_visc_2pe+2octanone'!D22,"")</f>
        <v>40</v>
      </c>
      <c r="G634" s="1" t="n">
        <f aca="false">IFERROR('dens_visc_2pe+2octanone'!A28,"")</f>
        <v>0.507809776347763</v>
      </c>
      <c r="H634" s="1" t="n">
        <f aca="false">IFERROR('dens_visc_2pe+2octanone'!D28,"")</f>
        <v>0.89413</v>
      </c>
      <c r="I634" s="1" t="n">
        <f aca="false">IFERROR('dens_visc_2pe+2octanone'!I28,"")</f>
        <v>-0.394528168572037</v>
      </c>
      <c r="J634" s="1" t="n">
        <f aca="false">IFERROR('dens_visc_2pe+2octanone'!D42,"")</f>
        <v>1.669</v>
      </c>
      <c r="K634" s="1" t="str">
        <f aca="false">IF(AND(ISNUMBER(H634),ISNUMBER(I634),ISNUMBER(J634)),"✓",COUNTIF(H634:J634,"&gt;-999")&amp;"/3")</f>
        <v>✓</v>
      </c>
    </row>
    <row r="635" customFormat="false" ht="15" hidden="false" customHeight="true" outlineLevel="0" collapsed="false">
      <c r="A635" s="1" t="s">
        <v>38</v>
      </c>
      <c r="B635" s="1" t="s">
        <v>32</v>
      </c>
      <c r="C635" s="1" t="s">
        <v>33</v>
      </c>
      <c r="D635" s="1" t="s">
        <v>29</v>
      </c>
      <c r="E635" s="1" t="s">
        <v>30</v>
      </c>
      <c r="F635" s="1" t="n">
        <f aca="false">IFERROR('dens_visc_2pe+2octanone'!D22,"")</f>
        <v>40</v>
      </c>
      <c r="G635" s="1" t="n">
        <f aca="false">IFERROR('dens_visc_2pe+2octanone'!A29,"")</f>
        <v>0.603034895845163</v>
      </c>
      <c r="H635" s="1" t="n">
        <f aca="false">IFERROR('dens_visc_2pe+2octanone'!D29,"")</f>
        <v>0.91368</v>
      </c>
      <c r="I635" s="1" t="n">
        <f aca="false">IFERROR('dens_visc_2pe+2octanone'!I29,"")</f>
        <v>-0.384376257475793</v>
      </c>
      <c r="J635" s="1" t="n">
        <f aca="false">IFERROR('dens_visc_2pe+2octanone'!D43,"")</f>
        <v>2.047</v>
      </c>
      <c r="K635" s="1" t="str">
        <f aca="false">IF(AND(ISNUMBER(H635),ISNUMBER(I635),ISNUMBER(J635)),"✓",COUNTIF(H635:J635,"&gt;-999")&amp;"/3")</f>
        <v>✓</v>
      </c>
    </row>
    <row r="636" customFormat="false" ht="15" hidden="false" customHeight="true" outlineLevel="0" collapsed="false">
      <c r="A636" s="1" t="s">
        <v>38</v>
      </c>
      <c r="B636" s="1" t="s">
        <v>32</v>
      </c>
      <c r="C636" s="1" t="s">
        <v>33</v>
      </c>
      <c r="D636" s="1" t="s">
        <v>29</v>
      </c>
      <c r="E636" s="1" t="s">
        <v>30</v>
      </c>
      <c r="F636" s="1" t="n">
        <f aca="false">IFERROR('dens_visc_2pe+2octanone'!D22,"")</f>
        <v>40</v>
      </c>
      <c r="G636" s="1" t="n">
        <f aca="false">IFERROR('dens_visc_2pe+2octanone'!A30,"")</f>
        <v>0.703422225953614</v>
      </c>
      <c r="H636" s="1" t="n">
        <f aca="false">IFERROR('dens_visc_2pe+2octanone'!D30,"")</f>
        <v>0.93523</v>
      </c>
      <c r="I636" s="1" t="n">
        <f aca="false">IFERROR('dens_visc_2pe+2octanone'!I30,"")</f>
        <v>-0.342776828710186</v>
      </c>
      <c r="J636" s="1" t="n">
        <f aca="false">IFERROR('dens_visc_2pe+2octanone'!D44,"")</f>
        <v>2.594</v>
      </c>
      <c r="K636" s="1" t="str">
        <f aca="false">IF(AND(ISNUMBER(H636),ISNUMBER(I636),ISNUMBER(J636)),"✓",COUNTIF(H636:J636,"&gt;-999")&amp;"/3")</f>
        <v>✓</v>
      </c>
    </row>
    <row r="637" customFormat="false" ht="15" hidden="false" customHeight="true" outlineLevel="0" collapsed="false">
      <c r="A637" s="1" t="s">
        <v>38</v>
      </c>
      <c r="B637" s="1" t="s">
        <v>32</v>
      </c>
      <c r="C637" s="1" t="s">
        <v>33</v>
      </c>
      <c r="D637" s="1" t="s">
        <v>29</v>
      </c>
      <c r="E637" s="1" t="s">
        <v>30</v>
      </c>
      <c r="F637" s="1" t="n">
        <f aca="false">IFERROR('dens_visc_2pe+2octanone'!D22,"")</f>
        <v>40</v>
      </c>
      <c r="G637" s="1" t="n">
        <f aca="false">IFERROR('dens_visc_2pe+2octanone'!A31,"")</f>
        <v>0.803310581963571</v>
      </c>
      <c r="H637" s="1" t="n">
        <f aca="false">IFERROR('dens_visc_2pe+2octanone'!D31,"")</f>
        <v>0.9576</v>
      </c>
      <c r="I637" s="1" t="n">
        <f aca="false">IFERROR('dens_visc_2pe+2octanone'!I31,"")</f>
        <v>-0.256705096269656</v>
      </c>
      <c r="J637" s="1" t="n">
        <f aca="false">IFERROR('dens_visc_2pe+2octanone'!D45,"")</f>
        <v>3.373</v>
      </c>
      <c r="K637" s="1" t="str">
        <f aca="false">IF(AND(ISNUMBER(H637),ISNUMBER(I637),ISNUMBER(J637)),"✓",COUNTIF(H637:J637,"&gt;-999")&amp;"/3")</f>
        <v>✓</v>
      </c>
    </row>
    <row r="638" customFormat="false" ht="15" hidden="false" customHeight="true" outlineLevel="0" collapsed="false">
      <c r="A638" s="1" t="s">
        <v>38</v>
      </c>
      <c r="B638" s="1" t="s">
        <v>32</v>
      </c>
      <c r="C638" s="1" t="s">
        <v>33</v>
      </c>
      <c r="D638" s="1" t="s">
        <v>29</v>
      </c>
      <c r="E638" s="1" t="s">
        <v>30</v>
      </c>
      <c r="F638" s="1" t="n">
        <f aca="false">IFERROR('dens_visc_2pe+2octanone'!D22,"")</f>
        <v>40</v>
      </c>
      <c r="G638" s="1" t="n">
        <f aca="false">IFERROR('dens_visc_2pe+2octanone'!A32,"")</f>
        <v>0.90095052307922</v>
      </c>
      <c r="H638" s="1" t="n">
        <f aca="false">IFERROR('dens_visc_2pe+2octanone'!D32,"")</f>
        <v>0.9805</v>
      </c>
      <c r="I638" s="1" t="n">
        <f aca="false">IFERROR('dens_visc_2pe+2octanone'!I32,"")</f>
        <v>-0.140134505649669</v>
      </c>
      <c r="J638" s="1" t="n">
        <f aca="false">IFERROR('dens_visc_2pe+2octanone'!D46,"")</f>
        <v>4.474</v>
      </c>
      <c r="K638" s="1" t="str">
        <f aca="false">IF(AND(ISNUMBER(H638),ISNUMBER(I638),ISNUMBER(J638)),"✓",COUNTIF(H638:J638,"&gt;-999")&amp;"/3")</f>
        <v>✓</v>
      </c>
    </row>
    <row r="639" customFormat="false" ht="15" hidden="false" customHeight="true" outlineLevel="0" collapsed="false">
      <c r="A639" s="1" t="s">
        <v>38</v>
      </c>
      <c r="B639" s="1" t="s">
        <v>32</v>
      </c>
      <c r="C639" s="1" t="s">
        <v>33</v>
      </c>
      <c r="D639" s="1" t="s">
        <v>29</v>
      </c>
      <c r="E639" s="1" t="s">
        <v>30</v>
      </c>
      <c r="F639" s="1" t="n">
        <f aca="false">IFERROR('dens_visc_2pe+2octanone'!D22,"")</f>
        <v>40</v>
      </c>
      <c r="G639" s="1" t="n">
        <f aca="false">IFERROR('dens_visc_2pe+2octanone'!A33,"")</f>
        <v>1</v>
      </c>
      <c r="H639" s="1" t="n">
        <f aca="false">IFERROR('dens_visc_2pe+2octanone'!D33,"")</f>
        <v>1.00494</v>
      </c>
      <c r="I639" s="1" t="n">
        <f aca="false">IFERROR('dens_visc_2pe+2octanone'!I33,"")</f>
        <v>0</v>
      </c>
      <c r="J639" s="1" t="n">
        <f aca="false">IFERROR('dens_visc_2pe+2octanone'!D47,"")</f>
        <v>6.102</v>
      </c>
      <c r="K639" s="1" t="str">
        <f aca="false">IF(AND(ISNUMBER(H639),ISNUMBER(I639),ISNUMBER(J639)),"✓",COUNTIF(H639:J639,"&gt;-999")&amp;"/3")</f>
        <v>✓</v>
      </c>
    </row>
    <row r="640" customFormat="false" ht="15" hidden="false" customHeight="true" outlineLevel="0" collapsed="false">
      <c r="A640" s="1" t="s">
        <v>38</v>
      </c>
      <c r="B640" s="1" t="s">
        <v>32</v>
      </c>
      <c r="C640" s="1" t="s">
        <v>33</v>
      </c>
      <c r="D640" s="1" t="s">
        <v>29</v>
      </c>
      <c r="E640" s="1" t="s">
        <v>30</v>
      </c>
      <c r="F640" s="1" t="n">
        <f aca="false">IFERROR('dens_visc_2pe+2octanone'!E22,"")</f>
        <v>50</v>
      </c>
      <c r="G640" s="1" t="n">
        <f aca="false">IFERROR('dens_visc_2pe+2octanone'!A23,"")</f>
        <v>0</v>
      </c>
      <c r="H640" s="1" t="n">
        <f aca="false">IFERROR('dens_visc_2pe+2octanone'!E23,"")</f>
        <v>0.79435</v>
      </c>
      <c r="I640" s="1" t="n">
        <f aca="false">IFERROR('dens_visc_2pe+2octanone'!J23,"")</f>
        <v>0</v>
      </c>
      <c r="J640" s="1" t="n">
        <f aca="false">IFERROR('dens_visc_2pe+2octanone'!E37,"")</f>
        <v>0.668</v>
      </c>
      <c r="K640" s="1" t="str">
        <f aca="false">IF(AND(ISNUMBER(H640),ISNUMBER(I640),ISNUMBER(J640)),"✓",COUNTIF(H640:J640,"&gt;-999")&amp;"/3")</f>
        <v>✓</v>
      </c>
    </row>
    <row r="641" customFormat="false" ht="15" hidden="false" customHeight="true" outlineLevel="0" collapsed="false">
      <c r="A641" s="1" t="s">
        <v>38</v>
      </c>
      <c r="B641" s="1" t="s">
        <v>32</v>
      </c>
      <c r="C641" s="1" t="s">
        <v>33</v>
      </c>
      <c r="D641" s="1" t="s">
        <v>29</v>
      </c>
      <c r="E641" s="1" t="s">
        <v>30</v>
      </c>
      <c r="F641" s="1" t="n">
        <f aca="false">IFERROR('dens_visc_2pe+2octanone'!E22,"")</f>
        <v>50</v>
      </c>
      <c r="G641" s="1" t="n">
        <f aca="false">IFERROR('dens_visc_2pe+2octanone'!A24,"")</f>
        <v>0.10290767799473</v>
      </c>
      <c r="H641" s="1" t="n">
        <f aca="false">IFERROR('dens_visc_2pe+2octanone'!E24,"")</f>
        <v>0.81123</v>
      </c>
      <c r="I641" s="1" t="n">
        <f aca="false">IFERROR('dens_visc_2pe+2octanone'!J24,"")</f>
        <v>-0.120843649113198</v>
      </c>
      <c r="J641" s="1" t="n">
        <f aca="false">IFERROR('dens_visc_2pe+2octanone'!E38,"")</f>
        <v>0.759</v>
      </c>
      <c r="K641" s="1" t="str">
        <f aca="false">IF(AND(ISNUMBER(H641),ISNUMBER(I641),ISNUMBER(J641)),"✓",COUNTIF(H641:J641,"&gt;-999")&amp;"/3")</f>
        <v>✓</v>
      </c>
    </row>
    <row r="642" customFormat="false" ht="15" hidden="false" customHeight="true" outlineLevel="0" collapsed="false">
      <c r="A642" s="1" t="s">
        <v>38</v>
      </c>
      <c r="B642" s="1" t="s">
        <v>32</v>
      </c>
      <c r="C642" s="1" t="s">
        <v>33</v>
      </c>
      <c r="D642" s="1" t="s">
        <v>29</v>
      </c>
      <c r="E642" s="1" t="s">
        <v>30</v>
      </c>
      <c r="F642" s="1" t="n">
        <f aca="false">IFERROR('dens_visc_2pe+2octanone'!E22,"")</f>
        <v>50</v>
      </c>
      <c r="G642" s="1" t="n">
        <f aca="false">IFERROR('dens_visc_2pe+2octanone'!A25,"")</f>
        <v>0.184061205395094</v>
      </c>
      <c r="H642" s="1" t="n">
        <f aca="false">IFERROR('dens_visc_2pe+2octanone'!E25,"")</f>
        <v>0.82519</v>
      </c>
      <c r="I642" s="1" t="n">
        <f aca="false">IFERROR('dens_visc_2pe+2octanone'!J25,"")</f>
        <v>-0.218110541744863</v>
      </c>
      <c r="J642" s="1" t="n">
        <f aca="false">IFERROR('dens_visc_2pe+2octanone'!E39,"")</f>
        <v>0.838</v>
      </c>
      <c r="K642" s="1" t="str">
        <f aca="false">IF(AND(ISNUMBER(H642),ISNUMBER(I642),ISNUMBER(J642)),"✓",COUNTIF(H642:J642,"&gt;-999")&amp;"/3")</f>
        <v>✓</v>
      </c>
    </row>
    <row r="643" customFormat="false" ht="15" hidden="false" customHeight="true" outlineLevel="0" collapsed="false">
      <c r="A643" s="1" t="s">
        <v>38</v>
      </c>
      <c r="B643" s="1" t="s">
        <v>32</v>
      </c>
      <c r="C643" s="1" t="s">
        <v>33</v>
      </c>
      <c r="D643" s="1" t="s">
        <v>29</v>
      </c>
      <c r="E643" s="1" t="s">
        <v>30</v>
      </c>
      <c r="F643" s="1" t="n">
        <f aca="false">IFERROR('dens_visc_2pe+2octanone'!E22,"")</f>
        <v>50</v>
      </c>
      <c r="G643" s="1" t="n">
        <f aca="false">IFERROR('dens_visc_2pe+2octanone'!A26,"")</f>
        <v>0.285587520662777</v>
      </c>
      <c r="H643" s="1" t="n">
        <f aca="false">IFERROR('dens_visc_2pe+2octanone'!E26,"")</f>
        <v>0.84341</v>
      </c>
      <c r="I643" s="1" t="n">
        <f aca="false">IFERROR('dens_visc_2pe+2octanone'!J26,"")</f>
        <v>-0.322355196681087</v>
      </c>
      <c r="J643" s="1" t="n">
        <f aca="false">IFERROR('dens_visc_2pe+2octanone'!E40,"")</f>
        <v>0.963</v>
      </c>
      <c r="K643" s="1" t="str">
        <f aca="false">IF(AND(ISNUMBER(H643),ISNUMBER(I643),ISNUMBER(J643)),"✓",COUNTIF(H643:J643,"&gt;-999")&amp;"/3")</f>
        <v>✓</v>
      </c>
    </row>
    <row r="644" customFormat="false" ht="15" hidden="false" customHeight="true" outlineLevel="0" collapsed="false">
      <c r="A644" s="1" t="s">
        <v>38</v>
      </c>
      <c r="B644" s="1" t="s">
        <v>32</v>
      </c>
      <c r="C644" s="1" t="s">
        <v>33</v>
      </c>
      <c r="D644" s="1" t="s">
        <v>29</v>
      </c>
      <c r="E644" s="1" t="s">
        <v>30</v>
      </c>
      <c r="F644" s="1" t="n">
        <f aca="false">IFERROR('dens_visc_2pe+2octanone'!E22,"")</f>
        <v>50</v>
      </c>
      <c r="G644" s="1" t="n">
        <f aca="false">IFERROR('dens_visc_2pe+2octanone'!A27,"")</f>
        <v>0.441946578451035</v>
      </c>
      <c r="H644" s="1" t="n">
        <f aca="false">IFERROR('dens_visc_2pe+2octanone'!E27,"")</f>
        <v>0.87304</v>
      </c>
      <c r="I644" s="1" t="n">
        <f aca="false">IFERROR('dens_visc_2pe+2octanone'!J27,"")</f>
        <v>-0.410200600827778</v>
      </c>
      <c r="J644" s="1" t="n">
        <f aca="false">IFERROR('dens_visc_2pe+2octanone'!E41,"")</f>
        <v>1.231</v>
      </c>
      <c r="K644" s="1" t="str">
        <f aca="false">IF(AND(ISNUMBER(H644),ISNUMBER(I644),ISNUMBER(J644)),"✓",COUNTIF(H644:J644,"&gt;-999")&amp;"/3")</f>
        <v>✓</v>
      </c>
    </row>
    <row r="645" customFormat="false" ht="15" hidden="false" customHeight="true" outlineLevel="0" collapsed="false">
      <c r="A645" s="1" t="s">
        <v>38</v>
      </c>
      <c r="B645" s="1" t="s">
        <v>32</v>
      </c>
      <c r="C645" s="1" t="s">
        <v>33</v>
      </c>
      <c r="D645" s="1" t="s">
        <v>29</v>
      </c>
      <c r="E645" s="1" t="s">
        <v>30</v>
      </c>
      <c r="F645" s="1" t="n">
        <f aca="false">IFERROR('dens_visc_2pe+2octanone'!E22,"")</f>
        <v>50</v>
      </c>
      <c r="G645" s="1" t="n">
        <f aca="false">IFERROR('dens_visc_2pe+2octanone'!A28,"")</f>
        <v>0.507809776347763</v>
      </c>
      <c r="H645" s="1" t="n">
        <f aca="false">IFERROR('dens_visc_2pe+2octanone'!E28,"")</f>
        <v>0.88611</v>
      </c>
      <c r="I645" s="1" t="n">
        <f aca="false">IFERROR('dens_visc_2pe+2octanone'!J28,"")</f>
        <v>-0.41746789758011</v>
      </c>
      <c r="J645" s="1" t="n">
        <f aca="false">IFERROR('dens_visc_2pe+2octanone'!E42,"")</f>
        <v>1.379</v>
      </c>
      <c r="K645" s="1" t="str">
        <f aca="false">IF(AND(ISNUMBER(H645),ISNUMBER(I645),ISNUMBER(J645)),"✓",COUNTIF(H645:J645,"&gt;-999")&amp;"/3")</f>
        <v>✓</v>
      </c>
    </row>
    <row r="646" customFormat="false" ht="15" hidden="false" customHeight="true" outlineLevel="0" collapsed="false">
      <c r="A646" s="1" t="s">
        <v>38</v>
      </c>
      <c r="B646" s="1" t="s">
        <v>32</v>
      </c>
      <c r="C646" s="1" t="s">
        <v>33</v>
      </c>
      <c r="D646" s="1" t="s">
        <v>29</v>
      </c>
      <c r="E646" s="1" t="s">
        <v>30</v>
      </c>
      <c r="F646" s="1" t="n">
        <f aca="false">IFERROR('dens_visc_2pe+2octanone'!E22,"")</f>
        <v>50</v>
      </c>
      <c r="G646" s="1" t="n">
        <f aca="false">IFERROR('dens_visc_2pe+2octanone'!A29,"")</f>
        <v>0.603034895845163</v>
      </c>
      <c r="H646" s="1" t="n">
        <f aca="false">IFERROR('dens_visc_2pe+2octanone'!E29,"")</f>
        <v>0.90572</v>
      </c>
      <c r="I646" s="1" t="n">
        <f aca="false">IFERROR('dens_visc_2pe+2octanone'!J29,"")</f>
        <v>-0.405104484072155</v>
      </c>
      <c r="J646" s="1" t="n">
        <f aca="false">IFERROR('dens_visc_2pe+2octanone'!E43,"")</f>
        <v>1.656</v>
      </c>
      <c r="K646" s="1" t="str">
        <f aca="false">IF(AND(ISNUMBER(H646),ISNUMBER(I646),ISNUMBER(J646)),"✓",COUNTIF(H646:J646,"&gt;-999")&amp;"/3")</f>
        <v>✓</v>
      </c>
    </row>
    <row r="647" customFormat="false" ht="15" hidden="false" customHeight="true" outlineLevel="0" collapsed="false">
      <c r="A647" s="1" t="s">
        <v>38</v>
      </c>
      <c r="B647" s="1" t="s">
        <v>32</v>
      </c>
      <c r="C647" s="1" t="s">
        <v>33</v>
      </c>
      <c r="D647" s="1" t="s">
        <v>29</v>
      </c>
      <c r="E647" s="1" t="s">
        <v>30</v>
      </c>
      <c r="F647" s="1" t="n">
        <f aca="false">IFERROR('dens_visc_2pe+2octanone'!E22,"")</f>
        <v>50</v>
      </c>
      <c r="G647" s="1" t="n">
        <f aca="false">IFERROR('dens_visc_2pe+2octanone'!A30,"")</f>
        <v>0.703422225953614</v>
      </c>
      <c r="H647" s="1" t="n">
        <f aca="false">IFERROR('dens_visc_2pe+2octanone'!E30,"")</f>
        <v>0.92737</v>
      </c>
      <c r="I647" s="1" t="n">
        <f aca="false">IFERROR('dens_visc_2pe+2octanone'!J30,"")</f>
        <v>-0.363701168643701</v>
      </c>
      <c r="J647" s="1" t="n">
        <f aca="false">IFERROR('dens_visc_2pe+2octanone'!E44,"")</f>
        <v>2.049</v>
      </c>
      <c r="K647" s="1" t="str">
        <f aca="false">IF(AND(ISNUMBER(H647),ISNUMBER(I647),ISNUMBER(J647)),"✓",COUNTIF(H647:J647,"&gt;-999")&amp;"/3")</f>
        <v>✓</v>
      </c>
    </row>
    <row r="648" customFormat="false" ht="15" hidden="false" customHeight="true" outlineLevel="0" collapsed="false">
      <c r="A648" s="1" t="s">
        <v>38</v>
      </c>
      <c r="B648" s="1" t="s">
        <v>32</v>
      </c>
      <c r="C648" s="1" t="s">
        <v>33</v>
      </c>
      <c r="D648" s="1" t="s">
        <v>29</v>
      </c>
      <c r="E648" s="1" t="s">
        <v>30</v>
      </c>
      <c r="F648" s="1" t="n">
        <f aca="false">IFERROR('dens_visc_2pe+2octanone'!E22,"")</f>
        <v>50</v>
      </c>
      <c r="G648" s="1" t="n">
        <f aca="false">IFERROR('dens_visc_2pe+2octanone'!A31,"")</f>
        <v>0.803310581963571</v>
      </c>
      <c r="H648" s="1" t="n">
        <f aca="false">IFERROR('dens_visc_2pe+2octanone'!E31,"")</f>
        <v>0.94983</v>
      </c>
      <c r="I648" s="1" t="n">
        <f aca="false">IFERROR('dens_visc_2pe+2octanone'!J31,"")</f>
        <v>-0.273007273572915</v>
      </c>
      <c r="J648" s="1" t="n">
        <f aca="false">IFERROR('dens_visc_2pe+2octanone'!E45,"")</f>
        <v>2.589</v>
      </c>
      <c r="K648" s="1" t="str">
        <f aca="false">IF(AND(ISNUMBER(H648),ISNUMBER(I648),ISNUMBER(J648)),"✓",COUNTIF(H648:J648,"&gt;-999")&amp;"/3")</f>
        <v>✓</v>
      </c>
    </row>
    <row r="649" customFormat="false" ht="15" hidden="false" customHeight="true" outlineLevel="0" collapsed="false">
      <c r="A649" s="1" t="s">
        <v>38</v>
      </c>
      <c r="B649" s="1" t="s">
        <v>32</v>
      </c>
      <c r="C649" s="1" t="s">
        <v>33</v>
      </c>
      <c r="D649" s="1" t="s">
        <v>29</v>
      </c>
      <c r="E649" s="1" t="s">
        <v>30</v>
      </c>
      <c r="F649" s="1" t="n">
        <f aca="false">IFERROR('dens_visc_2pe+2octanone'!E22,"")</f>
        <v>50</v>
      </c>
      <c r="G649" s="1" t="n">
        <f aca="false">IFERROR('dens_visc_2pe+2octanone'!A32,"")</f>
        <v>0.90095052307922</v>
      </c>
      <c r="H649" s="1" t="n">
        <f aca="false">IFERROR('dens_visc_2pe+2octanone'!E32,"")</f>
        <v>0.97283</v>
      </c>
      <c r="I649" s="1" t="n">
        <f aca="false">IFERROR('dens_visc_2pe+2octanone'!J32,"")</f>
        <v>-0.150496372925829</v>
      </c>
      <c r="J649" s="1" t="n">
        <f aca="false">IFERROR('dens_visc_2pe+2octanone'!E46,"")</f>
        <v>3.326</v>
      </c>
      <c r="K649" s="1" t="str">
        <f aca="false">IF(AND(ISNUMBER(H649),ISNUMBER(I649),ISNUMBER(J649)),"✓",COUNTIF(H649:J649,"&gt;-999")&amp;"/3")</f>
        <v>✓</v>
      </c>
    </row>
    <row r="650" customFormat="false" ht="15" hidden="false" customHeight="true" outlineLevel="0" collapsed="false">
      <c r="A650" s="1" t="s">
        <v>38</v>
      </c>
      <c r="B650" s="1" t="s">
        <v>32</v>
      </c>
      <c r="C650" s="1" t="s">
        <v>33</v>
      </c>
      <c r="D650" s="1" t="s">
        <v>29</v>
      </c>
      <c r="E650" s="1" t="s">
        <v>30</v>
      </c>
      <c r="F650" s="1" t="n">
        <f aca="false">IFERROR('dens_visc_2pe+2octanone'!E22,"")</f>
        <v>50</v>
      </c>
      <c r="G650" s="1" t="n">
        <f aca="false">IFERROR('dens_visc_2pe+2octanone'!A33,"")</f>
        <v>1</v>
      </c>
      <c r="H650" s="1" t="n">
        <f aca="false">IFERROR('dens_visc_2pe+2octanone'!E33,"")</f>
        <v>0.99736</v>
      </c>
      <c r="I650" s="1" t="n">
        <f aca="false">IFERROR('dens_visc_2pe+2octanone'!J33,"")</f>
        <v>0</v>
      </c>
      <c r="J650" s="1" t="n">
        <f aca="false">IFERROR('dens_visc_2pe+2octanone'!E47,"")</f>
        <v>4.368</v>
      </c>
      <c r="K650" s="1" t="str">
        <f aca="false">IF(AND(ISNUMBER(H650),ISNUMBER(I650),ISNUMBER(J650)),"✓",COUNTIF(H650:J650,"&gt;-999")&amp;"/3")</f>
        <v>✓</v>
      </c>
    </row>
    <row r="651" customFormat="false" ht="15" hidden="false" customHeight="true" outlineLevel="0" collapsed="false">
      <c r="A651" s="1" t="s">
        <v>38</v>
      </c>
      <c r="B651" s="1" t="s">
        <v>32</v>
      </c>
      <c r="C651" s="1" t="s">
        <v>33</v>
      </c>
      <c r="D651" s="1" t="s">
        <v>29</v>
      </c>
      <c r="E651" s="1" t="s">
        <v>30</v>
      </c>
      <c r="F651" s="1" t="n">
        <f aca="false">IFERROR('dens_visc_2pe+2octanone'!F22,"")</f>
        <v>60</v>
      </c>
      <c r="G651" s="1" t="n">
        <f aca="false">IFERROR('dens_visc_2pe+2octanone'!A23,"")</f>
        <v>0</v>
      </c>
      <c r="H651" s="1" t="n">
        <f aca="false">IFERROR('dens_visc_2pe+2octanone'!F23,"")</f>
        <v>0.78598</v>
      </c>
      <c r="I651" s="1" t="n">
        <f aca="false">IFERROR('dens_visc_2pe+2octanone'!K23,"")</f>
        <v>0</v>
      </c>
      <c r="J651" s="1" t="n">
        <f aca="false">IFERROR('dens_visc_2pe+2octanone'!F37,"")</f>
        <v>0.595</v>
      </c>
      <c r="K651" s="1" t="str">
        <f aca="false">IF(AND(ISNUMBER(H651),ISNUMBER(I651),ISNUMBER(J651)),"✓",COUNTIF(H651:J651,"&gt;-999")&amp;"/3")</f>
        <v>✓</v>
      </c>
    </row>
    <row r="652" customFormat="false" ht="15" hidden="false" customHeight="true" outlineLevel="0" collapsed="false">
      <c r="A652" s="1" t="s">
        <v>38</v>
      </c>
      <c r="B652" s="1" t="s">
        <v>32</v>
      </c>
      <c r="C652" s="1" t="s">
        <v>33</v>
      </c>
      <c r="D652" s="1" t="s">
        <v>29</v>
      </c>
      <c r="E652" s="1" t="s">
        <v>30</v>
      </c>
      <c r="F652" s="1" t="n">
        <f aca="false">IFERROR('dens_visc_2pe+2octanone'!F22,"")</f>
        <v>60</v>
      </c>
      <c r="G652" s="1" t="n">
        <f aca="false">IFERROR('dens_visc_2pe+2octanone'!A24,"")</f>
        <v>0.10290767799473</v>
      </c>
      <c r="H652" s="1" t="n">
        <f aca="false">IFERROR('dens_visc_2pe+2octanone'!F24,"")</f>
        <v>0.8029</v>
      </c>
      <c r="I652" s="1" t="n">
        <f aca="false">IFERROR('dens_visc_2pe+2octanone'!K24,"")</f>
        <v>-0.128589679622337</v>
      </c>
      <c r="J652" s="1" t="n">
        <f aca="false">IFERROR('dens_visc_2pe+2octanone'!F38,"")</f>
        <v>0.673</v>
      </c>
      <c r="K652" s="1" t="str">
        <f aca="false">IF(AND(ISNUMBER(H652),ISNUMBER(I652),ISNUMBER(J652)),"✓",COUNTIF(H652:J652,"&gt;-999")&amp;"/3")</f>
        <v>✓</v>
      </c>
    </row>
    <row r="653" customFormat="false" ht="15" hidden="false" customHeight="true" outlineLevel="0" collapsed="false">
      <c r="A653" s="1" t="s">
        <v>38</v>
      </c>
      <c r="B653" s="1" t="s">
        <v>32</v>
      </c>
      <c r="C653" s="1" t="s">
        <v>33</v>
      </c>
      <c r="D653" s="1" t="s">
        <v>29</v>
      </c>
      <c r="E653" s="1" t="s">
        <v>30</v>
      </c>
      <c r="F653" s="1" t="n">
        <f aca="false">IFERROR('dens_visc_2pe+2octanone'!F22,"")</f>
        <v>60</v>
      </c>
      <c r="G653" s="1" t="n">
        <f aca="false">IFERROR('dens_visc_2pe+2octanone'!A25,"")</f>
        <v>0.184061205395094</v>
      </c>
      <c r="H653" s="1" t="n">
        <f aca="false">IFERROR('dens_visc_2pe+2octanone'!F25,"")</f>
        <v>0.81688</v>
      </c>
      <c r="I653" s="1" t="n">
        <f aca="false">IFERROR('dens_visc_2pe+2octanone'!K25,"")</f>
        <v>-0.228198268996039</v>
      </c>
      <c r="J653" s="1" t="n">
        <f aca="false">IFERROR('dens_visc_2pe+2octanone'!F39,"")</f>
        <v>0.736</v>
      </c>
      <c r="K653" s="1" t="str">
        <f aca="false">IF(AND(ISNUMBER(H653),ISNUMBER(I653),ISNUMBER(J653)),"✓",COUNTIF(H653:J653,"&gt;-999")&amp;"/3")</f>
        <v>✓</v>
      </c>
    </row>
    <row r="654" customFormat="false" ht="15" hidden="false" customHeight="true" outlineLevel="0" collapsed="false">
      <c r="A654" s="1" t="s">
        <v>38</v>
      </c>
      <c r="B654" s="1" t="s">
        <v>32</v>
      </c>
      <c r="C654" s="1" t="s">
        <v>33</v>
      </c>
      <c r="D654" s="1" t="s">
        <v>29</v>
      </c>
      <c r="E654" s="1" t="s">
        <v>30</v>
      </c>
      <c r="F654" s="1" t="n">
        <f aca="false">IFERROR('dens_visc_2pe+2octanone'!F22,"")</f>
        <v>60</v>
      </c>
      <c r="G654" s="1" t="n">
        <f aca="false">IFERROR('dens_visc_2pe+2octanone'!A26,"")</f>
        <v>0.285587520662777</v>
      </c>
      <c r="H654" s="1" t="n">
        <f aca="false">IFERROR('dens_visc_2pe+2octanone'!F26,"")</f>
        <v>0.83517</v>
      </c>
      <c r="I654" s="1" t="n">
        <f aca="false">IFERROR('dens_visc_2pe+2octanone'!K26,"")</f>
        <v>-0.34142124009324</v>
      </c>
      <c r="J654" s="1" t="n">
        <f aca="false">IFERROR('dens_visc_2pe+2octanone'!F40,"")</f>
        <v>0.836</v>
      </c>
      <c r="K654" s="1" t="str">
        <f aca="false">IF(AND(ISNUMBER(H654),ISNUMBER(I654),ISNUMBER(J654)),"✓",COUNTIF(H654:J654,"&gt;-999")&amp;"/3")</f>
        <v>✓</v>
      </c>
    </row>
    <row r="655" customFormat="false" ht="15" hidden="false" customHeight="true" outlineLevel="0" collapsed="false">
      <c r="A655" s="1" t="s">
        <v>38</v>
      </c>
      <c r="B655" s="1" t="s">
        <v>32</v>
      </c>
      <c r="C655" s="1" t="s">
        <v>33</v>
      </c>
      <c r="D655" s="1" t="s">
        <v>29</v>
      </c>
      <c r="E655" s="1" t="s">
        <v>30</v>
      </c>
      <c r="F655" s="1" t="n">
        <f aca="false">IFERROR('dens_visc_2pe+2octanone'!F22,"")</f>
        <v>60</v>
      </c>
      <c r="G655" s="1" t="n">
        <f aca="false">IFERROR('dens_visc_2pe+2octanone'!A27,"")</f>
        <v>0.441946578451035</v>
      </c>
      <c r="H655" s="1" t="n">
        <f aca="false">IFERROR('dens_visc_2pe+2octanone'!F27,"")</f>
        <v>0.86489</v>
      </c>
      <c r="I655" s="1" t="n">
        <f aca="false">IFERROR('dens_visc_2pe+2octanone'!K27,"")</f>
        <v>-0.433363134466987</v>
      </c>
      <c r="J655" s="1" t="n">
        <f aca="false">IFERROR('dens_visc_2pe+2octanone'!F41,"")</f>
        <v>1.054</v>
      </c>
      <c r="K655" s="1" t="str">
        <f aca="false">IF(AND(ISNUMBER(H655),ISNUMBER(I655),ISNUMBER(J655)),"✓",COUNTIF(H655:J655,"&gt;-999")&amp;"/3")</f>
        <v>✓</v>
      </c>
    </row>
    <row r="656" customFormat="false" ht="15" hidden="false" customHeight="true" outlineLevel="0" collapsed="false">
      <c r="A656" s="1" t="s">
        <v>38</v>
      </c>
      <c r="B656" s="1" t="s">
        <v>32</v>
      </c>
      <c r="C656" s="1" t="s">
        <v>33</v>
      </c>
      <c r="D656" s="1" t="s">
        <v>29</v>
      </c>
      <c r="E656" s="1" t="s">
        <v>30</v>
      </c>
      <c r="F656" s="1" t="n">
        <f aca="false">IFERROR('dens_visc_2pe+2octanone'!F22,"")</f>
        <v>60</v>
      </c>
      <c r="G656" s="1" t="n">
        <f aca="false">IFERROR('dens_visc_2pe+2octanone'!A28,"")</f>
        <v>0.507809776347763</v>
      </c>
      <c r="H656" s="1" t="n">
        <f aca="false">IFERROR('dens_visc_2pe+2octanone'!F28,"")</f>
        <v>0.878</v>
      </c>
      <c r="I656" s="1" t="n">
        <f aca="false">IFERROR('dens_visc_2pe+2octanone'!K28,"")</f>
        <v>-0.44038988850977</v>
      </c>
      <c r="J656" s="1" t="n">
        <f aca="false">IFERROR('dens_visc_2pe+2octanone'!F42,"")</f>
        <v>1.161</v>
      </c>
      <c r="K656" s="1" t="str">
        <f aca="false">IF(AND(ISNUMBER(H656),ISNUMBER(I656),ISNUMBER(J656)),"✓",COUNTIF(H656:J656,"&gt;-999")&amp;"/3")</f>
        <v>✓</v>
      </c>
    </row>
    <row r="657" customFormat="false" ht="15" hidden="false" customHeight="true" outlineLevel="0" collapsed="false">
      <c r="A657" s="1" t="s">
        <v>38</v>
      </c>
      <c r="B657" s="1" t="s">
        <v>32</v>
      </c>
      <c r="C657" s="1" t="s">
        <v>33</v>
      </c>
      <c r="D657" s="1" t="s">
        <v>29</v>
      </c>
      <c r="E657" s="1" t="s">
        <v>30</v>
      </c>
      <c r="F657" s="1" t="n">
        <f aca="false">IFERROR('dens_visc_2pe+2octanone'!F22,"")</f>
        <v>60</v>
      </c>
      <c r="G657" s="1" t="n">
        <f aca="false">IFERROR('dens_visc_2pe+2octanone'!A29,"")</f>
        <v>0.603034895845163</v>
      </c>
      <c r="H657" s="1" t="n">
        <f aca="false">IFERROR('dens_visc_2pe+2octanone'!F29,"")</f>
        <v>0.8977</v>
      </c>
      <c r="I657" s="1" t="n">
        <f aca="false">IFERROR('dens_visc_2pe+2octanone'!K29,"")</f>
        <v>-0.430410004385976</v>
      </c>
      <c r="J657" s="1" t="n">
        <f aca="false">IFERROR('dens_visc_2pe+2octanone'!F43,"")</f>
        <v>1.368</v>
      </c>
      <c r="K657" s="1" t="str">
        <f aca="false">IF(AND(ISNUMBER(H657),ISNUMBER(I657),ISNUMBER(J657)),"✓",COUNTIF(H657:J657,"&gt;-999")&amp;"/3")</f>
        <v>✓</v>
      </c>
    </row>
    <row r="658" customFormat="false" ht="15" hidden="false" customHeight="true" outlineLevel="0" collapsed="false">
      <c r="A658" s="1" t="s">
        <v>38</v>
      </c>
      <c r="B658" s="1" t="s">
        <v>32</v>
      </c>
      <c r="C658" s="1" t="s">
        <v>33</v>
      </c>
      <c r="D658" s="1" t="s">
        <v>29</v>
      </c>
      <c r="E658" s="1" t="s">
        <v>30</v>
      </c>
      <c r="F658" s="1" t="n">
        <f aca="false">IFERROR('dens_visc_2pe+2octanone'!F22,"")</f>
        <v>60</v>
      </c>
      <c r="G658" s="1" t="n">
        <f aca="false">IFERROR('dens_visc_2pe+2octanone'!A30,"")</f>
        <v>0.703422225953614</v>
      </c>
      <c r="H658" s="1" t="n">
        <f aca="false">IFERROR('dens_visc_2pe+2octanone'!F30,"")</f>
        <v>0.91942</v>
      </c>
      <c r="I658" s="1" t="n">
        <f aca="false">IFERROR('dens_visc_2pe+2octanone'!K30,"")</f>
        <v>-0.384548194044328</v>
      </c>
      <c r="J658" s="1" t="n">
        <f aca="false">IFERROR('dens_visc_2pe+2octanone'!F44,"")</f>
        <v>1.659</v>
      </c>
      <c r="K658" s="1" t="str">
        <f aca="false">IF(AND(ISNUMBER(H658),ISNUMBER(I658),ISNUMBER(J658)),"✓",COUNTIF(H658:J658,"&gt;-999")&amp;"/3")</f>
        <v>✓</v>
      </c>
    </row>
    <row r="659" customFormat="false" ht="15" hidden="false" customHeight="true" outlineLevel="0" collapsed="false">
      <c r="A659" s="1" t="s">
        <v>38</v>
      </c>
      <c r="B659" s="1" t="s">
        <v>32</v>
      </c>
      <c r="C659" s="1" t="s">
        <v>33</v>
      </c>
      <c r="D659" s="1" t="s">
        <v>29</v>
      </c>
      <c r="E659" s="1" t="s">
        <v>30</v>
      </c>
      <c r="F659" s="1" t="n">
        <f aca="false">IFERROR('dens_visc_2pe+2octanone'!F22,"")</f>
        <v>60</v>
      </c>
      <c r="G659" s="1" t="n">
        <f aca="false">IFERROR('dens_visc_2pe+2octanone'!A31,"")</f>
        <v>0.803310581963571</v>
      </c>
      <c r="H659" s="1" t="n">
        <f aca="false">IFERROR('dens_visc_2pe+2octanone'!F31,"")</f>
        <v>0.94197</v>
      </c>
      <c r="I659" s="1" t="n">
        <f aca="false">IFERROR('dens_visc_2pe+2octanone'!K31,"")</f>
        <v>-0.288979703359644</v>
      </c>
      <c r="J659" s="1" t="n">
        <f aca="false">IFERROR('dens_visc_2pe+2octanone'!F45,"")</f>
        <v>2.046</v>
      </c>
      <c r="K659" s="1" t="str">
        <f aca="false">IF(AND(ISNUMBER(H659),ISNUMBER(I659),ISNUMBER(J659)),"✓",COUNTIF(H659:J659,"&gt;-999")&amp;"/3")</f>
        <v>✓</v>
      </c>
    </row>
    <row r="660" customFormat="false" ht="15" hidden="false" customHeight="true" outlineLevel="0" collapsed="false">
      <c r="A660" s="1" t="s">
        <v>38</v>
      </c>
      <c r="B660" s="1" t="s">
        <v>32</v>
      </c>
      <c r="C660" s="1" t="s">
        <v>33</v>
      </c>
      <c r="D660" s="1" t="s">
        <v>29</v>
      </c>
      <c r="E660" s="1" t="s">
        <v>30</v>
      </c>
      <c r="F660" s="1" t="n">
        <f aca="false">IFERROR('dens_visc_2pe+2octanone'!F22,"")</f>
        <v>60</v>
      </c>
      <c r="G660" s="1" t="n">
        <f aca="false">IFERROR('dens_visc_2pe+2octanone'!A32,"")</f>
        <v>0.90095052307922</v>
      </c>
      <c r="H660" s="1" t="n">
        <f aca="false">IFERROR('dens_visc_2pe+2octanone'!F32,"")</f>
        <v>0.96506</v>
      </c>
      <c r="I660" s="1" t="n">
        <f aca="false">IFERROR('dens_visc_2pe+2octanone'!K32,"")</f>
        <v>-0.158854023995218</v>
      </c>
      <c r="J660" s="1" t="n">
        <f aca="false">IFERROR('dens_visc_2pe+2octanone'!F46,"")</f>
        <v>2.557</v>
      </c>
      <c r="K660" s="1" t="str">
        <f aca="false">IF(AND(ISNUMBER(H660),ISNUMBER(I660),ISNUMBER(J660)),"✓",COUNTIF(H660:J660,"&gt;-999")&amp;"/3")</f>
        <v>✓</v>
      </c>
    </row>
    <row r="661" customFormat="false" ht="15" hidden="false" customHeight="true" outlineLevel="0" collapsed="false">
      <c r="A661" s="1" t="s">
        <v>38</v>
      </c>
      <c r="B661" s="1" t="s">
        <v>32</v>
      </c>
      <c r="C661" s="1" t="s">
        <v>33</v>
      </c>
      <c r="D661" s="1" t="s">
        <v>29</v>
      </c>
      <c r="E661" s="1" t="s">
        <v>30</v>
      </c>
      <c r="F661" s="1" t="n">
        <f aca="false">IFERROR('dens_visc_2pe+2octanone'!F22,"")</f>
        <v>60</v>
      </c>
      <c r="G661" s="1" t="n">
        <f aca="false">IFERROR('dens_visc_2pe+2octanone'!A33,"")</f>
        <v>1</v>
      </c>
      <c r="H661" s="1" t="n">
        <f aca="false">IFERROR('dens_visc_2pe+2octanone'!F33,"")</f>
        <v>0.9897</v>
      </c>
      <c r="I661" s="1" t="n">
        <f aca="false">IFERROR('dens_visc_2pe+2octanone'!K33,"")</f>
        <v>0</v>
      </c>
      <c r="J661" s="1" t="n">
        <f aca="false">IFERROR('dens_visc_2pe+2octanone'!F47,"")</f>
        <v>3.252</v>
      </c>
      <c r="K661" s="1" t="str">
        <f aca="false">IF(AND(ISNUMBER(H661),ISNUMBER(I661),ISNUMBER(J661)),"✓",COUNTIF(H661:J661,"&gt;-999")&amp;"/3")</f>
        <v>✓</v>
      </c>
    </row>
    <row r="662" customFormat="false" ht="15" hidden="false" customHeight="true" outlineLevel="0" collapsed="false">
      <c r="A662" s="1" t="s">
        <v>39</v>
      </c>
      <c r="B662" s="1" t="s">
        <v>40</v>
      </c>
      <c r="C662" s="1" t="s">
        <v>41</v>
      </c>
      <c r="D662" s="1" t="s">
        <v>14</v>
      </c>
      <c r="E662" s="1" t="s">
        <v>15</v>
      </c>
      <c r="F662" s="1" t="n">
        <f aca="false">IFERROR('dens_visc_gamma+2m3b2oh'!B22,"")</f>
        <v>20</v>
      </c>
      <c r="G662" s="1" t="n">
        <f aca="false">IFERROR('dens_visc_gamma+2m3b2oh'!A23,"")</f>
        <v>0</v>
      </c>
      <c r="H662" s="1" t="n">
        <f aca="false">IFERROR('dens_visc_gamma+2m3b2oh'!B23,"")</f>
        <v>0.82388</v>
      </c>
      <c r="I662" s="1" t="n">
        <f aca="false">IFERROR('dens_visc_gamma+2m3b2oh'!G23,"")</f>
        <v>0</v>
      </c>
      <c r="J662" s="1" t="n">
        <f aca="false">IFERROR('dens_visc_gamma+2m3b2oh'!B37,"")</f>
        <v>2.353</v>
      </c>
      <c r="K662" s="1" t="str">
        <f aca="false">IF(AND(ISNUMBER(H662),ISNUMBER(I662),ISNUMBER(J662)),"✓",COUNTIF(H662:J662,"&gt;-999")&amp;"/3")</f>
        <v>✓</v>
      </c>
    </row>
    <row r="663" customFormat="false" ht="15" hidden="false" customHeight="true" outlineLevel="0" collapsed="false">
      <c r="A663" s="1" t="s">
        <v>39</v>
      </c>
      <c r="B663" s="1" t="s">
        <v>40</v>
      </c>
      <c r="C663" s="1" t="s">
        <v>41</v>
      </c>
      <c r="D663" s="1" t="s">
        <v>14</v>
      </c>
      <c r="E663" s="1" t="s">
        <v>15</v>
      </c>
      <c r="F663" s="1" t="n">
        <f aca="false">IFERROR('dens_visc_gamma+2m3b2oh'!B22,"")</f>
        <v>20</v>
      </c>
      <c r="G663" s="1" t="n">
        <f aca="false">IFERROR('dens_visc_gamma+2m3b2oh'!A24,"")</f>
        <v>0.0964114084790061</v>
      </c>
      <c r="H663" s="1" t="n">
        <f aca="false">IFERROR('dens_visc_gamma+2m3b2oh'!B24,"")</f>
        <v>0.84562</v>
      </c>
      <c r="I663" s="1" t="n">
        <f aca="false">IFERROR('dens_visc_gamma+2m3b2oh'!G24,"")</f>
        <v>-0.242876525300289</v>
      </c>
      <c r="J663" s="1" t="n">
        <f aca="false">IFERROR('dens_visc_gamma+2m3b2oh'!B38,"")</f>
        <v>2.648</v>
      </c>
      <c r="K663" s="1" t="str">
        <f aca="false">IF(AND(ISNUMBER(H663),ISNUMBER(I663),ISNUMBER(J663)),"✓",COUNTIF(H663:J663,"&gt;-999")&amp;"/3")</f>
        <v>✓</v>
      </c>
    </row>
    <row r="664" customFormat="false" ht="15" hidden="false" customHeight="true" outlineLevel="0" collapsed="false">
      <c r="A664" s="1" t="s">
        <v>39</v>
      </c>
      <c r="B664" s="1" t="s">
        <v>40</v>
      </c>
      <c r="C664" s="1" t="s">
        <v>41</v>
      </c>
      <c r="D664" s="1" t="s">
        <v>14</v>
      </c>
      <c r="E664" s="1" t="s">
        <v>15</v>
      </c>
      <c r="F664" s="1" t="n">
        <f aca="false">IFERROR('dens_visc_gamma+2m3b2oh'!B22,"")</f>
        <v>20</v>
      </c>
      <c r="G664" s="1" t="n">
        <f aca="false">IFERROR('dens_visc_gamma+2m3b2oh'!A25,"")</f>
        <v>0.208604389246276</v>
      </c>
      <c r="H664" s="1" t="n">
        <f aca="false">IFERROR('dens_visc_gamma+2m3b2oh'!B25,"")</f>
        <v>0.86581</v>
      </c>
      <c r="I664" s="1" t="n">
        <f aca="false">IFERROR('dens_visc_gamma+2m3b2oh'!G25,"")</f>
        <v>-0.256969944126539</v>
      </c>
      <c r="J664" s="1" t="n">
        <f aca="false">IFERROR('dens_visc_gamma+2m3b2oh'!B39,"")</f>
        <v>2.928</v>
      </c>
      <c r="K664" s="1" t="str">
        <f aca="false">IF(AND(ISNUMBER(H664),ISNUMBER(I664),ISNUMBER(J664)),"✓",COUNTIF(H664:J664,"&gt;-999")&amp;"/3")</f>
        <v>✓</v>
      </c>
    </row>
    <row r="665" customFormat="false" ht="15" hidden="false" customHeight="true" outlineLevel="0" collapsed="false">
      <c r="A665" s="1" t="s">
        <v>39</v>
      </c>
      <c r="B665" s="1" t="s">
        <v>40</v>
      </c>
      <c r="C665" s="1" t="s">
        <v>41</v>
      </c>
      <c r="D665" s="1" t="s">
        <v>14</v>
      </c>
      <c r="E665" s="1" t="s">
        <v>15</v>
      </c>
      <c r="F665" s="1" t="n">
        <f aca="false">IFERROR('dens_visc_gamma+2m3b2oh'!B22,"")</f>
        <v>20</v>
      </c>
      <c r="G665" s="1" t="n">
        <f aca="false">IFERROR('dens_visc_gamma+2m3b2oh'!A26,"")</f>
        <v>0.296204617305042</v>
      </c>
      <c r="H665" s="1" t="n">
        <f aca="false">IFERROR('dens_visc_gamma+2m3b2oh'!B26,"")</f>
        <v>0.87934</v>
      </c>
      <c r="I665" s="1" t="n">
        <f aca="false">IFERROR('dens_visc_gamma+2m3b2oh'!G26,"")</f>
        <v>-0.212266330024548</v>
      </c>
      <c r="J665" s="1" t="n">
        <f aca="false">IFERROR('dens_visc_gamma+2m3b2oh'!B40,"")</f>
        <v>3.192</v>
      </c>
      <c r="K665" s="1" t="str">
        <f aca="false">IF(AND(ISNUMBER(H665),ISNUMBER(I665),ISNUMBER(J665)),"✓",COUNTIF(H665:J665,"&gt;-999")&amp;"/3")</f>
        <v>✓</v>
      </c>
    </row>
    <row r="666" customFormat="false" ht="15" hidden="false" customHeight="true" outlineLevel="0" collapsed="false">
      <c r="A666" s="1" t="s">
        <v>39</v>
      </c>
      <c r="B666" s="1" t="s">
        <v>40</v>
      </c>
      <c r="C666" s="1" t="s">
        <v>41</v>
      </c>
      <c r="D666" s="1" t="s">
        <v>14</v>
      </c>
      <c r="E666" s="1" t="s">
        <v>15</v>
      </c>
      <c r="F666" s="1" t="n">
        <f aca="false">IFERROR('dens_visc_gamma+2m3b2oh'!B22,"")</f>
        <v>20</v>
      </c>
      <c r="G666" s="1" t="n">
        <f aca="false">IFERROR('dens_visc_gamma+2m3b2oh'!A27,"")</f>
        <v>0.396878554408986</v>
      </c>
      <c r="H666" s="1" t="n">
        <f aca="false">IFERROR('dens_visc_gamma+2m3b2oh'!B27,"")</f>
        <v>0.89309</v>
      </c>
      <c r="I666" s="1" t="n">
        <f aca="false">IFERROR('dens_visc_gamma+2m3b2oh'!G27,"")</f>
        <v>-0.135971368246032</v>
      </c>
      <c r="J666" s="1" t="n">
        <f aca="false">IFERROR('dens_visc_gamma+2m3b2oh'!B41,"")</f>
        <v>3.502</v>
      </c>
      <c r="K666" s="1" t="str">
        <f aca="false">IF(AND(ISNUMBER(H666),ISNUMBER(I666),ISNUMBER(J666)),"✓",COUNTIF(H666:J666,"&gt;-999")&amp;"/3")</f>
        <v>✓</v>
      </c>
    </row>
    <row r="667" customFormat="false" ht="15" hidden="false" customHeight="true" outlineLevel="0" collapsed="false">
      <c r="A667" s="1" t="s">
        <v>39</v>
      </c>
      <c r="B667" s="1" t="s">
        <v>40</v>
      </c>
      <c r="C667" s="1" t="s">
        <v>41</v>
      </c>
      <c r="D667" s="1" t="s">
        <v>14</v>
      </c>
      <c r="E667" s="1" t="s">
        <v>15</v>
      </c>
      <c r="F667" s="1" t="n">
        <f aca="false">IFERROR('dens_visc_gamma+2m3b2oh'!B22,"")</f>
        <v>20</v>
      </c>
      <c r="G667" s="1" t="n">
        <f aca="false">IFERROR('dens_visc_gamma+2m3b2oh'!A28,"")</f>
        <v>0.494096014579871</v>
      </c>
      <c r="H667" s="1" t="n">
        <f aca="false">IFERROR('dens_visc_gamma+2m3b2oh'!B28,"")</f>
        <v>0.90516</v>
      </c>
      <c r="I667" s="1" t="n">
        <f aca="false">IFERROR('dens_visc_gamma+2m3b2oh'!G28,"")</f>
        <v>-0.0913597085965989</v>
      </c>
      <c r="J667" s="1" t="n">
        <f aca="false">IFERROR('dens_visc_gamma+2m3b2oh'!B42,"")</f>
        <v>3.835</v>
      </c>
      <c r="K667" s="1" t="str">
        <f aca="false">IF(AND(ISNUMBER(H667),ISNUMBER(I667),ISNUMBER(J667)),"✓",COUNTIF(H667:J667,"&gt;-999")&amp;"/3")</f>
        <v>✓</v>
      </c>
    </row>
    <row r="668" customFormat="false" ht="15" hidden="false" customHeight="true" outlineLevel="0" collapsed="false">
      <c r="A668" s="1" t="s">
        <v>39</v>
      </c>
      <c r="B668" s="1" t="s">
        <v>40</v>
      </c>
      <c r="C668" s="1" t="s">
        <v>41</v>
      </c>
      <c r="D668" s="1" t="s">
        <v>14</v>
      </c>
      <c r="E668" s="1" t="s">
        <v>15</v>
      </c>
      <c r="F668" s="1" t="n">
        <f aca="false">IFERROR('dens_visc_gamma+2m3b2oh'!B22,"")</f>
        <v>20</v>
      </c>
      <c r="G668" s="1" t="n">
        <f aca="false">IFERROR('dens_visc_gamma+2m3b2oh'!A29,"")</f>
        <v>0.591963460297223</v>
      </c>
      <c r="H668" s="1" t="n">
        <f aca="false">IFERROR('dens_visc_gamma+2m3b2oh'!B29,"")</f>
        <v>0.91601</v>
      </c>
      <c r="I668" s="1" t="n">
        <f aca="false">IFERROR('dens_visc_gamma+2m3b2oh'!G29,"")</f>
        <v>-0.0287591799526012</v>
      </c>
      <c r="J668" s="1" t="n">
        <f aca="false">IFERROR('dens_visc_gamma+2m3b2oh'!B43,"")</f>
        <v>4.228</v>
      </c>
      <c r="K668" s="1" t="str">
        <f aca="false">IF(AND(ISNUMBER(H668),ISNUMBER(I668),ISNUMBER(J668)),"✓",COUNTIF(H668:J668,"&gt;-999")&amp;"/3")</f>
        <v>✓</v>
      </c>
    </row>
    <row r="669" customFormat="false" ht="15" hidden="false" customHeight="true" outlineLevel="0" collapsed="false">
      <c r="A669" s="1" t="s">
        <v>39</v>
      </c>
      <c r="B669" s="1" t="s">
        <v>40</v>
      </c>
      <c r="C669" s="1" t="s">
        <v>41</v>
      </c>
      <c r="D669" s="1" t="s">
        <v>14</v>
      </c>
      <c r="E669" s="1" t="s">
        <v>15</v>
      </c>
      <c r="F669" s="1" t="n">
        <f aca="false">IFERROR('dens_visc_gamma+2m3b2oh'!B22,"")</f>
        <v>20</v>
      </c>
      <c r="G669" s="1" t="n">
        <f aca="false">IFERROR('dens_visc_gamma+2m3b2oh'!A30,"")</f>
        <v>0.695140235125829</v>
      </c>
      <c r="H669" s="1" t="n">
        <f aca="false">IFERROR('dens_visc_gamma+2m3b2oh'!B30,"")</f>
        <v>0.92645</v>
      </c>
      <c r="I669" s="1" t="n">
        <f aca="false">IFERROR('dens_visc_gamma+2m3b2oh'!G30,"")</f>
        <v>0.0199297262992957</v>
      </c>
      <c r="J669" s="1" t="n">
        <f aca="false">IFERROR('dens_visc_gamma+2m3b2oh'!B44,"")</f>
        <v>4.714</v>
      </c>
      <c r="K669" s="1" t="str">
        <f aca="false">IF(AND(ISNUMBER(H669),ISNUMBER(I669),ISNUMBER(J669)),"✓",COUNTIF(H669:J669,"&gt;-999")&amp;"/3")</f>
        <v>✓</v>
      </c>
    </row>
    <row r="670" customFormat="false" ht="15" hidden="false" customHeight="true" outlineLevel="0" collapsed="false">
      <c r="A670" s="1" t="s">
        <v>39</v>
      </c>
      <c r="B670" s="1" t="s">
        <v>40</v>
      </c>
      <c r="C670" s="1" t="s">
        <v>41</v>
      </c>
      <c r="D670" s="1" t="s">
        <v>14</v>
      </c>
      <c r="E670" s="1" t="s">
        <v>15</v>
      </c>
      <c r="F670" s="1" t="n">
        <f aca="false">IFERROR('dens_visc_gamma+2m3b2oh'!B22,"")</f>
        <v>20</v>
      </c>
      <c r="G670" s="1" t="n">
        <f aca="false">IFERROR('dens_visc_gamma+2m3b2oh'!A31,"")</f>
        <v>0.796860189295174</v>
      </c>
      <c r="H670" s="1" t="n">
        <f aca="false">IFERROR('dens_visc_gamma+2m3b2oh'!B31,"")</f>
        <v>0.93588</v>
      </c>
      <c r="I670" s="1" t="n">
        <f aca="false">IFERROR('dens_visc_gamma+2m3b2oh'!G31,"")</f>
        <v>0.0507019242232332</v>
      </c>
      <c r="J670" s="1" t="n">
        <f aca="false">IFERROR('dens_visc_gamma+2m3b2oh'!B45,"")</f>
        <v>5.251</v>
      </c>
      <c r="K670" s="1" t="str">
        <f aca="false">IF(AND(ISNUMBER(H670),ISNUMBER(I670),ISNUMBER(J670)),"✓",COUNTIF(H670:J670,"&gt;-999")&amp;"/3")</f>
        <v>✓</v>
      </c>
    </row>
    <row r="671" customFormat="false" ht="15" hidden="false" customHeight="true" outlineLevel="0" collapsed="false">
      <c r="A671" s="1" t="s">
        <v>39</v>
      </c>
      <c r="B671" s="1" t="s">
        <v>40</v>
      </c>
      <c r="C671" s="1" t="s">
        <v>41</v>
      </c>
      <c r="D671" s="1" t="s">
        <v>14</v>
      </c>
      <c r="E671" s="1" t="s">
        <v>15</v>
      </c>
      <c r="F671" s="1" t="n">
        <f aca="false">IFERROR('dens_visc_gamma+2m3b2oh'!B22,"")</f>
        <v>20</v>
      </c>
      <c r="G671" s="1" t="n">
        <f aca="false">IFERROR('dens_visc_gamma+2m3b2oh'!A32,"")</f>
        <v>0.896423574413522</v>
      </c>
      <c r="H671" s="1" t="n">
        <f aca="false">IFERROR('dens_visc_gamma+2m3b2oh'!B32,"")</f>
        <v>0.94437</v>
      </c>
      <c r="I671" s="1" t="n">
        <f aca="false">IFERROR('dens_visc_gamma+2m3b2oh'!G32,"")</f>
        <v>0.0684698839298505</v>
      </c>
      <c r="J671" s="1" t="n">
        <f aca="false">IFERROR('dens_visc_gamma+2m3b2oh'!B46,"")</f>
        <v>5.864</v>
      </c>
      <c r="K671" s="1" t="str">
        <f aca="false">IF(AND(ISNUMBER(H671),ISNUMBER(I671),ISNUMBER(J671)),"✓",COUNTIF(H671:J671,"&gt;-999")&amp;"/3")</f>
        <v>✓</v>
      </c>
    </row>
    <row r="672" customFormat="false" ht="15" hidden="false" customHeight="true" outlineLevel="0" collapsed="false">
      <c r="A672" s="1" t="s">
        <v>39</v>
      </c>
      <c r="B672" s="1" t="s">
        <v>40</v>
      </c>
      <c r="C672" s="1" t="s">
        <v>41</v>
      </c>
      <c r="D672" s="1" t="s">
        <v>14</v>
      </c>
      <c r="E672" s="1" t="s">
        <v>15</v>
      </c>
      <c r="F672" s="1" t="n">
        <f aca="false">IFERROR('dens_visc_gamma+2m3b2oh'!B22,"")</f>
        <v>20</v>
      </c>
      <c r="G672" s="1" t="n">
        <f aca="false">IFERROR('dens_visc_gamma+2m3b2oh'!A33,"")</f>
        <v>1</v>
      </c>
      <c r="H672" s="1" t="n">
        <f aca="false">IFERROR('dens_visc_gamma+2m3b2oh'!B33,"")</f>
        <v>0.95292</v>
      </c>
      <c r="I672" s="1" t="n">
        <f aca="false">IFERROR('dens_visc_gamma+2m3b2oh'!G33,"")</f>
        <v>0</v>
      </c>
      <c r="J672" s="1" t="n">
        <f aca="false">IFERROR('dens_visc_gamma+2m3b2oh'!B47,"")</f>
        <v>6.574</v>
      </c>
      <c r="K672" s="1" t="str">
        <f aca="false">IF(AND(ISNUMBER(H672),ISNUMBER(I672),ISNUMBER(J672)),"✓",COUNTIF(H672:J672,"&gt;-999")&amp;"/3")</f>
        <v>✓</v>
      </c>
    </row>
    <row r="673" customFormat="false" ht="15" hidden="false" customHeight="true" outlineLevel="0" collapsed="false">
      <c r="A673" s="1" t="s">
        <v>39</v>
      </c>
      <c r="B673" s="1" t="s">
        <v>40</v>
      </c>
      <c r="C673" s="1" t="s">
        <v>41</v>
      </c>
      <c r="D673" s="1" t="s">
        <v>14</v>
      </c>
      <c r="E673" s="1" t="s">
        <v>15</v>
      </c>
      <c r="F673" s="1" t="n">
        <f aca="false">IFERROR('dens_visc_gamma+2m3b2oh'!C22,"")</f>
        <v>30</v>
      </c>
      <c r="G673" s="1" t="n">
        <f aca="false">IFERROR('dens_visc_gamma+2m3b2oh'!A23,"")</f>
        <v>0</v>
      </c>
      <c r="H673" s="1" t="n">
        <f aca="false">IFERROR('dens_visc_gamma+2m3b2oh'!C23,"")</f>
        <v>0.81447</v>
      </c>
      <c r="I673" s="1" t="n">
        <f aca="false">IFERROR('dens_visc_gamma+2m3b2oh'!H23,"")</f>
        <v>0</v>
      </c>
      <c r="J673" s="1" t="n">
        <f aca="false">IFERROR('dens_visc_gamma+2m3b2oh'!C37,"")</f>
        <v>1.682</v>
      </c>
      <c r="K673" s="1" t="str">
        <f aca="false">IF(AND(ISNUMBER(H673),ISNUMBER(I673),ISNUMBER(J673)),"✓",COUNTIF(H673:J673,"&gt;-999")&amp;"/3")</f>
        <v>✓</v>
      </c>
    </row>
    <row r="674" customFormat="false" ht="15" hidden="false" customHeight="true" outlineLevel="0" collapsed="false">
      <c r="A674" s="1" t="s">
        <v>39</v>
      </c>
      <c r="B674" s="1" t="s">
        <v>40</v>
      </c>
      <c r="C674" s="1" t="s">
        <v>41</v>
      </c>
      <c r="D674" s="1" t="s">
        <v>14</v>
      </c>
      <c r="E674" s="1" t="s">
        <v>15</v>
      </c>
      <c r="F674" s="1" t="n">
        <f aca="false">IFERROR('dens_visc_gamma+2m3b2oh'!C22,"")</f>
        <v>30</v>
      </c>
      <c r="G674" s="1" t="n">
        <f aca="false">IFERROR('dens_visc_gamma+2m3b2oh'!A24,"")</f>
        <v>0.0964114084790061</v>
      </c>
      <c r="H674" s="1" t="n">
        <f aca="false">IFERROR('dens_visc_gamma+2m3b2oh'!C24,"")</f>
        <v>0.83647</v>
      </c>
      <c r="I674" s="1" t="n">
        <f aca="false">IFERROR('dens_visc_gamma+2m3b2oh'!H24,"")</f>
        <v>-0.252925842943597</v>
      </c>
      <c r="J674" s="1" t="n">
        <f aca="false">IFERROR('dens_visc_gamma+2m3b2oh'!C38,"")</f>
        <v>1.918</v>
      </c>
      <c r="K674" s="1" t="str">
        <f aca="false">IF(AND(ISNUMBER(H674),ISNUMBER(I674),ISNUMBER(J674)),"✓",COUNTIF(H674:J674,"&gt;-999")&amp;"/3")</f>
        <v>✓</v>
      </c>
    </row>
    <row r="675" customFormat="false" ht="15" hidden="false" customHeight="true" outlineLevel="0" collapsed="false">
      <c r="A675" s="1" t="s">
        <v>39</v>
      </c>
      <c r="B675" s="1" t="s">
        <v>40</v>
      </c>
      <c r="C675" s="1" t="s">
        <v>41</v>
      </c>
      <c r="D675" s="1" t="s">
        <v>14</v>
      </c>
      <c r="E675" s="1" t="s">
        <v>15</v>
      </c>
      <c r="F675" s="1" t="n">
        <f aca="false">IFERROR('dens_visc_gamma+2m3b2oh'!C22,"")</f>
        <v>30</v>
      </c>
      <c r="G675" s="1" t="n">
        <f aca="false">IFERROR('dens_visc_gamma+2m3b2oh'!A25,"")</f>
        <v>0.208604389246276</v>
      </c>
      <c r="H675" s="1" t="n">
        <f aca="false">IFERROR('dens_visc_gamma+2m3b2oh'!C25,"")</f>
        <v>0.85698</v>
      </c>
      <c r="I675" s="1" t="n">
        <f aca="false">IFERROR('dens_visc_gamma+2m3b2oh'!H25,"")</f>
        <v>-0.277058442650528</v>
      </c>
      <c r="J675" s="1" t="n">
        <f aca="false">IFERROR('dens_visc_gamma+2m3b2oh'!C39,"")</f>
        <v>2.145</v>
      </c>
      <c r="K675" s="1" t="str">
        <f aca="false">IF(AND(ISNUMBER(H675),ISNUMBER(I675),ISNUMBER(J675)),"✓",COUNTIF(H675:J675,"&gt;-999")&amp;"/3")</f>
        <v>✓</v>
      </c>
    </row>
    <row r="676" customFormat="false" ht="15" hidden="false" customHeight="true" outlineLevel="0" collapsed="false">
      <c r="A676" s="1" t="s">
        <v>39</v>
      </c>
      <c r="B676" s="1" t="s">
        <v>40</v>
      </c>
      <c r="C676" s="1" t="s">
        <v>41</v>
      </c>
      <c r="D676" s="1" t="s">
        <v>14</v>
      </c>
      <c r="E676" s="1" t="s">
        <v>15</v>
      </c>
      <c r="F676" s="1" t="n">
        <f aca="false">IFERROR('dens_visc_gamma+2m3b2oh'!C22,"")</f>
        <v>30</v>
      </c>
      <c r="G676" s="1" t="n">
        <f aca="false">IFERROR('dens_visc_gamma+2m3b2oh'!A26,"")</f>
        <v>0.296204617305042</v>
      </c>
      <c r="H676" s="1" t="n">
        <f aca="false">IFERROR('dens_visc_gamma+2m3b2oh'!C26,"")</f>
        <v>0.87074</v>
      </c>
      <c r="I676" s="1" t="n">
        <f aca="false">IFERROR('dens_visc_gamma+2m3b2oh'!H26,"")</f>
        <v>-0.238265830666208</v>
      </c>
      <c r="J676" s="1" t="n">
        <f aca="false">IFERROR('dens_visc_gamma+2m3b2oh'!C40,"")</f>
        <v>2.356</v>
      </c>
      <c r="K676" s="1" t="str">
        <f aca="false">IF(AND(ISNUMBER(H676),ISNUMBER(I676),ISNUMBER(J676)),"✓",COUNTIF(H676:J676,"&gt;-999")&amp;"/3")</f>
        <v>✓</v>
      </c>
    </row>
    <row r="677" customFormat="false" ht="15" hidden="false" customHeight="true" outlineLevel="0" collapsed="false">
      <c r="A677" s="1" t="s">
        <v>39</v>
      </c>
      <c r="B677" s="1" t="s">
        <v>40</v>
      </c>
      <c r="C677" s="1" t="s">
        <v>41</v>
      </c>
      <c r="D677" s="1" t="s">
        <v>14</v>
      </c>
      <c r="E677" s="1" t="s">
        <v>15</v>
      </c>
      <c r="F677" s="1" t="n">
        <f aca="false">IFERROR('dens_visc_gamma+2m3b2oh'!C22,"")</f>
        <v>30</v>
      </c>
      <c r="G677" s="1" t="n">
        <f aca="false">IFERROR('dens_visc_gamma+2m3b2oh'!A27,"")</f>
        <v>0.396878554408986</v>
      </c>
      <c r="H677" s="1" t="n">
        <f aca="false">IFERROR('dens_visc_gamma+2m3b2oh'!C27,"")</f>
        <v>0.88471</v>
      </c>
      <c r="I677" s="1" t="n">
        <f aca="false">IFERROR('dens_visc_gamma+2m3b2oh'!H27,"")</f>
        <v>-0.16390755862875</v>
      </c>
      <c r="J677" s="1" t="n">
        <f aca="false">IFERROR('dens_visc_gamma+2m3b2oh'!C41,"")</f>
        <v>2.599</v>
      </c>
      <c r="K677" s="1" t="str">
        <f aca="false">IF(AND(ISNUMBER(H677),ISNUMBER(I677),ISNUMBER(J677)),"✓",COUNTIF(H677:J677,"&gt;-999")&amp;"/3")</f>
        <v>✓</v>
      </c>
    </row>
    <row r="678" customFormat="false" ht="15" hidden="false" customHeight="true" outlineLevel="0" collapsed="false">
      <c r="A678" s="1" t="s">
        <v>39</v>
      </c>
      <c r="B678" s="1" t="s">
        <v>40</v>
      </c>
      <c r="C678" s="1" t="s">
        <v>41</v>
      </c>
      <c r="D678" s="1" t="s">
        <v>14</v>
      </c>
      <c r="E678" s="1" t="s">
        <v>15</v>
      </c>
      <c r="F678" s="1" t="n">
        <f aca="false">IFERROR('dens_visc_gamma+2m3b2oh'!C22,"")</f>
        <v>30</v>
      </c>
      <c r="G678" s="1" t="n">
        <f aca="false">IFERROR('dens_visc_gamma+2m3b2oh'!A28,"")</f>
        <v>0.494096014579871</v>
      </c>
      <c r="H678" s="1" t="n">
        <f aca="false">IFERROR('dens_visc_gamma+2m3b2oh'!C28,"")</f>
        <v>0.89695</v>
      </c>
      <c r="I678" s="1" t="n">
        <f aca="false">IFERROR('dens_visc_gamma+2m3b2oh'!H28,"")</f>
        <v>-0.11707025713099</v>
      </c>
      <c r="J678" s="1" t="n">
        <f aca="false">IFERROR('dens_visc_gamma+2m3b2oh'!C42,"")</f>
        <v>2.859</v>
      </c>
      <c r="K678" s="1" t="str">
        <f aca="false">IF(AND(ISNUMBER(H678),ISNUMBER(I678),ISNUMBER(J678)),"✓",COUNTIF(H678:J678,"&gt;-999")&amp;"/3")</f>
        <v>✓</v>
      </c>
    </row>
    <row r="679" customFormat="false" ht="15" hidden="false" customHeight="true" outlineLevel="0" collapsed="false">
      <c r="A679" s="1" t="s">
        <v>39</v>
      </c>
      <c r="B679" s="1" t="s">
        <v>40</v>
      </c>
      <c r="C679" s="1" t="s">
        <v>41</v>
      </c>
      <c r="D679" s="1" t="s">
        <v>14</v>
      </c>
      <c r="E679" s="1" t="s">
        <v>15</v>
      </c>
      <c r="F679" s="1" t="n">
        <f aca="false">IFERROR('dens_visc_gamma+2m3b2oh'!C22,"")</f>
        <v>30</v>
      </c>
      <c r="G679" s="1" t="n">
        <f aca="false">IFERROR('dens_visc_gamma+2m3b2oh'!A29,"")</f>
        <v>0.591963460297223</v>
      </c>
      <c r="H679" s="1" t="n">
        <f aca="false">IFERROR('dens_visc_gamma+2m3b2oh'!C29,"")</f>
        <v>0.90798</v>
      </c>
      <c r="I679" s="1" t="n">
        <f aca="false">IFERROR('dens_visc_gamma+2m3b2oh'!H29,"")</f>
        <v>-0.0550376887731545</v>
      </c>
      <c r="J679" s="1" t="n">
        <f aca="false">IFERROR('dens_visc_gamma+2m3b2oh'!C43,"")</f>
        <v>3.155</v>
      </c>
      <c r="K679" s="1" t="str">
        <f aca="false">IF(AND(ISNUMBER(H679),ISNUMBER(I679),ISNUMBER(J679)),"✓",COUNTIF(H679:J679,"&gt;-999")&amp;"/3")</f>
        <v>✓</v>
      </c>
    </row>
    <row r="680" customFormat="false" ht="15" hidden="false" customHeight="true" outlineLevel="0" collapsed="false">
      <c r="A680" s="1" t="s">
        <v>39</v>
      </c>
      <c r="B680" s="1" t="s">
        <v>40</v>
      </c>
      <c r="C680" s="1" t="s">
        <v>41</v>
      </c>
      <c r="D680" s="1" t="s">
        <v>14</v>
      </c>
      <c r="E680" s="1" t="s">
        <v>15</v>
      </c>
      <c r="F680" s="1" t="n">
        <f aca="false">IFERROR('dens_visc_gamma+2m3b2oh'!C22,"")</f>
        <v>30</v>
      </c>
      <c r="G680" s="1" t="n">
        <f aca="false">IFERROR('dens_visc_gamma+2m3b2oh'!A30,"")</f>
        <v>0.695140235125829</v>
      </c>
      <c r="H680" s="1" t="n">
        <f aca="false">IFERROR('dens_visc_gamma+2m3b2oh'!C30,"")</f>
        <v>0.91857</v>
      </c>
      <c r="I680" s="1" t="n">
        <f aca="false">IFERROR('dens_visc_gamma+2m3b2oh'!H30,"")</f>
        <v>-0.00248221104627078</v>
      </c>
      <c r="J680" s="1" t="n">
        <f aca="false">IFERROR('dens_visc_gamma+2m3b2oh'!C44,"")</f>
        <v>3.546</v>
      </c>
      <c r="K680" s="1" t="str">
        <f aca="false">IF(AND(ISNUMBER(H680),ISNUMBER(I680),ISNUMBER(J680)),"✓",COUNTIF(H680:J680,"&gt;-999")&amp;"/3")</f>
        <v>✓</v>
      </c>
    </row>
    <row r="681" customFormat="false" ht="15" hidden="false" customHeight="true" outlineLevel="0" collapsed="false">
      <c r="A681" s="1" t="s">
        <v>39</v>
      </c>
      <c r="B681" s="1" t="s">
        <v>40</v>
      </c>
      <c r="C681" s="1" t="s">
        <v>41</v>
      </c>
      <c r="D681" s="1" t="s">
        <v>14</v>
      </c>
      <c r="E681" s="1" t="s">
        <v>15</v>
      </c>
      <c r="F681" s="1" t="n">
        <f aca="false">IFERROR('dens_visc_gamma+2m3b2oh'!C22,"")</f>
        <v>30</v>
      </c>
      <c r="G681" s="1" t="n">
        <f aca="false">IFERROR('dens_visc_gamma+2m3b2oh'!A31,"")</f>
        <v>0.796860189295174</v>
      </c>
      <c r="H681" s="1" t="n">
        <f aca="false">IFERROR('dens_visc_gamma+2m3b2oh'!C31,"")</f>
        <v>0.92813</v>
      </c>
      <c r="I681" s="1" t="n">
        <f aca="false">IFERROR('dens_visc_gamma+2m3b2oh'!H31,"")</f>
        <v>0.0333759652367291</v>
      </c>
      <c r="J681" s="1" t="n">
        <f aca="false">IFERROR('dens_visc_gamma+2m3b2oh'!C45,"")</f>
        <v>3.903</v>
      </c>
      <c r="K681" s="1" t="str">
        <f aca="false">IF(AND(ISNUMBER(H681),ISNUMBER(I681),ISNUMBER(J681)),"✓",COUNTIF(H681:J681,"&gt;-999")&amp;"/3")</f>
        <v>✓</v>
      </c>
    </row>
    <row r="682" customFormat="false" ht="15" hidden="false" customHeight="true" outlineLevel="0" collapsed="false">
      <c r="A682" s="1" t="s">
        <v>39</v>
      </c>
      <c r="B682" s="1" t="s">
        <v>40</v>
      </c>
      <c r="C682" s="1" t="s">
        <v>41</v>
      </c>
      <c r="D682" s="1" t="s">
        <v>14</v>
      </c>
      <c r="E682" s="1" t="s">
        <v>15</v>
      </c>
      <c r="F682" s="1" t="n">
        <f aca="false">IFERROR('dens_visc_gamma+2m3b2oh'!C22,"")</f>
        <v>30</v>
      </c>
      <c r="G682" s="1" t="n">
        <f aca="false">IFERROR('dens_visc_gamma+2m3b2oh'!A32,"")</f>
        <v>0.896423574413522</v>
      </c>
      <c r="H682" s="1" t="n">
        <f aca="false">IFERROR('dens_visc_gamma+2m3b2oh'!C32,"")</f>
        <v>0.93665</v>
      </c>
      <c r="I682" s="1" t="n">
        <f aca="false">IFERROR('dens_visc_gamma+2m3b2oh'!H32,"")</f>
        <v>0.0724463482544593</v>
      </c>
      <c r="J682" s="1" t="n">
        <f aca="false">IFERROR('dens_visc_gamma+2m3b2oh'!C46,"")</f>
        <v>4.329</v>
      </c>
      <c r="K682" s="1" t="str">
        <f aca="false">IF(AND(ISNUMBER(H682),ISNUMBER(I682),ISNUMBER(J682)),"✓",COUNTIF(H682:J682,"&gt;-999")&amp;"/3")</f>
        <v>✓</v>
      </c>
    </row>
    <row r="683" customFormat="false" ht="15" hidden="false" customHeight="true" outlineLevel="0" collapsed="false">
      <c r="A683" s="1" t="s">
        <v>39</v>
      </c>
      <c r="B683" s="1" t="s">
        <v>40</v>
      </c>
      <c r="C683" s="1" t="s">
        <v>41</v>
      </c>
      <c r="D683" s="1" t="s">
        <v>14</v>
      </c>
      <c r="E683" s="1" t="s">
        <v>15</v>
      </c>
      <c r="F683" s="1" t="n">
        <f aca="false">IFERROR('dens_visc_gamma+2m3b2oh'!C22,"")</f>
        <v>30</v>
      </c>
      <c r="G683" s="1" t="n">
        <f aca="false">IFERROR('dens_visc_gamma+2m3b2oh'!A33,"")</f>
        <v>1</v>
      </c>
      <c r="H683" s="1" t="n">
        <f aca="false">IFERROR('dens_visc_gamma+2m3b2oh'!C33,"")</f>
        <v>0.94536</v>
      </c>
      <c r="I683" s="1" t="n">
        <f aca="false">IFERROR('dens_visc_gamma+2m3b2oh'!H33,"")</f>
        <v>0</v>
      </c>
      <c r="J683" s="1" t="n">
        <f aca="false">IFERROR('dens_visc_gamma+2m3b2oh'!C47,"")</f>
        <v>4.821</v>
      </c>
      <c r="K683" s="1" t="str">
        <f aca="false">IF(AND(ISNUMBER(H683),ISNUMBER(I683),ISNUMBER(J683)),"✓",COUNTIF(H683:J683,"&gt;-999")&amp;"/3")</f>
        <v>✓</v>
      </c>
    </row>
    <row r="684" customFormat="false" ht="15" hidden="false" customHeight="true" outlineLevel="0" collapsed="false">
      <c r="A684" s="1" t="s">
        <v>39</v>
      </c>
      <c r="B684" s="1" t="s">
        <v>40</v>
      </c>
      <c r="C684" s="1" t="s">
        <v>41</v>
      </c>
      <c r="D684" s="1" t="s">
        <v>14</v>
      </c>
      <c r="E684" s="1" t="s">
        <v>15</v>
      </c>
      <c r="F684" s="1" t="n">
        <f aca="false">IFERROR('dens_visc_gamma+2m3b2oh'!D22,"")</f>
        <v>40</v>
      </c>
      <c r="G684" s="1" t="n">
        <f aca="false">IFERROR('dens_visc_gamma+2m3b2oh'!A23,"")</f>
        <v>0</v>
      </c>
      <c r="H684" s="1" t="n">
        <f aca="false">IFERROR('dens_visc_gamma+2m3b2oh'!D23,"")</f>
        <v>0.8047</v>
      </c>
      <c r="I684" s="1" t="n">
        <f aca="false">IFERROR('dens_visc_gamma+2m3b2oh'!I23,"")</f>
        <v>0</v>
      </c>
      <c r="J684" s="1" t="n">
        <f aca="false">IFERROR('dens_visc_gamma+2m3b2oh'!D37,"")</f>
        <v>1.247</v>
      </c>
      <c r="K684" s="1" t="str">
        <f aca="false">IF(AND(ISNUMBER(H684),ISNUMBER(I684),ISNUMBER(J684)),"✓",COUNTIF(H684:J684,"&gt;-999")&amp;"/3")</f>
        <v>✓</v>
      </c>
    </row>
    <row r="685" customFormat="false" ht="15" hidden="false" customHeight="true" outlineLevel="0" collapsed="false">
      <c r="A685" s="1" t="s">
        <v>39</v>
      </c>
      <c r="B685" s="1" t="s">
        <v>40</v>
      </c>
      <c r="C685" s="1" t="s">
        <v>41</v>
      </c>
      <c r="D685" s="1" t="s">
        <v>14</v>
      </c>
      <c r="E685" s="1" t="s">
        <v>15</v>
      </c>
      <c r="F685" s="1" t="n">
        <f aca="false">IFERROR('dens_visc_gamma+2m3b2oh'!D22,"")</f>
        <v>40</v>
      </c>
      <c r="G685" s="1" t="n">
        <f aca="false">IFERROR('dens_visc_gamma+2m3b2oh'!A24,"")</f>
        <v>0.0964114084790061</v>
      </c>
      <c r="H685" s="1" t="n">
        <f aca="false">IFERROR('dens_visc_gamma+2m3b2oh'!D24,"")</f>
        <v>0.82702</v>
      </c>
      <c r="I685" s="1" t="n">
        <f aca="false">IFERROR('dens_visc_gamma+2m3b2oh'!I24,"")</f>
        <v>-0.266790979313953</v>
      </c>
      <c r="J685" s="1" t="n">
        <f aca="false">IFERROR('dens_visc_gamma+2m3b2oh'!D38,"")</f>
        <v>1.441</v>
      </c>
      <c r="K685" s="1" t="str">
        <f aca="false">IF(AND(ISNUMBER(H685),ISNUMBER(I685),ISNUMBER(J685)),"✓",COUNTIF(H685:J685,"&gt;-999")&amp;"/3")</f>
        <v>✓</v>
      </c>
    </row>
    <row r="686" customFormat="false" ht="15" hidden="false" customHeight="true" outlineLevel="0" collapsed="false">
      <c r="A686" s="1" t="s">
        <v>39</v>
      </c>
      <c r="B686" s="1" t="s">
        <v>40</v>
      </c>
      <c r="C686" s="1" t="s">
        <v>41</v>
      </c>
      <c r="D686" s="1" t="s">
        <v>14</v>
      </c>
      <c r="E686" s="1" t="s">
        <v>15</v>
      </c>
      <c r="F686" s="1" t="n">
        <f aca="false">IFERROR('dens_visc_gamma+2m3b2oh'!D22,"")</f>
        <v>40</v>
      </c>
      <c r="G686" s="1" t="n">
        <f aca="false">IFERROR('dens_visc_gamma+2m3b2oh'!A25,"")</f>
        <v>0.208604389246276</v>
      </c>
      <c r="H686" s="1" t="n">
        <f aca="false">IFERROR('dens_visc_gamma+2m3b2oh'!D25,"")</f>
        <v>0.8479</v>
      </c>
      <c r="I686" s="1" t="n">
        <f aca="false">IFERROR('dens_visc_gamma+2m3b2oh'!I25,"")</f>
        <v>-0.302866547910497</v>
      </c>
      <c r="J686" s="1" t="n">
        <f aca="false">IFERROR('dens_visc_gamma+2m3b2oh'!D39,"")</f>
        <v>1.629</v>
      </c>
      <c r="K686" s="1" t="str">
        <f aca="false">IF(AND(ISNUMBER(H686),ISNUMBER(I686),ISNUMBER(J686)),"✓",COUNTIF(H686:J686,"&gt;-999")&amp;"/3")</f>
        <v>✓</v>
      </c>
    </row>
    <row r="687" customFormat="false" ht="15" hidden="false" customHeight="true" outlineLevel="0" collapsed="false">
      <c r="A687" s="1" t="s">
        <v>39</v>
      </c>
      <c r="B687" s="1" t="s">
        <v>40</v>
      </c>
      <c r="C687" s="1" t="s">
        <v>41</v>
      </c>
      <c r="D687" s="1" t="s">
        <v>14</v>
      </c>
      <c r="E687" s="1" t="s">
        <v>15</v>
      </c>
      <c r="F687" s="1" t="n">
        <f aca="false">IFERROR('dens_visc_gamma+2m3b2oh'!D22,"")</f>
        <v>40</v>
      </c>
      <c r="G687" s="1" t="n">
        <f aca="false">IFERROR('dens_visc_gamma+2m3b2oh'!A26,"")</f>
        <v>0.296204617305042</v>
      </c>
      <c r="H687" s="1" t="n">
        <f aca="false">IFERROR('dens_visc_gamma+2m3b2oh'!D26,"")</f>
        <v>0.86192</v>
      </c>
      <c r="I687" s="1" t="n">
        <f aca="false">IFERROR('dens_visc_gamma+2m3b2oh'!I26,"")</f>
        <v>-0.270326826116104</v>
      </c>
      <c r="J687" s="1" t="n">
        <f aca="false">IFERROR('dens_visc_gamma+2m3b2oh'!D40,"")</f>
        <v>1.802</v>
      </c>
      <c r="K687" s="1" t="str">
        <f aca="false">IF(AND(ISNUMBER(H687),ISNUMBER(I687),ISNUMBER(J687)),"✓",COUNTIF(H687:J687,"&gt;-999")&amp;"/3")</f>
        <v>✓</v>
      </c>
    </row>
    <row r="688" customFormat="false" ht="15" hidden="false" customHeight="true" outlineLevel="0" collapsed="false">
      <c r="A688" s="1" t="s">
        <v>39</v>
      </c>
      <c r="B688" s="1" t="s">
        <v>40</v>
      </c>
      <c r="C688" s="1" t="s">
        <v>41</v>
      </c>
      <c r="D688" s="1" t="s">
        <v>14</v>
      </c>
      <c r="E688" s="1" t="s">
        <v>15</v>
      </c>
      <c r="F688" s="1" t="n">
        <f aca="false">IFERROR('dens_visc_gamma+2m3b2oh'!D22,"")</f>
        <v>40</v>
      </c>
      <c r="G688" s="1" t="n">
        <f aca="false">IFERROR('dens_visc_gamma+2m3b2oh'!A27,"")</f>
        <v>0.396878554408986</v>
      </c>
      <c r="H688" s="1" t="n">
        <f aca="false">IFERROR('dens_visc_gamma+2m3b2oh'!D27,"")</f>
        <v>0.87616</v>
      </c>
      <c r="I688" s="1" t="n">
        <f aca="false">IFERROR('dens_visc_gamma+2m3b2oh'!I27,"")</f>
        <v>-0.200787891702987</v>
      </c>
      <c r="J688" s="1" t="n">
        <f aca="false">IFERROR('dens_visc_gamma+2m3b2oh'!D41,"")</f>
        <v>1.998</v>
      </c>
      <c r="K688" s="1" t="str">
        <f aca="false">IF(AND(ISNUMBER(H688),ISNUMBER(I688),ISNUMBER(J688)),"✓",COUNTIF(H688:J688,"&gt;-999")&amp;"/3")</f>
        <v>✓</v>
      </c>
    </row>
    <row r="689" customFormat="false" ht="15" hidden="false" customHeight="true" outlineLevel="0" collapsed="false">
      <c r="A689" s="1" t="s">
        <v>39</v>
      </c>
      <c r="B689" s="1" t="s">
        <v>40</v>
      </c>
      <c r="C689" s="1" t="s">
        <v>41</v>
      </c>
      <c r="D689" s="1" t="s">
        <v>14</v>
      </c>
      <c r="E689" s="1" t="s">
        <v>15</v>
      </c>
      <c r="F689" s="1" t="n">
        <f aca="false">IFERROR('dens_visc_gamma+2m3b2oh'!D22,"")</f>
        <v>40</v>
      </c>
      <c r="G689" s="1" t="n">
        <f aca="false">IFERROR('dens_visc_gamma+2m3b2oh'!A28,"")</f>
        <v>0.494096014579871</v>
      </c>
      <c r="H689" s="1" t="n">
        <f aca="false">IFERROR('dens_visc_gamma+2m3b2oh'!D28,"")</f>
        <v>0.88862</v>
      </c>
      <c r="I689" s="1" t="n">
        <f aca="false">IFERROR('dens_visc_gamma+2m3b2oh'!I28,"")</f>
        <v>-0.155140508697997</v>
      </c>
      <c r="J689" s="1" t="n">
        <f aca="false">IFERROR('dens_visc_gamma+2m3b2oh'!D42,"")</f>
        <v>2.208</v>
      </c>
      <c r="K689" s="1" t="str">
        <f aca="false">IF(AND(ISNUMBER(H689),ISNUMBER(I689),ISNUMBER(J689)),"✓",COUNTIF(H689:J689,"&gt;-999")&amp;"/3")</f>
        <v>✓</v>
      </c>
    </row>
    <row r="690" customFormat="false" ht="15" hidden="false" customHeight="true" outlineLevel="0" collapsed="false">
      <c r="A690" s="1" t="s">
        <v>39</v>
      </c>
      <c r="B690" s="1" t="s">
        <v>40</v>
      </c>
      <c r="C690" s="1" t="s">
        <v>41</v>
      </c>
      <c r="D690" s="1" t="s">
        <v>14</v>
      </c>
      <c r="E690" s="1" t="s">
        <v>15</v>
      </c>
      <c r="F690" s="1" t="n">
        <f aca="false">IFERROR('dens_visc_gamma+2m3b2oh'!D22,"")</f>
        <v>40</v>
      </c>
      <c r="G690" s="1" t="n">
        <f aca="false">IFERROR('dens_visc_gamma+2m3b2oh'!A29,"")</f>
        <v>0.591963460297223</v>
      </c>
      <c r="H690" s="1" t="n">
        <f aca="false">IFERROR('dens_visc_gamma+2m3b2oh'!D29,"")</f>
        <v>0.89985</v>
      </c>
      <c r="I690" s="1" t="n">
        <f aca="false">IFERROR('dens_visc_gamma+2m3b2oh'!I29,"")</f>
        <v>-0.0926754498456717</v>
      </c>
      <c r="J690" s="1" t="n">
        <f aca="false">IFERROR('dens_visc_gamma+2m3b2oh'!D43,"")</f>
        <v>2.441</v>
      </c>
      <c r="K690" s="1" t="str">
        <f aca="false">IF(AND(ISNUMBER(H690),ISNUMBER(I690),ISNUMBER(J690)),"✓",COUNTIF(H690:J690,"&gt;-999")&amp;"/3")</f>
        <v>✓</v>
      </c>
    </row>
    <row r="691" customFormat="false" ht="15" hidden="false" customHeight="true" outlineLevel="0" collapsed="false">
      <c r="A691" s="1" t="s">
        <v>39</v>
      </c>
      <c r="B691" s="1" t="s">
        <v>40</v>
      </c>
      <c r="C691" s="1" t="s">
        <v>41</v>
      </c>
      <c r="D691" s="1" t="s">
        <v>14</v>
      </c>
      <c r="E691" s="1" t="s">
        <v>15</v>
      </c>
      <c r="F691" s="1" t="n">
        <f aca="false">IFERROR('dens_visc_gamma+2m3b2oh'!D22,"")</f>
        <v>40</v>
      </c>
      <c r="G691" s="1" t="n">
        <f aca="false">IFERROR('dens_visc_gamma+2m3b2oh'!A30,"")</f>
        <v>0.695140235125829</v>
      </c>
      <c r="H691" s="1" t="n">
        <f aca="false">IFERROR('dens_visc_gamma+2m3b2oh'!D30,"")</f>
        <v>0.91061</v>
      </c>
      <c r="I691" s="1" t="n">
        <f aca="false">IFERROR('dens_visc_gamma+2m3b2oh'!I30,"")</f>
        <v>-0.0350589932268406</v>
      </c>
      <c r="J691" s="1" t="n">
        <f aca="false">IFERROR('dens_visc_gamma+2m3b2oh'!D44,"")</f>
        <v>2.709</v>
      </c>
      <c r="K691" s="1" t="str">
        <f aca="false">IF(AND(ISNUMBER(H691),ISNUMBER(I691),ISNUMBER(J691)),"✓",COUNTIF(H691:J691,"&gt;-999")&amp;"/3")</f>
        <v>✓</v>
      </c>
    </row>
    <row r="692" customFormat="false" ht="15" hidden="false" customHeight="true" outlineLevel="0" collapsed="false">
      <c r="A692" s="1" t="s">
        <v>39</v>
      </c>
      <c r="B692" s="1" t="s">
        <v>40</v>
      </c>
      <c r="C692" s="1" t="s">
        <v>41</v>
      </c>
      <c r="D692" s="1" t="s">
        <v>14</v>
      </c>
      <c r="E692" s="1" t="s">
        <v>15</v>
      </c>
      <c r="F692" s="1" t="n">
        <f aca="false">IFERROR('dens_visc_gamma+2m3b2oh'!D22,"")</f>
        <v>40</v>
      </c>
      <c r="G692" s="1" t="n">
        <f aca="false">IFERROR('dens_visc_gamma+2m3b2oh'!A31,"")</f>
        <v>0.796860189295174</v>
      </c>
      <c r="H692" s="1" t="n">
        <f aca="false">IFERROR('dens_visc_gamma+2m3b2oh'!D31,"")</f>
        <v>0.92031</v>
      </c>
      <c r="I692" s="1" t="n">
        <f aca="false">IFERROR('dens_visc_gamma+2m3b2oh'!I31,"")</f>
        <v>0.00865060644866844</v>
      </c>
      <c r="J692" s="1" t="n">
        <f aca="false">IFERROR('dens_visc_gamma+2m3b2oh'!D45,"")</f>
        <v>3.013</v>
      </c>
      <c r="K692" s="1" t="str">
        <f aca="false">IF(AND(ISNUMBER(H692),ISNUMBER(I692),ISNUMBER(J692)),"✓",COUNTIF(H692:J692,"&gt;-999")&amp;"/3")</f>
        <v>✓</v>
      </c>
    </row>
    <row r="693" customFormat="false" ht="15" hidden="false" customHeight="true" outlineLevel="0" collapsed="false">
      <c r="A693" s="1" t="s">
        <v>39</v>
      </c>
      <c r="B693" s="1" t="s">
        <v>40</v>
      </c>
      <c r="C693" s="1" t="s">
        <v>41</v>
      </c>
      <c r="D693" s="1" t="s">
        <v>14</v>
      </c>
      <c r="E693" s="1" t="s">
        <v>15</v>
      </c>
      <c r="F693" s="1" t="n">
        <f aca="false">IFERROR('dens_visc_gamma+2m3b2oh'!D22,"")</f>
        <v>40</v>
      </c>
      <c r="G693" s="1" t="n">
        <f aca="false">IFERROR('dens_visc_gamma+2m3b2oh'!A32,"")</f>
        <v>0.896423574413522</v>
      </c>
      <c r="H693" s="1" t="n">
        <f aca="false">IFERROR('dens_visc_gamma+2m3b2oh'!D32,"")</f>
        <v>0.92893</v>
      </c>
      <c r="I693" s="1" t="n">
        <f aca="false">IFERROR('dens_visc_gamma+2m3b2oh'!I32,"")</f>
        <v>0.060912091657201</v>
      </c>
      <c r="J693" s="1" t="n">
        <f aca="false">IFERROR('dens_visc_gamma+2m3b2oh'!D46,"")</f>
        <v>3.325</v>
      </c>
      <c r="K693" s="1" t="str">
        <f aca="false">IF(AND(ISNUMBER(H693),ISNUMBER(I693),ISNUMBER(J693)),"✓",COUNTIF(H693:J693,"&gt;-999")&amp;"/3")</f>
        <v>✓</v>
      </c>
    </row>
    <row r="694" customFormat="false" ht="15" hidden="false" customHeight="true" outlineLevel="0" collapsed="false">
      <c r="A694" s="1" t="s">
        <v>39</v>
      </c>
      <c r="B694" s="1" t="s">
        <v>40</v>
      </c>
      <c r="C694" s="1" t="s">
        <v>41</v>
      </c>
      <c r="D694" s="1" t="s">
        <v>14</v>
      </c>
      <c r="E694" s="1" t="s">
        <v>15</v>
      </c>
      <c r="F694" s="1" t="n">
        <f aca="false">IFERROR('dens_visc_gamma+2m3b2oh'!D22,"")</f>
        <v>40</v>
      </c>
      <c r="G694" s="1" t="n">
        <f aca="false">IFERROR('dens_visc_gamma+2m3b2oh'!A33,"")</f>
        <v>1</v>
      </c>
      <c r="H694" s="1" t="n">
        <f aca="false">IFERROR('dens_visc_gamma+2m3b2oh'!D33,"")</f>
        <v>0.93774</v>
      </c>
      <c r="I694" s="1" t="n">
        <f aca="false">IFERROR('dens_visc_gamma+2m3b2oh'!I33,"")</f>
        <v>0</v>
      </c>
      <c r="J694" s="1" t="n">
        <f aca="false">IFERROR('dens_visc_gamma+2m3b2oh'!D47,"")</f>
        <v>3.691</v>
      </c>
      <c r="K694" s="1" t="str">
        <f aca="false">IF(AND(ISNUMBER(H694),ISNUMBER(I694),ISNUMBER(J694)),"✓",COUNTIF(H694:J694,"&gt;-999")&amp;"/3")</f>
        <v>✓</v>
      </c>
    </row>
    <row r="695" customFormat="false" ht="15" hidden="false" customHeight="true" outlineLevel="0" collapsed="false">
      <c r="A695" s="1" t="s">
        <v>39</v>
      </c>
      <c r="B695" s="1" t="s">
        <v>40</v>
      </c>
      <c r="C695" s="1" t="s">
        <v>41</v>
      </c>
      <c r="D695" s="1" t="s">
        <v>14</v>
      </c>
      <c r="E695" s="1" t="s">
        <v>15</v>
      </c>
      <c r="F695" s="1" t="n">
        <f aca="false">IFERROR('dens_visc_gamma+2m3b2oh'!E22,"")</f>
        <v>50</v>
      </c>
      <c r="G695" s="1" t="n">
        <f aca="false">IFERROR('dens_visc_gamma+2m3b2oh'!A23,"")</f>
        <v>0</v>
      </c>
      <c r="H695" s="1" t="n">
        <f aca="false">IFERROR('dens_visc_gamma+2m3b2oh'!E23,"")</f>
        <v>0.79458</v>
      </c>
      <c r="I695" s="1" t="n">
        <f aca="false">IFERROR('dens_visc_gamma+2m3b2oh'!J23,"")</f>
        <v>0</v>
      </c>
      <c r="J695" s="1" t="n">
        <f aca="false">IFERROR('dens_visc_gamma+2m3b2oh'!E37,"")</f>
        <v>0.964</v>
      </c>
      <c r="K695" s="1" t="str">
        <f aca="false">IF(AND(ISNUMBER(H695),ISNUMBER(I695),ISNUMBER(J695)),"✓",COUNTIF(H695:J695,"&gt;-999")&amp;"/3")</f>
        <v>✓</v>
      </c>
    </row>
    <row r="696" customFormat="false" ht="15" hidden="false" customHeight="true" outlineLevel="0" collapsed="false">
      <c r="A696" s="1" t="s">
        <v>39</v>
      </c>
      <c r="B696" s="1" t="s">
        <v>40</v>
      </c>
      <c r="C696" s="1" t="s">
        <v>41</v>
      </c>
      <c r="D696" s="1" t="s">
        <v>14</v>
      </c>
      <c r="E696" s="1" t="s">
        <v>15</v>
      </c>
      <c r="F696" s="1" t="n">
        <f aca="false">IFERROR('dens_visc_gamma+2m3b2oh'!E22,"")</f>
        <v>50</v>
      </c>
      <c r="G696" s="1" t="n">
        <f aca="false">IFERROR('dens_visc_gamma+2m3b2oh'!A24,"")</f>
        <v>0.0964114084790061</v>
      </c>
      <c r="H696" s="1" t="n">
        <f aca="false">IFERROR('dens_visc_gamma+2m3b2oh'!E24,"")</f>
        <v>0.81729</v>
      </c>
      <c r="I696" s="1" t="n">
        <f aca="false">IFERROR('dens_visc_gamma+2m3b2oh'!J24,"")</f>
        <v>-0.285169171615763</v>
      </c>
      <c r="J696" s="1" t="n">
        <f aca="false">IFERROR('dens_visc_gamma+2m3b2oh'!E38,"")</f>
        <v>1.119</v>
      </c>
      <c r="K696" s="1" t="str">
        <f aca="false">IF(AND(ISNUMBER(H696),ISNUMBER(I696),ISNUMBER(J696)),"✓",COUNTIF(H696:J696,"&gt;-999")&amp;"/3")</f>
        <v>✓</v>
      </c>
    </row>
    <row r="697" customFormat="false" ht="15" hidden="false" customHeight="true" outlineLevel="0" collapsed="false">
      <c r="A697" s="1" t="s">
        <v>39</v>
      </c>
      <c r="B697" s="1" t="s">
        <v>40</v>
      </c>
      <c r="C697" s="1" t="s">
        <v>41</v>
      </c>
      <c r="D697" s="1" t="s">
        <v>14</v>
      </c>
      <c r="E697" s="1" t="s">
        <v>15</v>
      </c>
      <c r="F697" s="1" t="n">
        <f aca="false">IFERROR('dens_visc_gamma+2m3b2oh'!E22,"")</f>
        <v>50</v>
      </c>
      <c r="G697" s="1" t="n">
        <f aca="false">IFERROR('dens_visc_gamma+2m3b2oh'!A25,"")</f>
        <v>0.208604389246276</v>
      </c>
      <c r="H697" s="1" t="n">
        <f aca="false">IFERROR('dens_visc_gamma+2m3b2oh'!E25,"")</f>
        <v>0.83861</v>
      </c>
      <c r="I697" s="1" t="n">
        <f aca="false">IFERROR('dens_visc_gamma+2m3b2oh'!J25,"")</f>
        <v>-0.337013388755679</v>
      </c>
      <c r="J697" s="1" t="n">
        <f aca="false">IFERROR('dens_visc_gamma+2m3b2oh'!E39,"")</f>
        <v>1.276</v>
      </c>
      <c r="K697" s="1" t="str">
        <f aca="false">IF(AND(ISNUMBER(H697),ISNUMBER(I697),ISNUMBER(J697)),"✓",COUNTIF(H697:J697,"&gt;-999")&amp;"/3")</f>
        <v>✓</v>
      </c>
    </row>
    <row r="698" customFormat="false" ht="15" hidden="false" customHeight="true" outlineLevel="0" collapsed="false">
      <c r="A698" s="1" t="s">
        <v>39</v>
      </c>
      <c r="B698" s="1" t="s">
        <v>40</v>
      </c>
      <c r="C698" s="1" t="s">
        <v>41</v>
      </c>
      <c r="D698" s="1" t="s">
        <v>14</v>
      </c>
      <c r="E698" s="1" t="s">
        <v>15</v>
      </c>
      <c r="F698" s="1" t="n">
        <f aca="false">IFERROR('dens_visc_gamma+2m3b2oh'!E22,"")</f>
        <v>50</v>
      </c>
      <c r="G698" s="1" t="n">
        <f aca="false">IFERROR('dens_visc_gamma+2m3b2oh'!A26,"")</f>
        <v>0.296204617305042</v>
      </c>
      <c r="H698" s="1" t="n">
        <f aca="false">IFERROR('dens_visc_gamma+2m3b2oh'!E26,"")</f>
        <v>0.85294</v>
      </c>
      <c r="I698" s="1" t="n">
        <f aca="false">IFERROR('dens_visc_gamma+2m3b2oh'!J26,"")</f>
        <v>-0.313305816874646</v>
      </c>
      <c r="J698" s="1" t="n">
        <f aca="false">IFERROR('dens_visc_gamma+2m3b2oh'!E40,"")</f>
        <v>1.421</v>
      </c>
      <c r="K698" s="1" t="str">
        <f aca="false">IF(AND(ISNUMBER(H698),ISNUMBER(I698),ISNUMBER(J698)),"✓",COUNTIF(H698:J698,"&gt;-999")&amp;"/3")</f>
        <v>✓</v>
      </c>
    </row>
    <row r="699" customFormat="false" ht="15" hidden="false" customHeight="true" outlineLevel="0" collapsed="false">
      <c r="A699" s="1" t="s">
        <v>39</v>
      </c>
      <c r="B699" s="1" t="s">
        <v>40</v>
      </c>
      <c r="C699" s="1" t="s">
        <v>41</v>
      </c>
      <c r="D699" s="1" t="s">
        <v>14</v>
      </c>
      <c r="E699" s="1" t="s">
        <v>15</v>
      </c>
      <c r="F699" s="1" t="n">
        <f aca="false">IFERROR('dens_visc_gamma+2m3b2oh'!E22,"")</f>
        <v>50</v>
      </c>
      <c r="G699" s="1" t="n">
        <f aca="false">IFERROR('dens_visc_gamma+2m3b2oh'!A27,"")</f>
        <v>0.396878554408986</v>
      </c>
      <c r="H699" s="1" t="n">
        <f aca="false">IFERROR('dens_visc_gamma+2m3b2oh'!E27,"")</f>
        <v>0.86747</v>
      </c>
      <c r="I699" s="1" t="n">
        <f aca="false">IFERROR('dens_visc_gamma+2m3b2oh'!J27,"")</f>
        <v>-0.246008550206682</v>
      </c>
      <c r="J699" s="1" t="n">
        <f aca="false">IFERROR('dens_visc_gamma+2m3b2oh'!E41,"")</f>
        <v>1.584</v>
      </c>
      <c r="K699" s="1" t="str">
        <f aca="false">IF(AND(ISNUMBER(H699),ISNUMBER(I699),ISNUMBER(J699)),"✓",COUNTIF(H699:J699,"&gt;-999")&amp;"/3")</f>
        <v>✓</v>
      </c>
    </row>
    <row r="700" customFormat="false" ht="15" hidden="false" customHeight="true" outlineLevel="0" collapsed="false">
      <c r="A700" s="1" t="s">
        <v>39</v>
      </c>
      <c r="B700" s="1" t="s">
        <v>40</v>
      </c>
      <c r="C700" s="1" t="s">
        <v>41</v>
      </c>
      <c r="D700" s="1" t="s">
        <v>14</v>
      </c>
      <c r="E700" s="1" t="s">
        <v>15</v>
      </c>
      <c r="F700" s="1" t="n">
        <f aca="false">IFERROR('dens_visc_gamma+2m3b2oh'!E22,"")</f>
        <v>50</v>
      </c>
      <c r="G700" s="1" t="n">
        <f aca="false">IFERROR('dens_visc_gamma+2m3b2oh'!A28,"")</f>
        <v>0.494096014579871</v>
      </c>
      <c r="H700" s="1" t="n">
        <f aca="false">IFERROR('dens_visc_gamma+2m3b2oh'!E28,"")</f>
        <v>0.88019</v>
      </c>
      <c r="I700" s="1" t="n">
        <f aca="false">IFERROR('dens_visc_gamma+2m3b2oh'!J28,"")</f>
        <v>-0.20245970832309</v>
      </c>
      <c r="J700" s="1" t="n">
        <f aca="false">IFERROR('dens_visc_gamma+2m3b2oh'!E42,"")</f>
        <v>1.756</v>
      </c>
      <c r="K700" s="1" t="str">
        <f aca="false">IF(AND(ISNUMBER(H700),ISNUMBER(I700),ISNUMBER(J700)),"✓",COUNTIF(H700:J700,"&gt;-999")&amp;"/3")</f>
        <v>✓</v>
      </c>
    </row>
    <row r="701" customFormat="false" ht="15" hidden="false" customHeight="true" outlineLevel="0" collapsed="false">
      <c r="A701" s="1" t="s">
        <v>39</v>
      </c>
      <c r="B701" s="1" t="s">
        <v>40</v>
      </c>
      <c r="C701" s="1" t="s">
        <v>41</v>
      </c>
      <c r="D701" s="1" t="s">
        <v>14</v>
      </c>
      <c r="E701" s="1" t="s">
        <v>15</v>
      </c>
      <c r="F701" s="1" t="n">
        <f aca="false">IFERROR('dens_visc_gamma+2m3b2oh'!E22,"")</f>
        <v>50</v>
      </c>
      <c r="G701" s="1" t="n">
        <f aca="false">IFERROR('dens_visc_gamma+2m3b2oh'!A29,"")</f>
        <v>0.591963460297223</v>
      </c>
      <c r="H701" s="1" t="n">
        <f aca="false">IFERROR('dens_visc_gamma+2m3b2oh'!E29,"")</f>
        <v>0.89164</v>
      </c>
      <c r="I701" s="1" t="n">
        <f aca="false">IFERROR('dens_visc_gamma+2m3b2oh'!J29,"")</f>
        <v>-0.137354752401023</v>
      </c>
      <c r="J701" s="1" t="n">
        <f aca="false">IFERROR('dens_visc_gamma+2m3b2oh'!E43,"")</f>
        <v>1.946</v>
      </c>
      <c r="K701" s="1" t="str">
        <f aca="false">IF(AND(ISNUMBER(H701),ISNUMBER(I701),ISNUMBER(J701)),"✓",COUNTIF(H701:J701,"&gt;-999")&amp;"/3")</f>
        <v>✓</v>
      </c>
    </row>
    <row r="702" customFormat="false" ht="15" hidden="false" customHeight="true" outlineLevel="0" collapsed="false">
      <c r="A702" s="1" t="s">
        <v>39</v>
      </c>
      <c r="B702" s="1" t="s">
        <v>40</v>
      </c>
      <c r="C702" s="1" t="s">
        <v>41</v>
      </c>
      <c r="D702" s="1" t="s">
        <v>14</v>
      </c>
      <c r="E702" s="1" t="s">
        <v>15</v>
      </c>
      <c r="F702" s="1" t="n">
        <f aca="false">IFERROR('dens_visc_gamma+2m3b2oh'!E22,"")</f>
        <v>50</v>
      </c>
      <c r="G702" s="1" t="n">
        <f aca="false">IFERROR('dens_visc_gamma+2m3b2oh'!A30,"")</f>
        <v>0.695140235125829</v>
      </c>
      <c r="H702" s="1" t="n">
        <f aca="false">IFERROR('dens_visc_gamma+2m3b2oh'!E30,"")</f>
        <v>0.90261</v>
      </c>
      <c r="I702" s="1" t="n">
        <f aca="false">IFERROR('dens_visc_gamma+2m3b2oh'!J30,"")</f>
        <v>-0.0757370234454413</v>
      </c>
      <c r="J702" s="1" t="n">
        <f aca="false">IFERROR('dens_visc_gamma+2m3b2oh'!E44,"")</f>
        <v>2.159</v>
      </c>
      <c r="K702" s="1" t="str">
        <f aca="false">IF(AND(ISNUMBER(H702),ISNUMBER(I702),ISNUMBER(J702)),"✓",COUNTIF(H702:J702,"&gt;-999")&amp;"/3")</f>
        <v>✓</v>
      </c>
    </row>
    <row r="703" customFormat="false" ht="15" hidden="false" customHeight="true" outlineLevel="0" collapsed="false">
      <c r="A703" s="1" t="s">
        <v>39</v>
      </c>
      <c r="B703" s="1" t="s">
        <v>40</v>
      </c>
      <c r="C703" s="1" t="s">
        <v>41</v>
      </c>
      <c r="D703" s="1" t="s">
        <v>14</v>
      </c>
      <c r="E703" s="1" t="s">
        <v>15</v>
      </c>
      <c r="F703" s="1" t="n">
        <f aca="false">IFERROR('dens_visc_gamma+2m3b2oh'!E22,"")</f>
        <v>50</v>
      </c>
      <c r="G703" s="1" t="n">
        <f aca="false">IFERROR('dens_visc_gamma+2m3b2oh'!A31,"")</f>
        <v>0.796860189295174</v>
      </c>
      <c r="H703" s="1" t="n">
        <f aca="false">IFERROR('dens_visc_gamma+2m3b2oh'!E31,"")</f>
        <v>0.91246</v>
      </c>
      <c r="I703" s="1" t="n">
        <f aca="false">IFERROR('dens_visc_gamma+2m3b2oh'!J31,"")</f>
        <v>-0.0201672115668146</v>
      </c>
      <c r="J703" s="1" t="n">
        <f aca="false">IFERROR('dens_visc_gamma+2m3b2oh'!E45,"")</f>
        <v>2.397</v>
      </c>
      <c r="K703" s="1" t="str">
        <f aca="false">IF(AND(ISNUMBER(H703),ISNUMBER(I703),ISNUMBER(J703)),"✓",COUNTIF(H703:J703,"&gt;-999")&amp;"/3")</f>
        <v>✓</v>
      </c>
    </row>
    <row r="704" customFormat="false" ht="15" hidden="false" customHeight="true" outlineLevel="0" collapsed="false">
      <c r="A704" s="1" t="s">
        <v>39</v>
      </c>
      <c r="B704" s="1" t="s">
        <v>40</v>
      </c>
      <c r="C704" s="1" t="s">
        <v>41</v>
      </c>
      <c r="D704" s="1" t="s">
        <v>14</v>
      </c>
      <c r="E704" s="1" t="s">
        <v>15</v>
      </c>
      <c r="F704" s="1" t="n">
        <f aca="false">IFERROR('dens_visc_gamma+2m3b2oh'!E22,"")</f>
        <v>50</v>
      </c>
      <c r="G704" s="1" t="n">
        <f aca="false">IFERROR('dens_visc_gamma+2m3b2oh'!A32,"")</f>
        <v>0.896423574413522</v>
      </c>
      <c r="H704" s="1" t="n">
        <f aca="false">IFERROR('dens_visc_gamma+2m3b2oh'!E32,"")</f>
        <v>0.92121</v>
      </c>
      <c r="I704" s="1" t="n">
        <f aca="false">IFERROR('dens_visc_gamma+2m3b2oh'!J32,"")</f>
        <v>0.0454580241355416</v>
      </c>
      <c r="J704" s="1" t="n">
        <f aca="false">IFERROR('dens_visc_gamma+2m3b2oh'!E46,"")</f>
        <v>2.637</v>
      </c>
      <c r="K704" s="1" t="str">
        <f aca="false">IF(AND(ISNUMBER(H704),ISNUMBER(I704),ISNUMBER(J704)),"✓",COUNTIF(H704:J704,"&gt;-999")&amp;"/3")</f>
        <v>✓</v>
      </c>
    </row>
    <row r="705" customFormat="false" ht="15" hidden="false" customHeight="true" outlineLevel="0" collapsed="false">
      <c r="A705" s="1" t="s">
        <v>39</v>
      </c>
      <c r="B705" s="1" t="s">
        <v>40</v>
      </c>
      <c r="C705" s="1" t="s">
        <v>41</v>
      </c>
      <c r="D705" s="1" t="s">
        <v>14</v>
      </c>
      <c r="E705" s="1" t="s">
        <v>15</v>
      </c>
      <c r="F705" s="1" t="n">
        <f aca="false">IFERROR('dens_visc_gamma+2m3b2oh'!E22,"")</f>
        <v>50</v>
      </c>
      <c r="G705" s="1" t="n">
        <f aca="false">IFERROR('dens_visc_gamma+2m3b2oh'!A33,"")</f>
        <v>1</v>
      </c>
      <c r="H705" s="1" t="n">
        <f aca="false">IFERROR('dens_visc_gamma+2m3b2oh'!E33,"")</f>
        <v>0.93013</v>
      </c>
      <c r="I705" s="1" t="n">
        <f aca="false">IFERROR('dens_visc_gamma+2m3b2oh'!J33,"")</f>
        <v>0</v>
      </c>
      <c r="J705" s="1" t="n">
        <f aca="false">IFERROR('dens_visc_gamma+2m3b2oh'!E47,"")</f>
        <v>2.914</v>
      </c>
      <c r="K705" s="1" t="str">
        <f aca="false">IF(AND(ISNUMBER(H705),ISNUMBER(I705),ISNUMBER(J705)),"✓",COUNTIF(H705:J705,"&gt;-999")&amp;"/3")</f>
        <v>✓</v>
      </c>
    </row>
    <row r="706" customFormat="false" ht="15" hidden="false" customHeight="true" outlineLevel="0" collapsed="false">
      <c r="A706" s="1" t="s">
        <v>39</v>
      </c>
      <c r="B706" s="1" t="s">
        <v>40</v>
      </c>
      <c r="C706" s="1" t="s">
        <v>41</v>
      </c>
      <c r="D706" s="1" t="s">
        <v>14</v>
      </c>
      <c r="E706" s="1" t="s">
        <v>15</v>
      </c>
      <c r="F706" s="1" t="n">
        <f aca="false">IFERROR('dens_visc_gamma+2m3b2oh'!F22,"")</f>
        <v>60</v>
      </c>
      <c r="G706" s="1" t="n">
        <f aca="false">IFERROR('dens_visc_gamma+2m3b2oh'!A23,"")</f>
        <v>0</v>
      </c>
      <c r="H706" s="1" t="n">
        <f aca="false">IFERROR('dens_visc_gamma+2m3b2oh'!F23,"")</f>
        <v>0.7841</v>
      </c>
      <c r="I706" s="1" t="n">
        <f aca="false">IFERROR('dens_visc_gamma+2m3b2oh'!K23,"")</f>
        <v>0</v>
      </c>
      <c r="J706" s="1" t="n">
        <f aca="false">IFERROR('dens_visc_gamma+2m3b2oh'!F37,"")</f>
        <v>0.757</v>
      </c>
      <c r="K706" s="1" t="str">
        <f aca="false">IF(AND(ISNUMBER(H706),ISNUMBER(I706),ISNUMBER(J706)),"✓",COUNTIF(H706:J706,"&gt;-999")&amp;"/3")</f>
        <v>✓</v>
      </c>
    </row>
    <row r="707" customFormat="false" ht="15" hidden="false" customHeight="true" outlineLevel="0" collapsed="false">
      <c r="A707" s="1" t="s">
        <v>39</v>
      </c>
      <c r="B707" s="1" t="s">
        <v>40</v>
      </c>
      <c r="C707" s="1" t="s">
        <v>41</v>
      </c>
      <c r="D707" s="1" t="s">
        <v>14</v>
      </c>
      <c r="E707" s="1" t="s">
        <v>15</v>
      </c>
      <c r="F707" s="1" t="n">
        <f aca="false">IFERROR('dens_visc_gamma+2m3b2oh'!F22,"")</f>
        <v>60</v>
      </c>
      <c r="G707" s="1" t="n">
        <f aca="false">IFERROR('dens_visc_gamma+2m3b2oh'!A24,"")</f>
        <v>0.0964114084790061</v>
      </c>
      <c r="H707" s="1" t="n">
        <f aca="false">IFERROR('dens_visc_gamma+2m3b2oh'!F24,"")</f>
        <v>0.8073</v>
      </c>
      <c r="I707" s="1" t="n">
        <f aca="false">IFERROR('dens_visc_gamma+2m3b2oh'!K24,"")</f>
        <v>-0.313352562360208</v>
      </c>
      <c r="J707" s="1" t="n">
        <f aca="false">IFERROR('dens_visc_gamma+2m3b2oh'!F38,"")</f>
        <v>0.895</v>
      </c>
      <c r="K707" s="1" t="str">
        <f aca="false">IF(AND(ISNUMBER(H707),ISNUMBER(I707),ISNUMBER(J707)),"✓",COUNTIF(H707:J707,"&gt;-999")&amp;"/3")</f>
        <v>✓</v>
      </c>
    </row>
    <row r="708" customFormat="false" ht="15" hidden="false" customHeight="true" outlineLevel="0" collapsed="false">
      <c r="A708" s="1" t="s">
        <v>39</v>
      </c>
      <c r="B708" s="1" t="s">
        <v>40</v>
      </c>
      <c r="C708" s="1" t="s">
        <v>41</v>
      </c>
      <c r="D708" s="1" t="s">
        <v>14</v>
      </c>
      <c r="E708" s="1" t="s">
        <v>15</v>
      </c>
      <c r="F708" s="1" t="n">
        <f aca="false">IFERROR('dens_visc_gamma+2m3b2oh'!F22,"")</f>
        <v>60</v>
      </c>
      <c r="G708" s="1" t="n">
        <f aca="false">IFERROR('dens_visc_gamma+2m3b2oh'!A25,"")</f>
        <v>0.208604389246276</v>
      </c>
      <c r="H708" s="1" t="n">
        <f aca="false">IFERROR('dens_visc_gamma+2m3b2oh'!F25,"")</f>
        <v>0.82912</v>
      </c>
      <c r="I708" s="1" t="n">
        <f aca="false">IFERROR('dens_visc_gamma+2m3b2oh'!K25,"")</f>
        <v>-0.384332989763024</v>
      </c>
      <c r="J708" s="1" t="n">
        <f aca="false">IFERROR('dens_visc_gamma+2m3b2oh'!F39,"")</f>
        <v>1.028</v>
      </c>
      <c r="K708" s="1" t="str">
        <f aca="false">IF(AND(ISNUMBER(H708),ISNUMBER(I708),ISNUMBER(J708)),"✓",COUNTIF(H708:J708,"&gt;-999")&amp;"/3")</f>
        <v>✓</v>
      </c>
    </row>
    <row r="709" customFormat="false" ht="15" hidden="false" customHeight="true" outlineLevel="0" collapsed="false">
      <c r="A709" s="1" t="s">
        <v>39</v>
      </c>
      <c r="B709" s="1" t="s">
        <v>40</v>
      </c>
      <c r="C709" s="1" t="s">
        <v>41</v>
      </c>
      <c r="D709" s="1" t="s">
        <v>14</v>
      </c>
      <c r="E709" s="1" t="s">
        <v>15</v>
      </c>
      <c r="F709" s="1" t="n">
        <f aca="false">IFERROR('dens_visc_gamma+2m3b2oh'!F22,"")</f>
        <v>60</v>
      </c>
      <c r="G709" s="1" t="n">
        <f aca="false">IFERROR('dens_visc_gamma+2m3b2oh'!A26,"")</f>
        <v>0.296204617305042</v>
      </c>
      <c r="H709" s="1" t="n">
        <f aca="false">IFERROR('dens_visc_gamma+2m3b2oh'!F26,"")</f>
        <v>0.8438</v>
      </c>
      <c r="I709" s="1" t="n">
        <f aca="false">IFERROR('dens_visc_gamma+2m3b2oh'!K26,"")</f>
        <v>-0.371146042478784</v>
      </c>
      <c r="J709" s="1" t="n">
        <f aca="false">IFERROR('dens_visc_gamma+2m3b2oh'!F40,"")</f>
        <v>1.15</v>
      </c>
      <c r="K709" s="1" t="str">
        <f aca="false">IF(AND(ISNUMBER(H709),ISNUMBER(I709),ISNUMBER(J709)),"✓",COUNTIF(H709:J709,"&gt;-999")&amp;"/3")</f>
        <v>✓</v>
      </c>
    </row>
    <row r="710" customFormat="false" ht="15" hidden="false" customHeight="true" outlineLevel="0" collapsed="false">
      <c r="A710" s="1" t="s">
        <v>39</v>
      </c>
      <c r="B710" s="1" t="s">
        <v>40</v>
      </c>
      <c r="C710" s="1" t="s">
        <v>41</v>
      </c>
      <c r="D710" s="1" t="s">
        <v>14</v>
      </c>
      <c r="E710" s="1" t="s">
        <v>15</v>
      </c>
      <c r="F710" s="1" t="n">
        <f aca="false">IFERROR('dens_visc_gamma+2m3b2oh'!F22,"")</f>
        <v>60</v>
      </c>
      <c r="G710" s="1" t="n">
        <f aca="false">IFERROR('dens_visc_gamma+2m3b2oh'!A27,"")</f>
        <v>0.396878554408986</v>
      </c>
      <c r="H710" s="1" t="n">
        <f aca="false">IFERROR('dens_visc_gamma+2m3b2oh'!F27,"")</f>
        <v>0.85867</v>
      </c>
      <c r="I710" s="1" t="n">
        <f aca="false">IFERROR('dens_visc_gamma+2m3b2oh'!K27,"")</f>
        <v>-0.308676570568167</v>
      </c>
      <c r="J710" s="1" t="n">
        <f aca="false">IFERROR('dens_visc_gamma+2m3b2oh'!F41,"")</f>
        <v>1.287</v>
      </c>
      <c r="K710" s="1" t="str">
        <f aca="false">IF(AND(ISNUMBER(H710),ISNUMBER(I710),ISNUMBER(J710)),"✓",COUNTIF(H710:J710,"&gt;-999")&amp;"/3")</f>
        <v>✓</v>
      </c>
    </row>
    <row r="711" customFormat="false" ht="15" hidden="false" customHeight="true" outlineLevel="0" collapsed="false">
      <c r="A711" s="1" t="s">
        <v>39</v>
      </c>
      <c r="B711" s="1" t="s">
        <v>40</v>
      </c>
      <c r="C711" s="1" t="s">
        <v>41</v>
      </c>
      <c r="D711" s="1" t="s">
        <v>14</v>
      </c>
      <c r="E711" s="1" t="s">
        <v>15</v>
      </c>
      <c r="F711" s="1" t="n">
        <f aca="false">IFERROR('dens_visc_gamma+2m3b2oh'!F22,"")</f>
        <v>60</v>
      </c>
      <c r="G711" s="1" t="n">
        <f aca="false">IFERROR('dens_visc_gamma+2m3b2oh'!A28,"")</f>
        <v>0.494096014579871</v>
      </c>
      <c r="H711" s="1" t="n">
        <f aca="false">IFERROR('dens_visc_gamma+2m3b2oh'!F28,"")</f>
        <v>0.87168</v>
      </c>
      <c r="I711" s="1" t="n">
        <f aca="false">IFERROR('dens_visc_gamma+2m3b2oh'!K28,"")</f>
        <v>-0.2671003218598</v>
      </c>
      <c r="J711" s="1" t="n">
        <f aca="false">IFERROR('dens_visc_gamma+2m3b2oh'!F42,"")</f>
        <v>1.432</v>
      </c>
      <c r="K711" s="1" t="str">
        <f aca="false">IF(AND(ISNUMBER(H711),ISNUMBER(I711),ISNUMBER(J711)),"✓",COUNTIF(H711:J711,"&gt;-999")&amp;"/3")</f>
        <v>✓</v>
      </c>
    </row>
    <row r="712" customFormat="false" ht="15" hidden="false" customHeight="true" outlineLevel="0" collapsed="false">
      <c r="A712" s="1" t="s">
        <v>39</v>
      </c>
      <c r="B712" s="1" t="s">
        <v>40</v>
      </c>
      <c r="C712" s="1" t="s">
        <v>41</v>
      </c>
      <c r="D712" s="1" t="s">
        <v>14</v>
      </c>
      <c r="E712" s="1" t="s">
        <v>15</v>
      </c>
      <c r="F712" s="1" t="n">
        <f aca="false">IFERROR('dens_visc_gamma+2m3b2oh'!F22,"")</f>
        <v>60</v>
      </c>
      <c r="G712" s="1" t="n">
        <f aca="false">IFERROR('dens_visc_gamma+2m3b2oh'!A29,"")</f>
        <v>0.591963460297223</v>
      </c>
      <c r="H712" s="1" t="n">
        <f aca="false">IFERROR('dens_visc_gamma+2m3b2oh'!F29,"")</f>
        <v>0.88338</v>
      </c>
      <c r="I712" s="1" t="n">
        <f aca="false">IFERROR('dens_visc_gamma+2m3b2oh'!K29,"")</f>
        <v>-0.199270023894911</v>
      </c>
      <c r="J712" s="1" t="n">
        <f aca="false">IFERROR('dens_visc_gamma+2m3b2oh'!F43,"")</f>
        <v>1.589</v>
      </c>
      <c r="K712" s="1" t="str">
        <f aca="false">IF(AND(ISNUMBER(H712),ISNUMBER(I712),ISNUMBER(J712)),"✓",COUNTIF(H712:J712,"&gt;-999")&amp;"/3")</f>
        <v>✓</v>
      </c>
    </row>
    <row r="713" customFormat="false" ht="15" hidden="false" customHeight="true" outlineLevel="0" collapsed="false">
      <c r="A713" s="1" t="s">
        <v>39</v>
      </c>
      <c r="B713" s="1" t="s">
        <v>40</v>
      </c>
      <c r="C713" s="1" t="s">
        <v>41</v>
      </c>
      <c r="D713" s="1" t="s">
        <v>14</v>
      </c>
      <c r="E713" s="1" t="s">
        <v>15</v>
      </c>
      <c r="F713" s="1" t="n">
        <f aca="false">IFERROR('dens_visc_gamma+2m3b2oh'!F22,"")</f>
        <v>60</v>
      </c>
      <c r="G713" s="1" t="n">
        <f aca="false">IFERROR('dens_visc_gamma+2m3b2oh'!A30,"")</f>
        <v>0.695140235125829</v>
      </c>
      <c r="H713" s="1" t="n">
        <f aca="false">IFERROR('dens_visc_gamma+2m3b2oh'!F30,"")</f>
        <v>0.89455</v>
      </c>
      <c r="I713" s="1" t="n">
        <f aca="false">IFERROR('dens_visc_gamma+2m3b2oh'!K30,"")</f>
        <v>-0.126308261960446</v>
      </c>
      <c r="J713" s="1" t="n">
        <f aca="false">IFERROR('dens_visc_gamma+2m3b2oh'!F44,"")</f>
        <v>1.762</v>
      </c>
      <c r="K713" s="1" t="str">
        <f aca="false">IF(AND(ISNUMBER(H713),ISNUMBER(I713),ISNUMBER(J713)),"✓",COUNTIF(H713:J713,"&gt;-999")&amp;"/3")</f>
        <v>✓</v>
      </c>
    </row>
    <row r="714" customFormat="false" ht="15" hidden="false" customHeight="true" outlineLevel="0" collapsed="false">
      <c r="A714" s="1" t="s">
        <v>39</v>
      </c>
      <c r="B714" s="1" t="s">
        <v>40</v>
      </c>
      <c r="C714" s="1" t="s">
        <v>41</v>
      </c>
      <c r="D714" s="1" t="s">
        <v>14</v>
      </c>
      <c r="E714" s="1" t="s">
        <v>15</v>
      </c>
      <c r="F714" s="1" t="n">
        <f aca="false">IFERROR('dens_visc_gamma+2m3b2oh'!F22,"")</f>
        <v>60</v>
      </c>
      <c r="G714" s="1" t="n">
        <f aca="false">IFERROR('dens_visc_gamma+2m3b2oh'!A31,"")</f>
        <v>0.796860189295174</v>
      </c>
      <c r="H714" s="1" t="n">
        <f aca="false">IFERROR('dens_visc_gamma+2m3b2oh'!F31,"")</f>
        <v>0.90458</v>
      </c>
      <c r="I714" s="1" t="n">
        <f aca="false">IFERROR('dens_visc_gamma+2m3b2oh'!K31,"")</f>
        <v>-0.0586226000245915</v>
      </c>
      <c r="J714" s="1" t="n">
        <f aca="false">IFERROR('dens_visc_gamma+2m3b2oh'!F45,"")</f>
        <v>1.957</v>
      </c>
      <c r="K714" s="1" t="str">
        <f aca="false">IF(AND(ISNUMBER(H714),ISNUMBER(I714),ISNUMBER(J714)),"✓",COUNTIF(H714:J714,"&gt;-999")&amp;"/3")</f>
        <v>✓</v>
      </c>
    </row>
    <row r="715" customFormat="false" ht="15" hidden="false" customHeight="true" outlineLevel="0" collapsed="false">
      <c r="A715" s="1" t="s">
        <v>39</v>
      </c>
      <c r="B715" s="1" t="s">
        <v>40</v>
      </c>
      <c r="C715" s="1" t="s">
        <v>41</v>
      </c>
      <c r="D715" s="1" t="s">
        <v>14</v>
      </c>
      <c r="E715" s="1" t="s">
        <v>15</v>
      </c>
      <c r="F715" s="1" t="n">
        <f aca="false">IFERROR('dens_visc_gamma+2m3b2oh'!F22,"")</f>
        <v>60</v>
      </c>
      <c r="G715" s="1" t="n">
        <f aca="false">IFERROR('dens_visc_gamma+2m3b2oh'!A32,"")</f>
        <v>0.896423574413522</v>
      </c>
      <c r="H715" s="1" t="n">
        <f aca="false">IFERROR('dens_visc_gamma+2m3b2oh'!F32,"")</f>
        <v>0.91347</v>
      </c>
      <c r="I715" s="1" t="n">
        <f aca="false">IFERROR('dens_visc_gamma+2m3b2oh'!K32,"")</f>
        <v>0.0240879050267893</v>
      </c>
      <c r="J715" s="1" t="n">
        <f aca="false">IFERROR('dens_visc_gamma+2m3b2oh'!F46,"")</f>
        <v>2.148</v>
      </c>
      <c r="K715" s="1" t="str">
        <f aca="false">IF(AND(ISNUMBER(H715),ISNUMBER(I715),ISNUMBER(J715)),"✓",COUNTIF(H715:J715,"&gt;-999")&amp;"/3")</f>
        <v>✓</v>
      </c>
    </row>
    <row r="716" customFormat="false" ht="15" hidden="false" customHeight="true" outlineLevel="0" collapsed="false">
      <c r="A716" s="1" t="s">
        <v>39</v>
      </c>
      <c r="B716" s="1" t="s">
        <v>40</v>
      </c>
      <c r="C716" s="1" t="s">
        <v>41</v>
      </c>
      <c r="D716" s="1" t="s">
        <v>14</v>
      </c>
      <c r="E716" s="1" t="s">
        <v>15</v>
      </c>
      <c r="F716" s="1" t="n">
        <f aca="false">IFERROR('dens_visc_gamma+2m3b2oh'!F22,"")</f>
        <v>60</v>
      </c>
      <c r="G716" s="1" t="n">
        <f aca="false">IFERROR('dens_visc_gamma+2m3b2oh'!A33,"")</f>
        <v>1</v>
      </c>
      <c r="H716" s="1" t="n">
        <f aca="false">IFERROR('dens_visc_gamma+2m3b2oh'!F33,"")</f>
        <v>0.9225</v>
      </c>
      <c r="I716" s="1" t="n">
        <f aca="false">IFERROR('dens_visc_gamma+2m3b2oh'!K33,"")</f>
        <v>0</v>
      </c>
      <c r="J716" s="1" t="n">
        <f aca="false">IFERROR('dens_visc_gamma+2m3b2oh'!F47,"")</f>
        <v>2.362</v>
      </c>
      <c r="K716" s="1" t="str">
        <f aca="false">IF(AND(ISNUMBER(H716),ISNUMBER(I716),ISNUMBER(J716)),"✓",COUNTIF(H716:J716,"&gt;-999")&amp;"/3")</f>
        <v>✓</v>
      </c>
    </row>
    <row r="717" customFormat="false" ht="15" hidden="false" customHeight="true" outlineLevel="0" collapsed="false">
      <c r="A717" s="1" t="s">
        <v>42</v>
      </c>
      <c r="B717" s="1" t="s">
        <v>40</v>
      </c>
      <c r="C717" s="1" t="s">
        <v>41</v>
      </c>
      <c r="D717" s="1" t="s">
        <v>17</v>
      </c>
      <c r="E717" s="1" t="s">
        <v>18</v>
      </c>
      <c r="F717" s="1" t="n">
        <f aca="false">IFERROR('dens_visc_gamma+2m2boh'!B22,"")</f>
        <v>20</v>
      </c>
      <c r="G717" s="1" t="n">
        <f aca="false">IFERROR('dens_visc_gamma+2m2boh'!A23,"")</f>
        <v>0</v>
      </c>
      <c r="H717" s="1" t="n">
        <f aca="false">IFERROR('dens_visc_gamma+2m2boh'!B23,"")</f>
        <v>0.80899</v>
      </c>
      <c r="I717" s="1" t="n">
        <f aca="false">IFERROR('dens_visc_gamma+2m2boh'!G23,"")</f>
        <v>0</v>
      </c>
      <c r="J717" s="1" t="n">
        <f aca="false">IFERROR('dens_visc_gamma+2m2boh'!B37,"")</f>
        <v>4.244</v>
      </c>
      <c r="K717" s="1" t="str">
        <f aca="false">IF(AND(ISNUMBER(H717),ISNUMBER(I717),ISNUMBER(J717)),"✓",COUNTIF(H717:J717,"&gt;-999")&amp;"/3")</f>
        <v>✓</v>
      </c>
    </row>
    <row r="718" customFormat="false" ht="15" hidden="false" customHeight="true" outlineLevel="0" collapsed="false">
      <c r="A718" s="1" t="s">
        <v>42</v>
      </c>
      <c r="B718" s="1" t="s">
        <v>40</v>
      </c>
      <c r="C718" s="1" t="s">
        <v>41</v>
      </c>
      <c r="D718" s="1" t="s">
        <v>17</v>
      </c>
      <c r="E718" s="1" t="s">
        <v>18</v>
      </c>
      <c r="F718" s="1" t="n">
        <f aca="false">IFERROR('dens_visc_gamma+2m2boh'!B22,"")</f>
        <v>20</v>
      </c>
      <c r="G718" s="1" t="n">
        <f aca="false">IFERROR('dens_visc_gamma+2m2boh'!A24,"")</f>
        <v>0.0999803195185457</v>
      </c>
      <c r="H718" s="1" t="n">
        <f aca="false">IFERROR('dens_visc_gamma+2m2boh'!B24,"")</f>
        <v>0.83263</v>
      </c>
      <c r="I718" s="1" t="n">
        <f aca="false">IFERROR('dens_visc_gamma+2m2boh'!G24,"")</f>
        <v>-0.20375595723273</v>
      </c>
      <c r="J718" s="1" t="n">
        <f aca="false">IFERROR('dens_visc_gamma+2m2boh'!B38,"")</f>
        <v>4.231</v>
      </c>
      <c r="K718" s="1" t="str">
        <f aca="false">IF(AND(ISNUMBER(H718),ISNUMBER(I718),ISNUMBER(J718)),"✓",COUNTIF(H718:J718,"&gt;-999")&amp;"/3")</f>
        <v>✓</v>
      </c>
    </row>
    <row r="719" customFormat="false" ht="15" hidden="false" customHeight="true" outlineLevel="0" collapsed="false">
      <c r="A719" s="1" t="s">
        <v>42</v>
      </c>
      <c r="B719" s="1" t="s">
        <v>40</v>
      </c>
      <c r="C719" s="1" t="s">
        <v>41</v>
      </c>
      <c r="D719" s="1" t="s">
        <v>17</v>
      </c>
      <c r="E719" s="1" t="s">
        <v>18</v>
      </c>
      <c r="F719" s="1" t="n">
        <f aca="false">IFERROR('dens_visc_gamma+2m2boh'!B22,"")</f>
        <v>20</v>
      </c>
      <c r="G719" s="1" t="n">
        <f aca="false">IFERROR('dens_visc_gamma+2m2boh'!A25,"")</f>
        <v>0.197749827698271</v>
      </c>
      <c r="H719" s="1" t="n">
        <f aca="false">IFERROR('dens_visc_gamma+2m2boh'!B25,"")</f>
        <v>0.85134</v>
      </c>
      <c r="I719" s="1" t="n">
        <f aca="false">IFERROR('dens_visc_gamma+2m2boh'!G25,"")</f>
        <v>-0.132970995124694</v>
      </c>
      <c r="J719" s="1" t="n">
        <f aca="false">IFERROR('dens_visc_gamma+2m2boh'!B39,"")</f>
        <v>4.193</v>
      </c>
      <c r="K719" s="1" t="str">
        <f aca="false">IF(AND(ISNUMBER(H719),ISNUMBER(I719),ISNUMBER(J719)),"✓",COUNTIF(H719:J719,"&gt;-999")&amp;"/3")</f>
        <v>✓</v>
      </c>
    </row>
    <row r="720" customFormat="false" ht="15" hidden="false" customHeight="true" outlineLevel="0" collapsed="false">
      <c r="A720" s="1" t="s">
        <v>42</v>
      </c>
      <c r="B720" s="1" t="s">
        <v>40</v>
      </c>
      <c r="C720" s="1" t="s">
        <v>41</v>
      </c>
      <c r="D720" s="1" t="s">
        <v>17</v>
      </c>
      <c r="E720" s="1" t="s">
        <v>18</v>
      </c>
      <c r="F720" s="1" t="n">
        <f aca="false">IFERROR('dens_visc_gamma+2m2boh'!B22,"")</f>
        <v>20</v>
      </c>
      <c r="G720" s="1" t="n">
        <f aca="false">IFERROR('dens_visc_gamma+2m2boh'!A26,"")</f>
        <v>0.298554005126112</v>
      </c>
      <c r="H720" s="1" t="n">
        <f aca="false">IFERROR('dens_visc_gamma+2m2boh'!B26,"")</f>
        <v>0.86842</v>
      </c>
      <c r="I720" s="1" t="n">
        <f aca="false">IFERROR('dens_visc_gamma+2m2boh'!G26,"")</f>
        <v>-0.0404168639514921</v>
      </c>
      <c r="J720" s="1" t="n">
        <f aca="false">IFERROR('dens_visc_gamma+2m2boh'!B40,"")</f>
        <v>4.235</v>
      </c>
      <c r="K720" s="1" t="str">
        <f aca="false">IF(AND(ISNUMBER(H720),ISNUMBER(I720),ISNUMBER(J720)),"✓",COUNTIF(H720:J720,"&gt;-999")&amp;"/3")</f>
        <v>✓</v>
      </c>
    </row>
    <row r="721" customFormat="false" ht="15" hidden="false" customHeight="true" outlineLevel="0" collapsed="false">
      <c r="A721" s="1" t="s">
        <v>42</v>
      </c>
      <c r="B721" s="1" t="s">
        <v>40</v>
      </c>
      <c r="C721" s="1" t="s">
        <v>41</v>
      </c>
      <c r="D721" s="1" t="s">
        <v>17</v>
      </c>
      <c r="E721" s="1" t="s">
        <v>18</v>
      </c>
      <c r="F721" s="1" t="n">
        <f aca="false">IFERROR('dens_visc_gamma+2m2boh'!B22,"")</f>
        <v>20</v>
      </c>
      <c r="G721" s="1" t="n">
        <f aca="false">IFERROR('dens_visc_gamma+2m2boh'!A27,"")</f>
        <v>0.402012291803286</v>
      </c>
      <c r="H721" s="1" t="n">
        <f aca="false">IFERROR('dens_visc_gamma+2m2boh'!B27,"")</f>
        <v>0.88457</v>
      </c>
      <c r="I721" s="1" t="n">
        <f aca="false">IFERROR('dens_visc_gamma+2m2boh'!G27,"")</f>
        <v>-0.0175318358178629</v>
      </c>
      <c r="J721" s="1" t="n">
        <f aca="false">IFERROR('dens_visc_gamma+2m2boh'!B41,"")</f>
        <v>4.362</v>
      </c>
      <c r="K721" s="1" t="str">
        <f aca="false">IF(AND(ISNUMBER(H721),ISNUMBER(I721),ISNUMBER(J721)),"✓",COUNTIF(H721:J721,"&gt;-999")&amp;"/3")</f>
        <v>✓</v>
      </c>
    </row>
    <row r="722" customFormat="false" ht="15" hidden="false" customHeight="true" outlineLevel="0" collapsed="false">
      <c r="A722" s="1" t="s">
        <v>42</v>
      </c>
      <c r="B722" s="1" t="s">
        <v>40</v>
      </c>
      <c r="C722" s="1" t="s">
        <v>41</v>
      </c>
      <c r="D722" s="1" t="s">
        <v>17</v>
      </c>
      <c r="E722" s="1" t="s">
        <v>18</v>
      </c>
      <c r="F722" s="1" t="n">
        <f aca="false">IFERROR('dens_visc_gamma+2m2boh'!B22,"")</f>
        <v>20</v>
      </c>
      <c r="G722" s="1" t="n">
        <f aca="false">IFERROR('dens_visc_gamma+2m2boh'!A28,"")</f>
        <v>0.495436823631951</v>
      </c>
      <c r="H722" s="1" t="n">
        <f aca="false">IFERROR('dens_visc_gamma+2m2boh'!B28,"")</f>
        <v>0.89732</v>
      </c>
      <c r="I722" s="1" t="n">
        <f aca="false">IFERROR('dens_visc_gamma+2m2boh'!G28,"")</f>
        <v>0.0726455464703975</v>
      </c>
      <c r="J722" s="1" t="n">
        <f aca="false">IFERROR('dens_visc_gamma+2m2boh'!B42,"")</f>
        <v>4.534</v>
      </c>
      <c r="K722" s="1" t="str">
        <f aca="false">IF(AND(ISNUMBER(H722),ISNUMBER(I722),ISNUMBER(J722)),"✓",COUNTIF(H722:J722,"&gt;-999")&amp;"/3")</f>
        <v>✓</v>
      </c>
    </row>
    <row r="723" customFormat="false" ht="15" hidden="false" customHeight="true" outlineLevel="0" collapsed="false">
      <c r="A723" s="1" t="s">
        <v>42</v>
      </c>
      <c r="B723" s="1" t="s">
        <v>40</v>
      </c>
      <c r="C723" s="1" t="s">
        <v>41</v>
      </c>
      <c r="D723" s="1" t="s">
        <v>17</v>
      </c>
      <c r="E723" s="1" t="s">
        <v>18</v>
      </c>
      <c r="F723" s="1" t="n">
        <f aca="false">IFERROR('dens_visc_gamma+2m2boh'!B22,"")</f>
        <v>20</v>
      </c>
      <c r="G723" s="1" t="n">
        <f aca="false">IFERROR('dens_visc_gamma+2m2boh'!A29,"")</f>
        <v>0.607108369954993</v>
      </c>
      <c r="H723" s="1" t="n">
        <f aca="false">IFERROR('dens_visc_gamma+2m2boh'!B29,"")</f>
        <v>0.91135</v>
      </c>
      <c r="I723" s="1" t="n">
        <f aca="false">IFERROR('dens_visc_gamma+2m2boh'!G29,"")</f>
        <v>0.139206984634001</v>
      </c>
      <c r="J723" s="1" t="n">
        <f aca="false">IFERROR('dens_visc_gamma+2m2boh'!B43,"")</f>
        <v>4.817</v>
      </c>
      <c r="K723" s="1" t="str">
        <f aca="false">IF(AND(ISNUMBER(H723),ISNUMBER(I723),ISNUMBER(J723)),"✓",COUNTIF(H723:J723,"&gt;-999")&amp;"/3")</f>
        <v>✓</v>
      </c>
    </row>
    <row r="724" customFormat="false" ht="15" hidden="false" customHeight="true" outlineLevel="0" collapsed="false">
      <c r="A724" s="1" t="s">
        <v>42</v>
      </c>
      <c r="B724" s="1" t="s">
        <v>40</v>
      </c>
      <c r="C724" s="1" t="s">
        <v>41</v>
      </c>
      <c r="D724" s="1" t="s">
        <v>17</v>
      </c>
      <c r="E724" s="1" t="s">
        <v>18</v>
      </c>
      <c r="F724" s="1" t="n">
        <f aca="false">IFERROR('dens_visc_gamma+2m2boh'!B22,"")</f>
        <v>20</v>
      </c>
      <c r="G724" s="1" t="n">
        <f aca="false">IFERROR('dens_visc_gamma+2m2boh'!A30,"")</f>
        <v>0.701682368278168</v>
      </c>
      <c r="H724" s="1" t="n">
        <f aca="false">IFERROR('dens_visc_gamma+2m2boh'!B30,"")</f>
        <v>0.92216</v>
      </c>
      <c r="I724" s="1" t="n">
        <f aca="false">IFERROR('dens_visc_gamma+2m2boh'!G30,"")</f>
        <v>0.192509488201324</v>
      </c>
      <c r="J724" s="1" t="n">
        <f aca="false">IFERROR('dens_visc_gamma+2m2boh'!B45,"")</f>
        <v>5.522</v>
      </c>
      <c r="K724" s="1" t="str">
        <f aca="false">IF(AND(ISNUMBER(H724),ISNUMBER(I724),ISNUMBER(J724)),"✓",COUNTIF(H724:J724,"&gt;-999")&amp;"/3")</f>
        <v>✓</v>
      </c>
    </row>
    <row r="725" customFormat="false" ht="15" hidden="false" customHeight="true" outlineLevel="0" collapsed="false">
      <c r="A725" s="1" t="s">
        <v>42</v>
      </c>
      <c r="B725" s="1" t="s">
        <v>40</v>
      </c>
      <c r="C725" s="1" t="s">
        <v>41</v>
      </c>
      <c r="D725" s="1" t="s">
        <v>17</v>
      </c>
      <c r="E725" s="1" t="s">
        <v>18</v>
      </c>
      <c r="F725" s="1" t="n">
        <f aca="false">IFERROR('dens_visc_gamma+2m2boh'!B22,"")</f>
        <v>20</v>
      </c>
      <c r="G725" s="1" t="n">
        <f aca="false">IFERROR('dens_visc_gamma+2m2boh'!A31,"")</f>
        <v>0.806581379473363</v>
      </c>
      <c r="H725" s="1" t="n">
        <f aca="false">IFERROR('dens_visc_gamma+2m2boh'!B31,"")</f>
        <v>0.93366</v>
      </c>
      <c r="I725" s="1" t="n">
        <f aca="false">IFERROR('dens_visc_gamma+2m2boh'!G31,"")</f>
        <v>0.158495856259009</v>
      </c>
      <c r="J725" s="1" t="e">
        <f aca="false">IFERROR('dens_visc_gamma+2m2boh'!#ref!,"")</f>
        <v>#VALUE!</v>
      </c>
      <c r="K725" s="1" t="str">
        <f aca="false">IF(AND(ISNUMBER(H725),ISNUMBER(I725),ISNUMBER(J725)),"✓",COUNTIF(H725:J725,"&gt;-999")&amp;"/3")</f>
        <v>2/3</v>
      </c>
    </row>
    <row r="726" customFormat="false" ht="15" hidden="false" customHeight="true" outlineLevel="0" collapsed="false">
      <c r="A726" s="1" t="s">
        <v>42</v>
      </c>
      <c r="B726" s="1" t="s">
        <v>40</v>
      </c>
      <c r="C726" s="1" t="s">
        <v>41</v>
      </c>
      <c r="D726" s="1" t="s">
        <v>17</v>
      </c>
      <c r="E726" s="1" t="s">
        <v>18</v>
      </c>
      <c r="F726" s="1" t="n">
        <f aca="false">IFERROR('dens_visc_gamma+2m2boh'!B22,"")</f>
        <v>20</v>
      </c>
      <c r="G726" s="1" t="n">
        <f aca="false">IFERROR('dens_visc_gamma+2m2boh'!A32,"")</f>
        <v>0.899550302724418</v>
      </c>
      <c r="H726" s="1" t="n">
        <f aca="false">IFERROR('dens_visc_gamma+2m2boh'!B32,"")</f>
        <v>0.94314</v>
      </c>
      <c r="I726" s="1" t="n">
        <f aca="false">IFERROR('dens_visc_gamma+2m2boh'!G32,"")</f>
        <v>0.109717820880491</v>
      </c>
      <c r="J726" s="1" t="e">
        <f aca="false">IFERROR('dens_visc_gamma+2m2boh'!#ref!,"")</f>
        <v>#VALUE!</v>
      </c>
      <c r="K726" s="1" t="str">
        <f aca="false">IF(AND(ISNUMBER(H726),ISNUMBER(I726),ISNUMBER(J726)),"✓",COUNTIF(H726:J726,"&gt;-999")&amp;"/3")</f>
        <v>2/3</v>
      </c>
    </row>
    <row r="727" customFormat="false" ht="15" hidden="false" customHeight="true" outlineLevel="0" collapsed="false">
      <c r="A727" s="1" t="s">
        <v>42</v>
      </c>
      <c r="B727" s="1" t="s">
        <v>40</v>
      </c>
      <c r="C727" s="1" t="s">
        <v>41</v>
      </c>
      <c r="D727" s="1" t="s">
        <v>17</v>
      </c>
      <c r="E727" s="1" t="s">
        <v>18</v>
      </c>
      <c r="F727" s="1" t="n">
        <f aca="false">IFERROR('dens_visc_gamma+2m2boh'!B22,"")</f>
        <v>20</v>
      </c>
      <c r="G727" s="1" t="n">
        <f aca="false">IFERROR('dens_visc_gamma+2m2boh'!A33,"")</f>
        <v>1</v>
      </c>
      <c r="H727" s="1" t="n">
        <f aca="false">IFERROR('dens_visc_gamma+2m2boh'!B33,"")</f>
        <v>0.95292</v>
      </c>
      <c r="I727" s="1" t="n">
        <f aca="false">IFERROR('dens_visc_gamma+2m2boh'!G33,"")</f>
        <v>0</v>
      </c>
      <c r="J727" s="1" t="n">
        <f aca="false">IFERROR('dens_visc_gamma+2m2boh'!B47,"")</f>
        <v>6.574</v>
      </c>
      <c r="K727" s="1" t="str">
        <f aca="false">IF(AND(ISNUMBER(H727),ISNUMBER(I727),ISNUMBER(J727)),"✓",COUNTIF(H727:J727,"&gt;-999")&amp;"/3")</f>
        <v>✓</v>
      </c>
    </row>
    <row r="728" customFormat="false" ht="15" hidden="false" customHeight="true" outlineLevel="0" collapsed="false">
      <c r="A728" s="1" t="s">
        <v>42</v>
      </c>
      <c r="B728" s="1" t="s">
        <v>40</v>
      </c>
      <c r="C728" s="1" t="s">
        <v>41</v>
      </c>
      <c r="D728" s="1" t="s">
        <v>17</v>
      </c>
      <c r="E728" s="1" t="s">
        <v>18</v>
      </c>
      <c r="F728" s="1" t="n">
        <f aca="false">IFERROR('dens_visc_gamma+2m2boh'!C22,"")</f>
        <v>30</v>
      </c>
      <c r="G728" s="1" t="n">
        <f aca="false">IFERROR('dens_visc_gamma+2m2boh'!A23,"")</f>
        <v>0</v>
      </c>
      <c r="H728" s="1" t="n">
        <f aca="false">IFERROR('dens_visc_gamma+2m2boh'!C23,"")</f>
        <v>0.79979</v>
      </c>
      <c r="I728" s="1" t="n">
        <f aca="false">IFERROR('dens_visc_gamma+2m2boh'!H23,"")</f>
        <v>0</v>
      </c>
      <c r="J728" s="1" t="n">
        <f aca="false">IFERROR('dens_visc_gamma+2m2boh'!C37,"")</f>
        <v>2.776</v>
      </c>
      <c r="K728" s="1" t="str">
        <f aca="false">IF(AND(ISNUMBER(H728),ISNUMBER(I728),ISNUMBER(J728)),"✓",COUNTIF(H728:J728,"&gt;-999")&amp;"/3")</f>
        <v>✓</v>
      </c>
    </row>
    <row r="729" customFormat="false" ht="15" hidden="false" customHeight="true" outlineLevel="0" collapsed="false">
      <c r="A729" s="1" t="s">
        <v>42</v>
      </c>
      <c r="B729" s="1" t="s">
        <v>40</v>
      </c>
      <c r="C729" s="1" t="s">
        <v>41</v>
      </c>
      <c r="D729" s="1" t="s">
        <v>17</v>
      </c>
      <c r="E729" s="1" t="s">
        <v>18</v>
      </c>
      <c r="F729" s="1" t="n">
        <f aca="false">IFERROR('dens_visc_gamma+2m2boh'!C22,"")</f>
        <v>30</v>
      </c>
      <c r="G729" s="1" t="n">
        <f aca="false">IFERROR('dens_visc_gamma+2m2boh'!A24,"")</f>
        <v>0.0999803195185457</v>
      </c>
      <c r="H729" s="1" t="n">
        <f aca="false">IFERROR('dens_visc_gamma+2m2boh'!C24,"")</f>
        <v>0.82348</v>
      </c>
      <c r="I729" s="1" t="n">
        <f aca="false">IFERROR('dens_visc_gamma+2m2boh'!H24,"")</f>
        <v>-0.188795680850475</v>
      </c>
      <c r="J729" s="1" t="n">
        <f aca="false">IFERROR('dens_visc_gamma+2m2boh'!C38,"")</f>
        <v>2.841</v>
      </c>
      <c r="K729" s="1" t="str">
        <f aca="false">IF(AND(ISNUMBER(H729),ISNUMBER(I729),ISNUMBER(J729)),"✓",COUNTIF(H729:J729,"&gt;-999")&amp;"/3")</f>
        <v>✓</v>
      </c>
    </row>
    <row r="730" customFormat="false" ht="15" hidden="false" customHeight="true" outlineLevel="0" collapsed="false">
      <c r="A730" s="1" t="s">
        <v>42</v>
      </c>
      <c r="B730" s="1" t="s">
        <v>40</v>
      </c>
      <c r="C730" s="1" t="s">
        <v>41</v>
      </c>
      <c r="D730" s="1" t="s">
        <v>17</v>
      </c>
      <c r="E730" s="1" t="s">
        <v>18</v>
      </c>
      <c r="F730" s="1" t="n">
        <f aca="false">IFERROR('dens_visc_gamma+2m2boh'!C22,"")</f>
        <v>30</v>
      </c>
      <c r="G730" s="1" t="n">
        <f aca="false">IFERROR('dens_visc_gamma+2m2boh'!A25,"")</f>
        <v>0.197749827698271</v>
      </c>
      <c r="H730" s="1" t="n">
        <f aca="false">IFERROR('dens_visc_gamma+2m2boh'!C25,"")</f>
        <v>0.84264</v>
      </c>
      <c r="I730" s="1" t="n">
        <f aca="false">IFERROR('dens_visc_gamma+2m2boh'!H25,"")</f>
        <v>-0.155108277981967</v>
      </c>
      <c r="J730" s="1" t="n">
        <f aca="false">IFERROR('dens_visc_gamma+2m2boh'!C39,"")</f>
        <v>2.9</v>
      </c>
      <c r="K730" s="1" t="str">
        <f aca="false">IF(AND(ISNUMBER(H730),ISNUMBER(I730),ISNUMBER(J730)),"✓",COUNTIF(H730:J730,"&gt;-999")&amp;"/3")</f>
        <v>✓</v>
      </c>
    </row>
    <row r="731" customFormat="false" ht="15" hidden="false" customHeight="true" outlineLevel="0" collapsed="false">
      <c r="A731" s="1" t="s">
        <v>42</v>
      </c>
      <c r="B731" s="1" t="s">
        <v>40</v>
      </c>
      <c r="C731" s="1" t="s">
        <v>41</v>
      </c>
      <c r="D731" s="1" t="s">
        <v>17</v>
      </c>
      <c r="E731" s="1" t="s">
        <v>18</v>
      </c>
      <c r="F731" s="1" t="n">
        <f aca="false">IFERROR('dens_visc_gamma+2m2boh'!C22,"")</f>
        <v>30</v>
      </c>
      <c r="G731" s="1" t="n">
        <f aca="false">IFERROR('dens_visc_gamma+2m2boh'!A26,"")</f>
        <v>0.298554005126112</v>
      </c>
      <c r="H731" s="1" t="n">
        <f aca="false">IFERROR('dens_visc_gamma+2m2boh'!C26,"")</f>
        <v>0.85995</v>
      </c>
      <c r="I731" s="1" t="n">
        <f aca="false">IFERROR('dens_visc_gamma+2m2boh'!H26,"")</f>
        <v>-0.0683929635212621</v>
      </c>
      <c r="J731" s="1" t="n">
        <f aca="false">IFERROR('dens_visc_gamma+2m2boh'!C40,"")</f>
        <v>2.997</v>
      </c>
      <c r="K731" s="1" t="str">
        <f aca="false">IF(AND(ISNUMBER(H731),ISNUMBER(I731),ISNUMBER(J731)),"✓",COUNTIF(H731:J731,"&gt;-999")&amp;"/3")</f>
        <v>✓</v>
      </c>
    </row>
    <row r="732" customFormat="false" ht="15" hidden="false" customHeight="true" outlineLevel="0" collapsed="false">
      <c r="A732" s="1" t="s">
        <v>42</v>
      </c>
      <c r="B732" s="1" t="s">
        <v>40</v>
      </c>
      <c r="C732" s="1" t="s">
        <v>41</v>
      </c>
      <c r="D732" s="1" t="s">
        <v>17</v>
      </c>
      <c r="E732" s="1" t="s">
        <v>18</v>
      </c>
      <c r="F732" s="1" t="n">
        <f aca="false">IFERROR('dens_visc_gamma+2m2boh'!C22,"")</f>
        <v>30</v>
      </c>
      <c r="G732" s="1" t="n">
        <f aca="false">IFERROR('dens_visc_gamma+2m2boh'!A27,"")</f>
        <v>0.402012291803286</v>
      </c>
      <c r="H732" s="1" t="n">
        <f aca="false">IFERROR('dens_visc_gamma+2m2boh'!C27,"")</f>
        <v>0.87598</v>
      </c>
      <c r="I732" s="1" t="n">
        <f aca="false">IFERROR('dens_visc_gamma+2m2boh'!H27,"")</f>
        <v>0.00167589987509587</v>
      </c>
      <c r="J732" s="1" t="n">
        <f aca="false">IFERROR('dens_visc_gamma+2m2boh'!C41,"")</f>
        <v>3.139</v>
      </c>
      <c r="K732" s="1" t="str">
        <f aca="false">IF(AND(ISNUMBER(H732),ISNUMBER(I732),ISNUMBER(J732)),"✓",COUNTIF(H732:J732,"&gt;-999")&amp;"/3")</f>
        <v>✓</v>
      </c>
    </row>
    <row r="733" customFormat="false" ht="15" hidden="false" customHeight="true" outlineLevel="0" collapsed="false">
      <c r="A733" s="1" t="s">
        <v>42</v>
      </c>
      <c r="B733" s="1" t="s">
        <v>40</v>
      </c>
      <c r="C733" s="1" t="s">
        <v>41</v>
      </c>
      <c r="D733" s="1" t="s">
        <v>17</v>
      </c>
      <c r="E733" s="1" t="s">
        <v>18</v>
      </c>
      <c r="F733" s="1" t="n">
        <f aca="false">IFERROR('dens_visc_gamma+2m2boh'!C22,"")</f>
        <v>30</v>
      </c>
      <c r="G733" s="1" t="n">
        <f aca="false">IFERROR('dens_visc_gamma+2m2boh'!A28,"")</f>
        <v>0.495436823631951</v>
      </c>
      <c r="H733" s="1" t="n">
        <f aca="false">IFERROR('dens_visc_gamma+2m2boh'!C28,"")</f>
        <v>0.8891</v>
      </c>
      <c r="I733" s="1" t="n">
        <f aca="false">IFERROR('dens_visc_gamma+2m2boh'!H28,"")</f>
        <v>0.0596891464479654</v>
      </c>
      <c r="J733" s="1" t="n">
        <f aca="false">IFERROR('dens_visc_gamma+2m2boh'!C42,"")</f>
        <v>3.296</v>
      </c>
      <c r="K733" s="1" t="str">
        <f aca="false">IF(AND(ISNUMBER(H733),ISNUMBER(I733),ISNUMBER(J733)),"✓",COUNTIF(H733:J733,"&gt;-999")&amp;"/3")</f>
        <v>✓</v>
      </c>
    </row>
    <row r="734" customFormat="false" ht="15" hidden="false" customHeight="true" outlineLevel="0" collapsed="false">
      <c r="A734" s="1" t="s">
        <v>42</v>
      </c>
      <c r="B734" s="1" t="s">
        <v>40</v>
      </c>
      <c r="C734" s="1" t="s">
        <v>41</v>
      </c>
      <c r="D734" s="1" t="s">
        <v>17</v>
      </c>
      <c r="E734" s="1" t="s">
        <v>18</v>
      </c>
      <c r="F734" s="1" t="n">
        <f aca="false">IFERROR('dens_visc_gamma+2m2boh'!C22,"")</f>
        <v>30</v>
      </c>
      <c r="G734" s="1" t="n">
        <f aca="false">IFERROR('dens_visc_gamma+2m2boh'!A29,"")</f>
        <v>0.607108369954993</v>
      </c>
      <c r="H734" s="1" t="n">
        <f aca="false">IFERROR('dens_visc_gamma+2m2boh'!C29,"")</f>
        <v>0.90334</v>
      </c>
      <c r="I734" s="1" t="n">
        <f aca="false">IFERROR('dens_visc_gamma+2m2boh'!H29,"")</f>
        <v>0.121976879666875</v>
      </c>
      <c r="J734" s="1" t="n">
        <f aca="false">IFERROR('dens_visc_gamma+2m2boh'!C43,"")</f>
        <v>3.528</v>
      </c>
      <c r="K734" s="1" t="str">
        <f aca="false">IF(AND(ISNUMBER(H734),ISNUMBER(I734),ISNUMBER(J734)),"✓",COUNTIF(H734:J734,"&gt;-999")&amp;"/3")</f>
        <v>✓</v>
      </c>
    </row>
    <row r="735" customFormat="false" ht="15" hidden="false" customHeight="true" outlineLevel="0" collapsed="false">
      <c r="A735" s="1" t="s">
        <v>42</v>
      </c>
      <c r="B735" s="1" t="s">
        <v>40</v>
      </c>
      <c r="C735" s="1" t="s">
        <v>41</v>
      </c>
      <c r="D735" s="1" t="s">
        <v>17</v>
      </c>
      <c r="E735" s="1" t="s">
        <v>18</v>
      </c>
      <c r="F735" s="1" t="n">
        <f aca="false">IFERROR('dens_visc_gamma+2m2boh'!C22,"")</f>
        <v>30</v>
      </c>
      <c r="G735" s="1" t="n">
        <f aca="false">IFERROR('dens_visc_gamma+2m2boh'!A30,"")</f>
        <v>0.701682368278168</v>
      </c>
      <c r="H735" s="1" t="n">
        <f aca="false">IFERROR('dens_visc_gamma+2m2boh'!C30,"")</f>
        <v>0.91439</v>
      </c>
      <c r="I735" s="1" t="n">
        <f aca="false">IFERROR('dens_visc_gamma+2m2boh'!H30,"")</f>
        <v>0.159194402224614</v>
      </c>
      <c r="J735" s="1" t="n">
        <f aca="false">IFERROR('dens_visc_gamma+2m2boh'!C45,"")</f>
        <v>4.072</v>
      </c>
      <c r="K735" s="1" t="str">
        <f aca="false">IF(AND(ISNUMBER(H735),ISNUMBER(I735),ISNUMBER(J735)),"✓",COUNTIF(H735:J735,"&gt;-999")&amp;"/3")</f>
        <v>✓</v>
      </c>
    </row>
    <row r="736" customFormat="false" ht="15" hidden="false" customHeight="true" outlineLevel="0" collapsed="false">
      <c r="A736" s="1" t="s">
        <v>42</v>
      </c>
      <c r="B736" s="1" t="s">
        <v>40</v>
      </c>
      <c r="C736" s="1" t="s">
        <v>41</v>
      </c>
      <c r="D736" s="1" t="s">
        <v>17</v>
      </c>
      <c r="E736" s="1" t="s">
        <v>18</v>
      </c>
      <c r="F736" s="1" t="n">
        <f aca="false">IFERROR('dens_visc_gamma+2m2boh'!C22,"")</f>
        <v>30</v>
      </c>
      <c r="G736" s="1" t="n">
        <f aca="false">IFERROR('dens_visc_gamma+2m2boh'!A31,"")</f>
        <v>0.806581379473363</v>
      </c>
      <c r="H736" s="1" t="n">
        <f aca="false">IFERROR('dens_visc_gamma+2m2boh'!C31,"")</f>
        <v>0.92593</v>
      </c>
      <c r="I736" s="1" t="n">
        <f aca="false">IFERROR('dens_visc_gamma+2m2boh'!H31,"")</f>
        <v>0.143973024144941</v>
      </c>
      <c r="J736" s="1" t="e">
        <f aca="false">IFERROR('dens_visc_gamma+2m2boh'!#ref!,"")</f>
        <v>#VALUE!</v>
      </c>
      <c r="K736" s="1" t="str">
        <f aca="false">IF(AND(ISNUMBER(H736),ISNUMBER(I736),ISNUMBER(J736)),"✓",COUNTIF(H736:J736,"&gt;-999")&amp;"/3")</f>
        <v>2/3</v>
      </c>
    </row>
    <row r="737" customFormat="false" ht="15" hidden="false" customHeight="true" outlineLevel="0" collapsed="false">
      <c r="A737" s="1" t="s">
        <v>42</v>
      </c>
      <c r="B737" s="1" t="s">
        <v>40</v>
      </c>
      <c r="C737" s="1" t="s">
        <v>41</v>
      </c>
      <c r="D737" s="1" t="s">
        <v>17</v>
      </c>
      <c r="E737" s="1" t="s">
        <v>18</v>
      </c>
      <c r="F737" s="1" t="n">
        <f aca="false">IFERROR('dens_visc_gamma+2m2boh'!C22,"")</f>
        <v>30</v>
      </c>
      <c r="G737" s="1" t="n">
        <f aca="false">IFERROR('dens_visc_gamma+2m2boh'!A32,"")</f>
        <v>0.899550302724418</v>
      </c>
      <c r="H737" s="1" t="n">
        <f aca="false">IFERROR('dens_visc_gamma+2m2boh'!C32,"")</f>
        <v>0.9355</v>
      </c>
      <c r="I737" s="1" t="n">
        <f aca="false">IFERROR('dens_visc_gamma+2m2boh'!H32,"")</f>
        <v>0.101387184427779</v>
      </c>
      <c r="J737" s="1" t="e">
        <f aca="false">IFERROR('dens_visc_gamma+2m2boh'!#ref!,"")</f>
        <v>#VALUE!</v>
      </c>
      <c r="K737" s="1" t="str">
        <f aca="false">IF(AND(ISNUMBER(H737),ISNUMBER(I737),ISNUMBER(J737)),"✓",COUNTIF(H737:J737,"&gt;-999")&amp;"/3")</f>
        <v>2/3</v>
      </c>
    </row>
    <row r="738" customFormat="false" ht="15" hidden="false" customHeight="true" outlineLevel="0" collapsed="false">
      <c r="A738" s="1" t="s">
        <v>42</v>
      </c>
      <c r="B738" s="1" t="s">
        <v>40</v>
      </c>
      <c r="C738" s="1" t="s">
        <v>41</v>
      </c>
      <c r="D738" s="1" t="s">
        <v>17</v>
      </c>
      <c r="E738" s="1" t="s">
        <v>18</v>
      </c>
      <c r="F738" s="1" t="n">
        <f aca="false">IFERROR('dens_visc_gamma+2m2boh'!C22,"")</f>
        <v>30</v>
      </c>
      <c r="G738" s="1" t="n">
        <f aca="false">IFERROR('dens_visc_gamma+2m2boh'!A33,"")</f>
        <v>1</v>
      </c>
      <c r="H738" s="1" t="n">
        <f aca="false">IFERROR('dens_visc_gamma+2m2boh'!C33,"")</f>
        <v>0.94536</v>
      </c>
      <c r="I738" s="1" t="n">
        <f aca="false">IFERROR('dens_visc_gamma+2m2boh'!H33,"")</f>
        <v>0</v>
      </c>
      <c r="J738" s="1" t="n">
        <f aca="false">IFERROR('dens_visc_gamma+2m2boh'!C47,"")</f>
        <v>4.821</v>
      </c>
      <c r="K738" s="1" t="str">
        <f aca="false">IF(AND(ISNUMBER(H738),ISNUMBER(I738),ISNUMBER(J738)),"✓",COUNTIF(H738:J738,"&gt;-999")&amp;"/3")</f>
        <v>✓</v>
      </c>
    </row>
    <row r="739" customFormat="false" ht="15" hidden="false" customHeight="true" outlineLevel="0" collapsed="false">
      <c r="A739" s="1" t="s">
        <v>42</v>
      </c>
      <c r="B739" s="1" t="s">
        <v>40</v>
      </c>
      <c r="C739" s="1" t="s">
        <v>41</v>
      </c>
      <c r="D739" s="1" t="s">
        <v>17</v>
      </c>
      <c r="E739" s="1" t="s">
        <v>18</v>
      </c>
      <c r="F739" s="1" t="n">
        <f aca="false">IFERROR('dens_visc_gamma+2m2boh'!D22,"")</f>
        <v>40</v>
      </c>
      <c r="G739" s="1" t="n">
        <f aca="false">IFERROR('dens_visc_gamma+2m2boh'!A23,"")</f>
        <v>0</v>
      </c>
      <c r="H739" s="1" t="n">
        <f aca="false">IFERROR('dens_visc_gamma+2m2boh'!D23,"")</f>
        <v>0.79035</v>
      </c>
      <c r="I739" s="1" t="n">
        <f aca="false">IFERROR('dens_visc_gamma+2m2boh'!I23,"")</f>
        <v>0</v>
      </c>
      <c r="J739" s="1" t="n">
        <f aca="false">IFERROR('dens_visc_gamma+2m2boh'!D37,"")</f>
        <v>1.918</v>
      </c>
      <c r="K739" s="1" t="str">
        <f aca="false">IF(AND(ISNUMBER(H739),ISNUMBER(I739),ISNUMBER(J739)),"✓",COUNTIF(H739:J739,"&gt;-999")&amp;"/3")</f>
        <v>✓</v>
      </c>
    </row>
    <row r="740" customFormat="false" ht="15" hidden="false" customHeight="true" outlineLevel="0" collapsed="false">
      <c r="A740" s="1" t="s">
        <v>42</v>
      </c>
      <c r="B740" s="1" t="s">
        <v>40</v>
      </c>
      <c r="C740" s="1" t="s">
        <v>41</v>
      </c>
      <c r="D740" s="1" t="s">
        <v>17</v>
      </c>
      <c r="E740" s="1" t="s">
        <v>18</v>
      </c>
      <c r="F740" s="1" t="n">
        <f aca="false">IFERROR('dens_visc_gamma+2m2boh'!D22,"")</f>
        <v>40</v>
      </c>
      <c r="G740" s="1" t="n">
        <f aca="false">IFERROR('dens_visc_gamma+2m2boh'!A24,"")</f>
        <v>0.0999803195185457</v>
      </c>
      <c r="H740" s="1" t="n">
        <f aca="false">IFERROR('dens_visc_gamma+2m2boh'!D24,"")</f>
        <v>0.81423</v>
      </c>
      <c r="I740" s="1" t="n">
        <f aca="false">IFERROR('dens_visc_gamma+2m2boh'!I24,"")</f>
        <v>-0.190597878360819</v>
      </c>
      <c r="J740" s="1" t="n">
        <f aca="false">IFERROR('dens_visc_gamma+2m2boh'!D38,"")</f>
        <v>2.01</v>
      </c>
      <c r="K740" s="1" t="str">
        <f aca="false">IF(AND(ISNUMBER(H740),ISNUMBER(I740),ISNUMBER(J740)),"✓",COUNTIF(H740:J740,"&gt;-999")&amp;"/3")</f>
        <v>✓</v>
      </c>
    </row>
    <row r="741" customFormat="false" ht="15" hidden="false" customHeight="true" outlineLevel="0" collapsed="false">
      <c r="A741" s="1" t="s">
        <v>42</v>
      </c>
      <c r="B741" s="1" t="s">
        <v>40</v>
      </c>
      <c r="C741" s="1" t="s">
        <v>41</v>
      </c>
      <c r="D741" s="1" t="s">
        <v>17</v>
      </c>
      <c r="E741" s="1" t="s">
        <v>18</v>
      </c>
      <c r="F741" s="1" t="n">
        <f aca="false">IFERROR('dens_visc_gamma+2m2boh'!D22,"")</f>
        <v>40</v>
      </c>
      <c r="G741" s="1" t="n">
        <f aca="false">IFERROR('dens_visc_gamma+2m2boh'!A25,"")</f>
        <v>0.197749827698271</v>
      </c>
      <c r="H741" s="1" t="n">
        <f aca="false">IFERROR('dens_visc_gamma+2m2boh'!D25,"")</f>
        <v>0.83371</v>
      </c>
      <c r="I741" s="1" t="n">
        <f aca="false">IFERROR('dens_visc_gamma+2m2boh'!I25,"")</f>
        <v>-0.173718026148123</v>
      </c>
      <c r="J741" s="1" t="n">
        <f aca="false">IFERROR('dens_visc_gamma+2m2boh'!D39,"")</f>
        <v>2.102</v>
      </c>
      <c r="K741" s="1" t="str">
        <f aca="false">IF(AND(ISNUMBER(H741),ISNUMBER(I741),ISNUMBER(J741)),"✓",COUNTIF(H741:J741,"&gt;-999")&amp;"/3")</f>
        <v>✓</v>
      </c>
    </row>
    <row r="742" customFormat="false" ht="15" hidden="false" customHeight="true" outlineLevel="0" collapsed="false">
      <c r="A742" s="1" t="s">
        <v>42</v>
      </c>
      <c r="B742" s="1" t="s">
        <v>40</v>
      </c>
      <c r="C742" s="1" t="s">
        <v>41</v>
      </c>
      <c r="D742" s="1" t="s">
        <v>17</v>
      </c>
      <c r="E742" s="1" t="s">
        <v>18</v>
      </c>
      <c r="F742" s="1" t="n">
        <f aca="false">IFERROR('dens_visc_gamma+2m2boh'!D22,"")</f>
        <v>40</v>
      </c>
      <c r="G742" s="1" t="n">
        <f aca="false">IFERROR('dens_visc_gamma+2m2boh'!A26,"")</f>
        <v>0.298554005126112</v>
      </c>
      <c r="H742" s="1" t="n">
        <f aca="false">IFERROR('dens_visc_gamma+2m2boh'!D26,"")</f>
        <v>0.85126</v>
      </c>
      <c r="I742" s="1" t="n">
        <f aca="false">IFERROR('dens_visc_gamma+2m2boh'!I26,"")</f>
        <v>-0.0913101880050533</v>
      </c>
      <c r="J742" s="1" t="n">
        <f aca="false">IFERROR('dens_visc_gamma+2m2boh'!D40,"")</f>
        <v>2.213</v>
      </c>
      <c r="K742" s="1" t="str">
        <f aca="false">IF(AND(ISNUMBER(H742),ISNUMBER(I742),ISNUMBER(J742)),"✓",COUNTIF(H742:J742,"&gt;-999")&amp;"/3")</f>
        <v>✓</v>
      </c>
    </row>
    <row r="743" customFormat="false" ht="15" hidden="false" customHeight="true" outlineLevel="0" collapsed="false">
      <c r="A743" s="1" t="s">
        <v>42</v>
      </c>
      <c r="B743" s="1" t="s">
        <v>40</v>
      </c>
      <c r="C743" s="1" t="s">
        <v>41</v>
      </c>
      <c r="D743" s="1" t="s">
        <v>17</v>
      </c>
      <c r="E743" s="1" t="s">
        <v>18</v>
      </c>
      <c r="F743" s="1" t="n">
        <f aca="false">IFERROR('dens_visc_gamma+2m2boh'!D22,"")</f>
        <v>40</v>
      </c>
      <c r="G743" s="1" t="n">
        <f aca="false">IFERROR('dens_visc_gamma+2m2boh'!A27,"")</f>
        <v>0.402012291803286</v>
      </c>
      <c r="H743" s="1" t="n">
        <f aca="false">IFERROR('dens_visc_gamma+2m2boh'!D27,"")</f>
        <v>0.86751</v>
      </c>
      <c r="I743" s="1" t="n">
        <f aca="false">IFERROR('dens_visc_gamma+2m2boh'!I27,"")</f>
        <v>-0.0234564562315995</v>
      </c>
      <c r="J743" s="1" t="n">
        <f aca="false">IFERROR('dens_visc_gamma+2m2boh'!D41,"")</f>
        <v>2.352</v>
      </c>
      <c r="K743" s="1" t="str">
        <f aca="false">IF(AND(ISNUMBER(H743),ISNUMBER(I743),ISNUMBER(J743)),"✓",COUNTIF(H743:J743,"&gt;-999")&amp;"/3")</f>
        <v>✓</v>
      </c>
    </row>
    <row r="744" customFormat="false" ht="15" hidden="false" customHeight="true" outlineLevel="0" collapsed="false">
      <c r="A744" s="1" t="s">
        <v>42</v>
      </c>
      <c r="B744" s="1" t="s">
        <v>40</v>
      </c>
      <c r="C744" s="1" t="s">
        <v>41</v>
      </c>
      <c r="D744" s="1" t="s">
        <v>17</v>
      </c>
      <c r="E744" s="1" t="s">
        <v>18</v>
      </c>
      <c r="F744" s="1" t="n">
        <f aca="false">IFERROR('dens_visc_gamma+2m2boh'!D22,"")</f>
        <v>40</v>
      </c>
      <c r="G744" s="1" t="n">
        <f aca="false">IFERROR('dens_visc_gamma+2m2boh'!A28,"")</f>
        <v>0.495436823631951</v>
      </c>
      <c r="H744" s="1" t="n">
        <f aca="false">IFERROR('dens_visc_gamma+2m2boh'!D28,"")</f>
        <v>0.88082</v>
      </c>
      <c r="I744" s="1" t="n">
        <f aca="false">IFERROR('dens_visc_gamma+2m2boh'!I28,"")</f>
        <v>0.0324969080854771</v>
      </c>
      <c r="J744" s="1" t="n">
        <f aca="false">IFERROR('dens_visc_gamma+2m2boh'!D42,"")</f>
        <v>2.494</v>
      </c>
      <c r="K744" s="1" t="str">
        <f aca="false">IF(AND(ISNUMBER(H744),ISNUMBER(I744),ISNUMBER(J744)),"✓",COUNTIF(H744:J744,"&gt;-999")&amp;"/3")</f>
        <v>✓</v>
      </c>
    </row>
    <row r="745" customFormat="false" ht="15" hidden="false" customHeight="true" outlineLevel="0" collapsed="false">
      <c r="A745" s="1" t="s">
        <v>42</v>
      </c>
      <c r="B745" s="1" t="s">
        <v>40</v>
      </c>
      <c r="C745" s="1" t="s">
        <v>41</v>
      </c>
      <c r="D745" s="1" t="s">
        <v>17</v>
      </c>
      <c r="E745" s="1" t="s">
        <v>18</v>
      </c>
      <c r="F745" s="1" t="n">
        <f aca="false">IFERROR('dens_visc_gamma+2m2boh'!D22,"")</f>
        <v>40</v>
      </c>
      <c r="G745" s="1" t="n">
        <f aca="false">IFERROR('dens_visc_gamma+2m2boh'!A29,"")</f>
        <v>0.607108369954993</v>
      </c>
      <c r="H745" s="1" t="n">
        <f aca="false">IFERROR('dens_visc_gamma+2m2boh'!D29,"")</f>
        <v>0.89525</v>
      </c>
      <c r="I745" s="1" t="n">
        <f aca="false">IFERROR('dens_visc_gamma+2m2boh'!I29,"")</f>
        <v>0.0967421573114677</v>
      </c>
      <c r="J745" s="1" t="n">
        <f aca="false">IFERROR('dens_visc_gamma+2m2boh'!D43,"")</f>
        <v>2.69</v>
      </c>
      <c r="K745" s="1" t="str">
        <f aca="false">IF(AND(ISNUMBER(H745),ISNUMBER(I745),ISNUMBER(J745)),"✓",COUNTIF(H745:J745,"&gt;-999")&amp;"/3")</f>
        <v>✓</v>
      </c>
    </row>
    <row r="746" customFormat="false" ht="15" hidden="false" customHeight="true" outlineLevel="0" collapsed="false">
      <c r="A746" s="1" t="s">
        <v>42</v>
      </c>
      <c r="B746" s="1" t="s">
        <v>40</v>
      </c>
      <c r="C746" s="1" t="s">
        <v>41</v>
      </c>
      <c r="D746" s="1" t="s">
        <v>17</v>
      </c>
      <c r="E746" s="1" t="s">
        <v>18</v>
      </c>
      <c r="F746" s="1" t="n">
        <f aca="false">IFERROR('dens_visc_gamma+2m2boh'!D22,"")</f>
        <v>40</v>
      </c>
      <c r="G746" s="1" t="n">
        <f aca="false">IFERROR('dens_visc_gamma+2m2boh'!A30,"")</f>
        <v>0.701682368278168</v>
      </c>
      <c r="H746" s="1" t="n">
        <f aca="false">IFERROR('dens_visc_gamma+2m2boh'!D30,"")</f>
        <v>0.90645</v>
      </c>
      <c r="I746" s="1" t="n">
        <f aca="false">IFERROR('dens_visc_gamma+2m2boh'!I30,"")</f>
        <v>0.135936066585913</v>
      </c>
      <c r="J746" s="1" t="n">
        <f aca="false">IFERROR('dens_visc_gamma+2m2boh'!D45,"")</f>
        <v>3.125</v>
      </c>
      <c r="K746" s="1" t="str">
        <f aca="false">IF(AND(ISNUMBER(H746),ISNUMBER(I746),ISNUMBER(J746)),"✓",COUNTIF(H746:J746,"&gt;-999")&amp;"/3")</f>
        <v>✓</v>
      </c>
    </row>
    <row r="747" customFormat="false" ht="15" hidden="false" customHeight="true" outlineLevel="0" collapsed="false">
      <c r="A747" s="1" t="s">
        <v>42</v>
      </c>
      <c r="B747" s="1" t="s">
        <v>40</v>
      </c>
      <c r="C747" s="1" t="s">
        <v>41</v>
      </c>
      <c r="D747" s="1" t="s">
        <v>17</v>
      </c>
      <c r="E747" s="1" t="s">
        <v>18</v>
      </c>
      <c r="F747" s="1" t="n">
        <f aca="false">IFERROR('dens_visc_gamma+2m2boh'!D22,"")</f>
        <v>40</v>
      </c>
      <c r="G747" s="1" t="n">
        <f aca="false">IFERROR('dens_visc_gamma+2m2boh'!A31,"")</f>
        <v>0.806581379473363</v>
      </c>
      <c r="H747" s="1" t="n">
        <f aca="false">IFERROR('dens_visc_gamma+2m2boh'!D31,"")</f>
        <v>0.91813</v>
      </c>
      <c r="I747" s="1" t="n">
        <f aca="false">IFERROR('dens_visc_gamma+2m2boh'!I31,"")</f>
        <v>0.125368795799375</v>
      </c>
      <c r="J747" s="1" t="e">
        <f aca="false">IFERROR('dens_visc_gamma+2m2boh'!#ref!,"")</f>
        <v>#VALUE!</v>
      </c>
      <c r="K747" s="1" t="str">
        <f aca="false">IF(AND(ISNUMBER(H747),ISNUMBER(I747),ISNUMBER(J747)),"✓",COUNTIF(H747:J747,"&gt;-999")&amp;"/3")</f>
        <v>2/3</v>
      </c>
    </row>
    <row r="748" customFormat="false" ht="15" hidden="false" customHeight="true" outlineLevel="0" collapsed="false">
      <c r="A748" s="1" t="s">
        <v>42</v>
      </c>
      <c r="B748" s="1" t="s">
        <v>40</v>
      </c>
      <c r="C748" s="1" t="s">
        <v>41</v>
      </c>
      <c r="D748" s="1" t="s">
        <v>17</v>
      </c>
      <c r="E748" s="1" t="s">
        <v>18</v>
      </c>
      <c r="F748" s="1" t="n">
        <f aca="false">IFERROR('dens_visc_gamma+2m2boh'!D22,"")</f>
        <v>40</v>
      </c>
      <c r="G748" s="1" t="n">
        <f aca="false">IFERROR('dens_visc_gamma+2m2boh'!A32,"")</f>
        <v>0.899550302724418</v>
      </c>
      <c r="H748" s="1" t="n">
        <f aca="false">IFERROR('dens_visc_gamma+2m2boh'!D32,"")</f>
        <v>0.92781</v>
      </c>
      <c r="I748" s="1" t="n">
        <f aca="false">IFERROR('dens_visc_gamma+2m2boh'!I32,"")</f>
        <v>0.088065326406678</v>
      </c>
      <c r="J748" s="1" t="e">
        <f aca="false">IFERROR('dens_visc_gamma+2m2boh'!#ref!,"")</f>
        <v>#VALUE!</v>
      </c>
      <c r="K748" s="1" t="str">
        <f aca="false">IF(AND(ISNUMBER(H748),ISNUMBER(I748),ISNUMBER(J748)),"✓",COUNTIF(H748:J748,"&gt;-999")&amp;"/3")</f>
        <v>2/3</v>
      </c>
    </row>
    <row r="749" customFormat="false" ht="15" hidden="false" customHeight="true" outlineLevel="0" collapsed="false">
      <c r="A749" s="1" t="s">
        <v>42</v>
      </c>
      <c r="B749" s="1" t="s">
        <v>40</v>
      </c>
      <c r="C749" s="1" t="s">
        <v>41</v>
      </c>
      <c r="D749" s="1" t="s">
        <v>17</v>
      </c>
      <c r="E749" s="1" t="s">
        <v>18</v>
      </c>
      <c r="F749" s="1" t="n">
        <f aca="false">IFERROR('dens_visc_gamma+2m2boh'!D22,"")</f>
        <v>40</v>
      </c>
      <c r="G749" s="1" t="n">
        <f aca="false">IFERROR('dens_visc_gamma+2m2boh'!A33,"")</f>
        <v>1</v>
      </c>
      <c r="H749" s="1" t="n">
        <f aca="false">IFERROR('dens_visc_gamma+2m2boh'!D33,"")</f>
        <v>0.93774</v>
      </c>
      <c r="I749" s="1" t="n">
        <f aca="false">IFERROR('dens_visc_gamma+2m2boh'!I33,"")</f>
        <v>0</v>
      </c>
      <c r="J749" s="1" t="n">
        <f aca="false">IFERROR('dens_visc_gamma+2m2boh'!D47,"")</f>
        <v>3.691</v>
      </c>
      <c r="K749" s="1" t="str">
        <f aca="false">IF(AND(ISNUMBER(H749),ISNUMBER(I749),ISNUMBER(J749)),"✓",COUNTIF(H749:J749,"&gt;-999")&amp;"/3")</f>
        <v>✓</v>
      </c>
    </row>
    <row r="750" customFormat="false" ht="15" hidden="false" customHeight="true" outlineLevel="0" collapsed="false">
      <c r="A750" s="1" t="s">
        <v>42</v>
      </c>
      <c r="B750" s="1" t="s">
        <v>40</v>
      </c>
      <c r="C750" s="1" t="s">
        <v>41</v>
      </c>
      <c r="D750" s="1" t="s">
        <v>17</v>
      </c>
      <c r="E750" s="1" t="s">
        <v>18</v>
      </c>
      <c r="F750" s="1" t="n">
        <f aca="false">IFERROR('dens_visc_gamma+2m2boh'!E22,"")</f>
        <v>50</v>
      </c>
      <c r="G750" s="1" t="n">
        <f aca="false">IFERROR('dens_visc_gamma+2m2boh'!A23,"")</f>
        <v>0</v>
      </c>
      <c r="H750" s="1" t="n">
        <f aca="false">IFERROR('dens_visc_gamma+2m2boh'!E23,"")</f>
        <v>0.7806</v>
      </c>
      <c r="I750" s="1" t="n">
        <f aca="false">IFERROR('dens_visc_gamma+2m2boh'!J23,"")</f>
        <v>0</v>
      </c>
      <c r="J750" s="1" t="n">
        <f aca="false">IFERROR('dens_visc_gamma+2m2boh'!E37,"")</f>
        <v>1.397</v>
      </c>
      <c r="K750" s="1" t="str">
        <f aca="false">IF(AND(ISNUMBER(H750),ISNUMBER(I750),ISNUMBER(J750)),"✓",COUNTIF(H750:J750,"&gt;-999")&amp;"/3")</f>
        <v>✓</v>
      </c>
    </row>
    <row r="751" customFormat="false" ht="15" hidden="false" customHeight="true" outlineLevel="0" collapsed="false">
      <c r="A751" s="1" t="s">
        <v>42</v>
      </c>
      <c r="B751" s="1" t="s">
        <v>40</v>
      </c>
      <c r="C751" s="1" t="s">
        <v>41</v>
      </c>
      <c r="D751" s="1" t="s">
        <v>17</v>
      </c>
      <c r="E751" s="1" t="s">
        <v>18</v>
      </c>
      <c r="F751" s="1" t="n">
        <f aca="false">IFERROR('dens_visc_gamma+2m2boh'!E22,"")</f>
        <v>50</v>
      </c>
      <c r="G751" s="1" t="n">
        <f aca="false">IFERROR('dens_visc_gamma+2m2boh'!A24,"")</f>
        <v>0.0999803195185457</v>
      </c>
      <c r="H751" s="1" t="n">
        <f aca="false">IFERROR('dens_visc_gamma+2m2boh'!E24,"")</f>
        <v>0.80474</v>
      </c>
      <c r="I751" s="1" t="n">
        <f aca="false">IFERROR('dens_visc_gamma+2m2boh'!J24,"")</f>
        <v>-0.197342598453247</v>
      </c>
      <c r="J751" s="1" t="n">
        <f aca="false">IFERROR('dens_visc_gamma+2m2boh'!E38,"")</f>
        <v>1.484</v>
      </c>
      <c r="K751" s="1" t="str">
        <f aca="false">IF(AND(ISNUMBER(H751),ISNUMBER(I751),ISNUMBER(J751)),"✓",COUNTIF(H751:J751,"&gt;-999")&amp;"/3")</f>
        <v>✓</v>
      </c>
    </row>
    <row r="752" customFormat="false" ht="15" hidden="false" customHeight="true" outlineLevel="0" collapsed="false">
      <c r="A752" s="1" t="s">
        <v>42</v>
      </c>
      <c r="B752" s="1" t="s">
        <v>40</v>
      </c>
      <c r="C752" s="1" t="s">
        <v>41</v>
      </c>
      <c r="D752" s="1" t="s">
        <v>17</v>
      </c>
      <c r="E752" s="1" t="s">
        <v>18</v>
      </c>
      <c r="F752" s="1" t="n">
        <f aca="false">IFERROR('dens_visc_gamma+2m2boh'!E22,"")</f>
        <v>50</v>
      </c>
      <c r="G752" s="1" t="n">
        <f aca="false">IFERROR('dens_visc_gamma+2m2boh'!A25,"")</f>
        <v>0.197749827698271</v>
      </c>
      <c r="H752" s="1" t="n">
        <f aca="false">IFERROR('dens_visc_gamma+2m2boh'!E25,"")</f>
        <v>0.82455</v>
      </c>
      <c r="I752" s="1" t="n">
        <f aca="false">IFERROR('dens_visc_gamma+2m2boh'!J25,"")</f>
        <v>-0.194141620268795</v>
      </c>
      <c r="J752" s="1" t="n">
        <f aca="false">IFERROR('dens_visc_gamma+2m2boh'!E39,"")</f>
        <v>1.584</v>
      </c>
      <c r="K752" s="1" t="str">
        <f aca="false">IF(AND(ISNUMBER(H752),ISNUMBER(I752),ISNUMBER(J752)),"✓",COUNTIF(H752:J752,"&gt;-999")&amp;"/3")</f>
        <v>✓</v>
      </c>
    </row>
    <row r="753" customFormat="false" ht="15" hidden="false" customHeight="true" outlineLevel="0" collapsed="false">
      <c r="A753" s="1" t="s">
        <v>42</v>
      </c>
      <c r="B753" s="1" t="s">
        <v>40</v>
      </c>
      <c r="C753" s="1" t="s">
        <v>41</v>
      </c>
      <c r="D753" s="1" t="s">
        <v>17</v>
      </c>
      <c r="E753" s="1" t="s">
        <v>18</v>
      </c>
      <c r="F753" s="1" t="n">
        <f aca="false">IFERROR('dens_visc_gamma+2m2boh'!E22,"")</f>
        <v>50</v>
      </c>
      <c r="G753" s="1" t="n">
        <f aca="false">IFERROR('dens_visc_gamma+2m2boh'!A26,"")</f>
        <v>0.298554005126112</v>
      </c>
      <c r="H753" s="1" t="n">
        <f aca="false">IFERROR('dens_visc_gamma+2m2boh'!E26,"")</f>
        <v>0.84241</v>
      </c>
      <c r="I753" s="1" t="n">
        <f aca="false">IFERROR('dens_visc_gamma+2m2boh'!J26,"")</f>
        <v>-0.121585580715134</v>
      </c>
      <c r="J753" s="1" t="n">
        <f aca="false">IFERROR('dens_visc_gamma+2m2boh'!E40,"")</f>
        <v>1.695</v>
      </c>
      <c r="K753" s="1" t="str">
        <f aca="false">IF(AND(ISNUMBER(H753),ISNUMBER(I753),ISNUMBER(J753)),"✓",COUNTIF(H753:J753,"&gt;-999")&amp;"/3")</f>
        <v>✓</v>
      </c>
    </row>
    <row r="754" customFormat="false" ht="15" hidden="false" customHeight="true" outlineLevel="0" collapsed="false">
      <c r="A754" s="1" t="s">
        <v>42</v>
      </c>
      <c r="B754" s="1" t="s">
        <v>40</v>
      </c>
      <c r="C754" s="1" t="s">
        <v>41</v>
      </c>
      <c r="D754" s="1" t="s">
        <v>17</v>
      </c>
      <c r="E754" s="1" t="s">
        <v>18</v>
      </c>
      <c r="F754" s="1" t="n">
        <f aca="false">IFERROR('dens_visc_gamma+2m2boh'!E22,"")</f>
        <v>50</v>
      </c>
      <c r="G754" s="1" t="n">
        <f aca="false">IFERROR('dens_visc_gamma+2m2boh'!A27,"")</f>
        <v>0.402012291803286</v>
      </c>
      <c r="H754" s="1" t="n">
        <f aca="false">IFERROR('dens_visc_gamma+2m2boh'!E27,"")</f>
        <v>0.85892</v>
      </c>
      <c r="I754" s="1" t="n">
        <f aca="false">IFERROR('dens_visc_gamma+2m2boh'!J27,"")</f>
        <v>-0.0569430362119761</v>
      </c>
      <c r="J754" s="1" t="n">
        <f aca="false">IFERROR('dens_visc_gamma+2m2boh'!E41,"")</f>
        <v>1.823</v>
      </c>
      <c r="K754" s="1" t="str">
        <f aca="false">IF(AND(ISNUMBER(H754),ISNUMBER(I754),ISNUMBER(J754)),"✓",COUNTIF(H754:J754,"&gt;-999")&amp;"/3")</f>
        <v>✓</v>
      </c>
    </row>
    <row r="755" customFormat="false" ht="15" hidden="false" customHeight="true" outlineLevel="0" collapsed="false">
      <c r="A755" s="1" t="s">
        <v>42</v>
      </c>
      <c r="B755" s="1" t="s">
        <v>40</v>
      </c>
      <c r="C755" s="1" t="s">
        <v>41</v>
      </c>
      <c r="D755" s="1" t="s">
        <v>17</v>
      </c>
      <c r="E755" s="1" t="s">
        <v>18</v>
      </c>
      <c r="F755" s="1" t="n">
        <f aca="false">IFERROR('dens_visc_gamma+2m2boh'!E22,"")</f>
        <v>50</v>
      </c>
      <c r="G755" s="1" t="n">
        <f aca="false">IFERROR('dens_visc_gamma+2m2boh'!A28,"")</f>
        <v>0.495436823631951</v>
      </c>
      <c r="H755" s="1" t="n">
        <f aca="false">IFERROR('dens_visc_gamma+2m2boh'!E28,"")</f>
        <v>0.87244</v>
      </c>
      <c r="I755" s="1" t="n">
        <f aca="false">IFERROR('dens_visc_gamma+2m2boh'!J28,"")</f>
        <v>-0.00150390870604156</v>
      </c>
      <c r="J755" s="1" t="n">
        <f aca="false">IFERROR('dens_visc_gamma+2m2boh'!E42,"")</f>
        <v>1.95</v>
      </c>
      <c r="K755" s="1" t="str">
        <f aca="false">IF(AND(ISNUMBER(H755),ISNUMBER(I755),ISNUMBER(J755)),"✓",COUNTIF(H755:J755,"&gt;-999")&amp;"/3")</f>
        <v>✓</v>
      </c>
    </row>
    <row r="756" customFormat="false" ht="15" hidden="false" customHeight="true" outlineLevel="0" collapsed="false">
      <c r="A756" s="1" t="s">
        <v>42</v>
      </c>
      <c r="B756" s="1" t="s">
        <v>40</v>
      </c>
      <c r="C756" s="1" t="s">
        <v>41</v>
      </c>
      <c r="D756" s="1" t="s">
        <v>17</v>
      </c>
      <c r="E756" s="1" t="s">
        <v>18</v>
      </c>
      <c r="F756" s="1" t="n">
        <f aca="false">IFERROR('dens_visc_gamma+2m2boh'!E22,"")</f>
        <v>50</v>
      </c>
      <c r="G756" s="1" t="n">
        <f aca="false">IFERROR('dens_visc_gamma+2m2boh'!A29,"")</f>
        <v>0.607108369954993</v>
      </c>
      <c r="H756" s="1" t="n">
        <f aca="false">IFERROR('dens_visc_gamma+2m2boh'!E29,"")</f>
        <v>0.8871</v>
      </c>
      <c r="I756" s="1" t="n">
        <f aca="false">IFERROR('dens_visc_gamma+2m2boh'!J29,"")</f>
        <v>0.0637242216824632</v>
      </c>
      <c r="J756" s="1" t="n">
        <f aca="false">IFERROR('dens_visc_gamma+2m2boh'!E43,"")</f>
        <v>2.119</v>
      </c>
      <c r="K756" s="1" t="str">
        <f aca="false">IF(AND(ISNUMBER(H756),ISNUMBER(I756),ISNUMBER(J756)),"✓",COUNTIF(H756:J756,"&gt;-999")&amp;"/3")</f>
        <v>✓</v>
      </c>
    </row>
    <row r="757" customFormat="false" ht="15" hidden="false" customHeight="true" outlineLevel="0" collapsed="false">
      <c r="A757" s="1" t="s">
        <v>42</v>
      </c>
      <c r="B757" s="1" t="s">
        <v>40</v>
      </c>
      <c r="C757" s="1" t="s">
        <v>41</v>
      </c>
      <c r="D757" s="1" t="s">
        <v>17</v>
      </c>
      <c r="E757" s="1" t="s">
        <v>18</v>
      </c>
      <c r="F757" s="1" t="n">
        <f aca="false">IFERROR('dens_visc_gamma+2m2boh'!E22,"")</f>
        <v>50</v>
      </c>
      <c r="G757" s="1" t="n">
        <f aca="false">IFERROR('dens_visc_gamma+2m2boh'!A30,"")</f>
        <v>0.701682368278168</v>
      </c>
      <c r="H757" s="1" t="n">
        <f aca="false">IFERROR('dens_visc_gamma+2m2boh'!E30,"")</f>
        <v>0.89849</v>
      </c>
      <c r="I757" s="1" t="n">
        <f aca="false">IFERROR('dens_visc_gamma+2m2boh'!J30,"")</f>
        <v>0.102654766302777</v>
      </c>
      <c r="J757" s="1" t="n">
        <f aca="false">IFERROR('dens_visc_gamma+2m2boh'!E45,"")</f>
        <v>2.477</v>
      </c>
      <c r="K757" s="1" t="str">
        <f aca="false">IF(AND(ISNUMBER(H757),ISNUMBER(I757),ISNUMBER(J757)),"✓",COUNTIF(H757:J757,"&gt;-999")&amp;"/3")</f>
        <v>✓</v>
      </c>
    </row>
    <row r="758" customFormat="false" ht="15" hidden="false" customHeight="true" outlineLevel="0" collapsed="false">
      <c r="A758" s="1" t="s">
        <v>42</v>
      </c>
      <c r="B758" s="1" t="s">
        <v>40</v>
      </c>
      <c r="C758" s="1" t="s">
        <v>41</v>
      </c>
      <c r="D758" s="1" t="s">
        <v>17</v>
      </c>
      <c r="E758" s="1" t="s">
        <v>18</v>
      </c>
      <c r="F758" s="1" t="n">
        <f aca="false">IFERROR('dens_visc_gamma+2m2boh'!E22,"")</f>
        <v>50</v>
      </c>
      <c r="G758" s="1" t="n">
        <f aca="false">IFERROR('dens_visc_gamma+2m2boh'!A31,"")</f>
        <v>0.806581379473363</v>
      </c>
      <c r="H758" s="1" t="n">
        <f aca="false">IFERROR('dens_visc_gamma+2m2boh'!E31,"")</f>
        <v>0.91032</v>
      </c>
      <c r="I758" s="1" t="n">
        <f aca="false">IFERROR('dens_visc_gamma+2m2boh'!J31,"")</f>
        <v>0.1003197848882</v>
      </c>
      <c r="J758" s="1" t="e">
        <f aca="false">IFERROR('dens_visc_gamma+2m2boh'!#ref!,"")</f>
        <v>#VALUE!</v>
      </c>
      <c r="K758" s="1" t="str">
        <f aca="false">IF(AND(ISNUMBER(H758),ISNUMBER(I758),ISNUMBER(J758)),"✓",COUNTIF(H758:J758,"&gt;-999")&amp;"/3")</f>
        <v>2/3</v>
      </c>
    </row>
    <row r="759" customFormat="false" ht="15" hidden="false" customHeight="true" outlineLevel="0" collapsed="false">
      <c r="A759" s="1" t="s">
        <v>42</v>
      </c>
      <c r="B759" s="1" t="s">
        <v>40</v>
      </c>
      <c r="C759" s="1" t="s">
        <v>41</v>
      </c>
      <c r="D759" s="1" t="s">
        <v>17</v>
      </c>
      <c r="E759" s="1" t="s">
        <v>18</v>
      </c>
      <c r="F759" s="1" t="n">
        <f aca="false">IFERROR('dens_visc_gamma+2m2boh'!E22,"")</f>
        <v>50</v>
      </c>
      <c r="G759" s="1" t="n">
        <f aca="false">IFERROR('dens_visc_gamma+2m2boh'!A32,"")</f>
        <v>0.899550302724418</v>
      </c>
      <c r="H759" s="1" t="n">
        <f aca="false">IFERROR('dens_visc_gamma+2m2boh'!E32,"")</f>
        <v>0.9201</v>
      </c>
      <c r="I759" s="1" t="n">
        <f aca="false">IFERROR('dens_visc_gamma+2m2boh'!J32,"")</f>
        <v>0.0750631554502945</v>
      </c>
      <c r="J759" s="1" t="e">
        <f aca="false">IFERROR('dens_visc_gamma+2m2boh'!#ref!,"")</f>
        <v>#VALUE!</v>
      </c>
      <c r="K759" s="1" t="str">
        <f aca="false">IF(AND(ISNUMBER(H759),ISNUMBER(I759),ISNUMBER(J759)),"✓",COUNTIF(H759:J759,"&gt;-999")&amp;"/3")</f>
        <v>2/3</v>
      </c>
    </row>
    <row r="760" customFormat="false" ht="15" hidden="false" customHeight="true" outlineLevel="0" collapsed="false">
      <c r="A760" s="1" t="s">
        <v>42</v>
      </c>
      <c r="B760" s="1" t="s">
        <v>40</v>
      </c>
      <c r="C760" s="1" t="s">
        <v>41</v>
      </c>
      <c r="D760" s="1" t="s">
        <v>17</v>
      </c>
      <c r="E760" s="1" t="s">
        <v>18</v>
      </c>
      <c r="F760" s="1" t="n">
        <f aca="false">IFERROR('dens_visc_gamma+2m2boh'!E22,"")</f>
        <v>50</v>
      </c>
      <c r="G760" s="1" t="n">
        <f aca="false">IFERROR('dens_visc_gamma+2m2boh'!A33,"")</f>
        <v>1</v>
      </c>
      <c r="H760" s="1" t="n">
        <f aca="false">IFERROR('dens_visc_gamma+2m2boh'!E33,"")</f>
        <v>0.93013</v>
      </c>
      <c r="I760" s="1" t="n">
        <f aca="false">IFERROR('dens_visc_gamma+2m2boh'!J33,"")</f>
        <v>0</v>
      </c>
      <c r="J760" s="1" t="n">
        <f aca="false">IFERROR('dens_visc_gamma+2m2boh'!E47,"")</f>
        <v>2.914</v>
      </c>
      <c r="K760" s="1" t="str">
        <f aca="false">IF(AND(ISNUMBER(H760),ISNUMBER(I760),ISNUMBER(J760)),"✓",COUNTIF(H760:J760,"&gt;-999")&amp;"/3")</f>
        <v>✓</v>
      </c>
    </row>
    <row r="761" customFormat="false" ht="15" hidden="false" customHeight="true" outlineLevel="0" collapsed="false">
      <c r="A761" s="1" t="s">
        <v>42</v>
      </c>
      <c r="B761" s="1" t="s">
        <v>40</v>
      </c>
      <c r="C761" s="1" t="s">
        <v>41</v>
      </c>
      <c r="D761" s="1" t="s">
        <v>17</v>
      </c>
      <c r="E761" s="1" t="s">
        <v>18</v>
      </c>
      <c r="F761" s="1" t="n">
        <f aca="false">IFERROR('dens_visc_gamma+2m2boh'!F22,"")</f>
        <v>60</v>
      </c>
      <c r="G761" s="1" t="n">
        <f aca="false">IFERROR('dens_visc_gamma+2m2boh'!A23,"")</f>
        <v>0</v>
      </c>
      <c r="H761" s="1" t="n">
        <f aca="false">IFERROR('dens_visc_gamma+2m2boh'!F23,"")</f>
        <v>0.77049</v>
      </c>
      <c r="I761" s="1" t="n">
        <f aca="false">IFERROR('dens_visc_gamma+2m2boh'!K23,"")</f>
        <v>0</v>
      </c>
      <c r="J761" s="1" t="n">
        <f aca="false">IFERROR('dens_visc_gamma+2m2boh'!F37,"")</f>
        <v>1.036</v>
      </c>
      <c r="K761" s="1" t="str">
        <f aca="false">IF(AND(ISNUMBER(H761),ISNUMBER(I761),ISNUMBER(J761)),"✓",COUNTIF(H761:J761,"&gt;-999")&amp;"/3")</f>
        <v>✓</v>
      </c>
    </row>
    <row r="762" customFormat="false" ht="15" hidden="false" customHeight="true" outlineLevel="0" collapsed="false">
      <c r="A762" s="1" t="s">
        <v>42</v>
      </c>
      <c r="B762" s="1" t="s">
        <v>40</v>
      </c>
      <c r="C762" s="1" t="s">
        <v>41</v>
      </c>
      <c r="D762" s="1" t="s">
        <v>17</v>
      </c>
      <c r="E762" s="1" t="s">
        <v>18</v>
      </c>
      <c r="F762" s="1" t="n">
        <f aca="false">IFERROR('dens_visc_gamma+2m2boh'!F22,"")</f>
        <v>60</v>
      </c>
      <c r="G762" s="1" t="n">
        <f aca="false">IFERROR('dens_visc_gamma+2m2boh'!A24,"")</f>
        <v>0.0999803195185457</v>
      </c>
      <c r="H762" s="1" t="n">
        <f aca="false">IFERROR('dens_visc_gamma+2m2boh'!F24,"")</f>
        <v>0.79494</v>
      </c>
      <c r="I762" s="1" t="n">
        <f aca="false">IFERROR('dens_visc_gamma+2m2boh'!K24,"")</f>
        <v>-0.206184142736191</v>
      </c>
      <c r="J762" s="1" t="n">
        <f aca="false">IFERROR('dens_visc_gamma+2m2boh'!F38,"")</f>
        <v>1.136</v>
      </c>
      <c r="K762" s="1" t="str">
        <f aca="false">IF(AND(ISNUMBER(H762),ISNUMBER(I762),ISNUMBER(J762)),"✓",COUNTIF(H762:J762,"&gt;-999")&amp;"/3")</f>
        <v>✓</v>
      </c>
    </row>
    <row r="763" customFormat="false" ht="15" hidden="false" customHeight="true" outlineLevel="0" collapsed="false">
      <c r="A763" s="1" t="s">
        <v>42</v>
      </c>
      <c r="B763" s="1" t="s">
        <v>40</v>
      </c>
      <c r="C763" s="1" t="s">
        <v>41</v>
      </c>
      <c r="D763" s="1" t="s">
        <v>17</v>
      </c>
      <c r="E763" s="1" t="s">
        <v>18</v>
      </c>
      <c r="F763" s="1" t="n">
        <f aca="false">IFERROR('dens_visc_gamma+2m2boh'!F22,"")</f>
        <v>60</v>
      </c>
      <c r="G763" s="1" t="n">
        <f aca="false">IFERROR('dens_visc_gamma+2m2boh'!A25,"")</f>
        <v>0.197749827698271</v>
      </c>
      <c r="H763" s="1" t="n">
        <f aca="false">IFERROR('dens_visc_gamma+2m2boh'!F25,"")</f>
        <v>0.81516</v>
      </c>
      <c r="I763" s="1" t="n">
        <f aca="false">IFERROR('dens_visc_gamma+2m2boh'!K25,"")</f>
        <v>-0.223967083539037</v>
      </c>
      <c r="J763" s="1" t="n">
        <f aca="false">IFERROR('dens_visc_gamma+2m2boh'!F39,"")</f>
        <v>1.233</v>
      </c>
      <c r="K763" s="1" t="str">
        <f aca="false">IF(AND(ISNUMBER(H763),ISNUMBER(I763),ISNUMBER(J763)),"✓",COUNTIF(H763:J763,"&gt;-999")&amp;"/3")</f>
        <v>✓</v>
      </c>
    </row>
    <row r="764" customFormat="false" ht="15" hidden="false" customHeight="true" outlineLevel="0" collapsed="false">
      <c r="A764" s="1" t="s">
        <v>42</v>
      </c>
      <c r="B764" s="1" t="s">
        <v>40</v>
      </c>
      <c r="C764" s="1" t="s">
        <v>41</v>
      </c>
      <c r="D764" s="1" t="s">
        <v>17</v>
      </c>
      <c r="E764" s="1" t="s">
        <v>18</v>
      </c>
      <c r="F764" s="1" t="n">
        <f aca="false">IFERROR('dens_visc_gamma+2m2boh'!F22,"")</f>
        <v>60</v>
      </c>
      <c r="G764" s="1" t="n">
        <f aca="false">IFERROR('dens_visc_gamma+2m2boh'!A26,"")</f>
        <v>0.298554005126112</v>
      </c>
      <c r="H764" s="1" t="n">
        <f aca="false">IFERROR('dens_visc_gamma+2m2boh'!F26,"")</f>
        <v>0.83338</v>
      </c>
      <c r="I764" s="1" t="n">
        <f aca="false">IFERROR('dens_visc_gamma+2m2boh'!K26,"")</f>
        <v>-0.163854187922084</v>
      </c>
      <c r="J764" s="1" t="n">
        <f aca="false">IFERROR('dens_visc_gamma+2m2boh'!F40,"")</f>
        <v>1.338</v>
      </c>
      <c r="K764" s="1" t="str">
        <f aca="false">IF(AND(ISNUMBER(H764),ISNUMBER(I764),ISNUMBER(J764)),"✓",COUNTIF(H764:J764,"&gt;-999")&amp;"/3")</f>
        <v>✓</v>
      </c>
    </row>
    <row r="765" customFormat="false" ht="15" hidden="false" customHeight="true" outlineLevel="0" collapsed="false">
      <c r="A765" s="1" t="s">
        <v>42</v>
      </c>
      <c r="B765" s="1" t="s">
        <v>40</v>
      </c>
      <c r="C765" s="1" t="s">
        <v>41</v>
      </c>
      <c r="D765" s="1" t="s">
        <v>17</v>
      </c>
      <c r="E765" s="1" t="s">
        <v>18</v>
      </c>
      <c r="F765" s="1" t="n">
        <f aca="false">IFERROR('dens_visc_gamma+2m2boh'!F22,"")</f>
        <v>60</v>
      </c>
      <c r="G765" s="1" t="n">
        <f aca="false">IFERROR('dens_visc_gamma+2m2boh'!A27,"")</f>
        <v>0.402012291803286</v>
      </c>
      <c r="H765" s="1" t="n">
        <f aca="false">IFERROR('dens_visc_gamma+2m2boh'!F27,"")</f>
        <v>0.85023</v>
      </c>
      <c r="I765" s="1" t="n">
        <f aca="false">IFERROR('dens_visc_gamma+2m2boh'!K27,"")</f>
        <v>-0.109937248373626</v>
      </c>
      <c r="J765" s="1" t="n">
        <f aca="false">IFERROR('dens_visc_gamma+2m2boh'!F41,"")</f>
        <v>1.455</v>
      </c>
      <c r="K765" s="1" t="str">
        <f aca="false">IF(AND(ISNUMBER(H765),ISNUMBER(I765),ISNUMBER(J765)),"✓",COUNTIF(H765:J765,"&gt;-999")&amp;"/3")</f>
        <v>✓</v>
      </c>
    </row>
    <row r="766" customFormat="false" ht="15" hidden="false" customHeight="true" outlineLevel="0" collapsed="false">
      <c r="A766" s="1" t="s">
        <v>42</v>
      </c>
      <c r="B766" s="1" t="s">
        <v>40</v>
      </c>
      <c r="C766" s="1" t="s">
        <v>41</v>
      </c>
      <c r="D766" s="1" t="s">
        <v>17</v>
      </c>
      <c r="E766" s="1" t="s">
        <v>18</v>
      </c>
      <c r="F766" s="1" t="n">
        <f aca="false">IFERROR('dens_visc_gamma+2m2boh'!F22,"")</f>
        <v>60</v>
      </c>
      <c r="G766" s="1" t="n">
        <f aca="false">IFERROR('dens_visc_gamma+2m2boh'!A28,"")</f>
        <v>0.495436823631951</v>
      </c>
      <c r="H766" s="1" t="n">
        <f aca="false">IFERROR('dens_visc_gamma+2m2boh'!F28,"")</f>
        <v>0.864</v>
      </c>
      <c r="I766" s="1" t="n">
        <f aca="false">IFERROR('dens_visc_gamma+2m2boh'!K28,"")</f>
        <v>-0.0567657929436507</v>
      </c>
      <c r="J766" s="1" t="n">
        <f aca="false">IFERROR('dens_visc_gamma+2m2boh'!F42,"")</f>
        <v>1.568</v>
      </c>
      <c r="K766" s="1" t="str">
        <f aca="false">IF(AND(ISNUMBER(H766),ISNUMBER(I766),ISNUMBER(J766)),"✓",COUNTIF(H766:J766,"&gt;-999")&amp;"/3")</f>
        <v>✓</v>
      </c>
    </row>
    <row r="767" customFormat="false" ht="15" hidden="false" customHeight="true" outlineLevel="0" collapsed="false">
      <c r="A767" s="1" t="s">
        <v>42</v>
      </c>
      <c r="B767" s="1" t="s">
        <v>40</v>
      </c>
      <c r="C767" s="1" t="s">
        <v>41</v>
      </c>
      <c r="D767" s="1" t="s">
        <v>17</v>
      </c>
      <c r="E767" s="1" t="s">
        <v>18</v>
      </c>
      <c r="F767" s="1" t="n">
        <f aca="false">IFERROR('dens_visc_gamma+2m2boh'!F22,"")</f>
        <v>60</v>
      </c>
      <c r="G767" s="1" t="n">
        <f aca="false">IFERROR('dens_visc_gamma+2m2boh'!A29,"")</f>
        <v>0.607108369954993</v>
      </c>
      <c r="H767" s="1" t="n">
        <f aca="false">IFERROR('dens_visc_gamma+2m2boh'!F29,"")</f>
        <v>0.8789</v>
      </c>
      <c r="I767" s="1" t="n">
        <f aca="false">IFERROR('dens_visc_gamma+2m2boh'!K29,"")</f>
        <v>0.0137541478418939</v>
      </c>
      <c r="J767" s="1" t="n">
        <f aca="false">IFERROR('dens_visc_gamma+2m2boh'!F43,"")</f>
        <v>1.713</v>
      </c>
      <c r="K767" s="1" t="str">
        <f aca="false">IF(AND(ISNUMBER(H767),ISNUMBER(I767),ISNUMBER(J767)),"✓",COUNTIF(H767:J767,"&gt;-999")&amp;"/3")</f>
        <v>✓</v>
      </c>
    </row>
    <row r="768" customFormat="false" ht="15" hidden="false" customHeight="true" outlineLevel="0" collapsed="false">
      <c r="A768" s="1" t="s">
        <v>42</v>
      </c>
      <c r="B768" s="1" t="s">
        <v>40</v>
      </c>
      <c r="C768" s="1" t="s">
        <v>41</v>
      </c>
      <c r="D768" s="1" t="s">
        <v>17</v>
      </c>
      <c r="E768" s="1" t="s">
        <v>18</v>
      </c>
      <c r="F768" s="1" t="n">
        <f aca="false">IFERROR('dens_visc_gamma+2m2boh'!F22,"")</f>
        <v>60</v>
      </c>
      <c r="G768" s="1" t="n">
        <f aca="false">IFERROR('dens_visc_gamma+2m2boh'!A30,"")</f>
        <v>0.701682368278168</v>
      </c>
      <c r="H768" s="1" t="n">
        <f aca="false">IFERROR('dens_visc_gamma+2m2boh'!F30,"")</f>
        <v>0.89048</v>
      </c>
      <c r="I768" s="1" t="n">
        <f aca="false">IFERROR('dens_visc_gamma+2m2boh'!K30,"")</f>
        <v>0.057575599316209</v>
      </c>
      <c r="J768" s="1" t="n">
        <f aca="false">IFERROR('dens_visc_gamma+2m2boh'!F45,"")</f>
        <v>2.015</v>
      </c>
      <c r="K768" s="1" t="str">
        <f aca="false">IF(AND(ISNUMBER(H768),ISNUMBER(I768),ISNUMBER(J768)),"✓",COUNTIF(H768:J768,"&gt;-999")&amp;"/3")</f>
        <v>✓</v>
      </c>
    </row>
    <row r="769" customFormat="false" ht="15" hidden="false" customHeight="true" outlineLevel="0" collapsed="false">
      <c r="A769" s="1" t="s">
        <v>42</v>
      </c>
      <c r="B769" s="1" t="s">
        <v>40</v>
      </c>
      <c r="C769" s="1" t="s">
        <v>41</v>
      </c>
      <c r="D769" s="1" t="s">
        <v>17</v>
      </c>
      <c r="E769" s="1" t="s">
        <v>18</v>
      </c>
      <c r="F769" s="1" t="n">
        <f aca="false">IFERROR('dens_visc_gamma+2m2boh'!F22,"")</f>
        <v>60</v>
      </c>
      <c r="G769" s="1" t="n">
        <f aca="false">IFERROR('dens_visc_gamma+2m2boh'!A31,"")</f>
        <v>0.806581379473363</v>
      </c>
      <c r="H769" s="1" t="n">
        <f aca="false">IFERROR('dens_visc_gamma+2m2boh'!F31,"")</f>
        <v>0.90249</v>
      </c>
      <c r="I769" s="1" t="n">
        <f aca="false">IFERROR('dens_visc_gamma+2m2boh'!K31,"")</f>
        <v>0.0638826756773199</v>
      </c>
      <c r="J769" s="1" t="e">
        <f aca="false">IFERROR('dens_visc_gamma+2m2boh'!#ref!,"")</f>
        <v>#VALUE!</v>
      </c>
      <c r="K769" s="1" t="str">
        <f aca="false">IF(AND(ISNUMBER(H769),ISNUMBER(I769),ISNUMBER(J769)),"✓",COUNTIF(H769:J769,"&gt;-999")&amp;"/3")</f>
        <v>2/3</v>
      </c>
    </row>
    <row r="770" customFormat="false" ht="15" hidden="false" customHeight="true" outlineLevel="0" collapsed="false">
      <c r="A770" s="1" t="s">
        <v>42</v>
      </c>
      <c r="B770" s="1" t="s">
        <v>40</v>
      </c>
      <c r="C770" s="1" t="s">
        <v>41</v>
      </c>
      <c r="D770" s="1" t="s">
        <v>17</v>
      </c>
      <c r="E770" s="1" t="s">
        <v>18</v>
      </c>
      <c r="F770" s="1" t="n">
        <f aca="false">IFERROR('dens_visc_gamma+2m2boh'!F22,"")</f>
        <v>60</v>
      </c>
      <c r="G770" s="1" t="n">
        <f aca="false">IFERROR('dens_visc_gamma+2m2boh'!A32,"")</f>
        <v>0.899550302724418</v>
      </c>
      <c r="H770" s="1" t="n">
        <f aca="false">IFERROR('dens_visc_gamma+2m2boh'!F32,"")</f>
        <v>0.91237</v>
      </c>
      <c r="I770" s="1" t="n">
        <f aca="false">IFERROR('dens_visc_gamma+2m2boh'!K32,"")</f>
        <v>0.0561300339531385</v>
      </c>
      <c r="J770" s="1" t="e">
        <f aca="false">IFERROR('dens_visc_gamma+2m2boh'!#ref!,"")</f>
        <v>#VALUE!</v>
      </c>
      <c r="K770" s="1" t="str">
        <f aca="false">IF(AND(ISNUMBER(H770),ISNUMBER(I770),ISNUMBER(J770)),"✓",COUNTIF(H770:J770,"&gt;-999")&amp;"/3")</f>
        <v>2/3</v>
      </c>
    </row>
    <row r="771" customFormat="false" ht="15" hidden="false" customHeight="true" outlineLevel="0" collapsed="false">
      <c r="A771" s="1" t="s">
        <v>42</v>
      </c>
      <c r="B771" s="1" t="s">
        <v>40</v>
      </c>
      <c r="C771" s="1" t="s">
        <v>41</v>
      </c>
      <c r="D771" s="1" t="s">
        <v>17</v>
      </c>
      <c r="E771" s="1" t="s">
        <v>18</v>
      </c>
      <c r="F771" s="1" t="n">
        <f aca="false">IFERROR('dens_visc_gamma+2m2boh'!F22,"")</f>
        <v>60</v>
      </c>
      <c r="G771" s="1" t="n">
        <f aca="false">IFERROR('dens_visc_gamma+2m2boh'!A33,"")</f>
        <v>1</v>
      </c>
      <c r="H771" s="1" t="n">
        <f aca="false">IFERROR('dens_visc_gamma+2m2boh'!F33,"")</f>
        <v>0.9225</v>
      </c>
      <c r="I771" s="1" t="n">
        <f aca="false">IFERROR('dens_visc_gamma+2m2boh'!K33,"")</f>
        <v>0</v>
      </c>
      <c r="J771" s="1" t="n">
        <f aca="false">IFERROR('dens_visc_gamma+2m2boh'!F47,"")</f>
        <v>2.362</v>
      </c>
      <c r="K771" s="1" t="str">
        <f aca="false">IF(AND(ISNUMBER(H771),ISNUMBER(I771),ISNUMBER(J771)),"✓",COUNTIF(H771:J771,"&gt;-999")&amp;"/3")</f>
        <v>✓</v>
      </c>
    </row>
    <row r="772" customFormat="false" ht="15" hidden="false" customHeight="true" outlineLevel="0" collapsed="false">
      <c r="A772" s="1" t="s">
        <v>43</v>
      </c>
      <c r="B772" s="1" t="s">
        <v>40</v>
      </c>
      <c r="C772" s="1" t="s">
        <v>41</v>
      </c>
      <c r="D772" s="1" t="s">
        <v>20</v>
      </c>
      <c r="E772" s="1" t="s">
        <v>21</v>
      </c>
      <c r="F772" s="1" t="n">
        <f aca="false">IFERROR('dens_visc_gamma+1hexoh'!B22,"")</f>
        <v>20</v>
      </c>
      <c r="G772" s="1" t="n">
        <f aca="false">IFERROR('dens_visc_gamma+1hexoh'!A23,"")</f>
        <v>0</v>
      </c>
      <c r="H772" s="1" t="n">
        <f aca="false">IFERROR('dens_visc_gamma+1hexoh'!B23,"")</f>
        <v>0.81883</v>
      </c>
      <c r="I772" s="1" t="n">
        <f aca="false">IFERROR('dens_visc_gamma+1hexoh'!G23,"")</f>
        <v>0</v>
      </c>
      <c r="J772" s="1" t="n">
        <f aca="false">IFERROR('dens_visc_gamma+1hexoh'!B37,"")</f>
        <v>5.278</v>
      </c>
      <c r="K772" s="1" t="str">
        <f aca="false">IF(AND(ISNUMBER(H772),ISNUMBER(I772),ISNUMBER(J772)),"✓",COUNTIF(H772:J772,"&gt;-999")&amp;"/3")</f>
        <v>✓</v>
      </c>
    </row>
    <row r="773" customFormat="false" ht="15" hidden="false" customHeight="true" outlineLevel="0" collapsed="false">
      <c r="A773" s="1" t="s">
        <v>43</v>
      </c>
      <c r="B773" s="1" t="s">
        <v>40</v>
      </c>
      <c r="C773" s="1" t="s">
        <v>41</v>
      </c>
      <c r="D773" s="1" t="s">
        <v>20</v>
      </c>
      <c r="E773" s="1" t="s">
        <v>21</v>
      </c>
      <c r="F773" s="1" t="n">
        <f aca="false">IFERROR('dens_visc_gamma+1hexoh'!B22,"")</f>
        <v>20</v>
      </c>
      <c r="G773" s="1" t="n">
        <f aca="false">IFERROR('dens_visc_gamma+1hexoh'!A24,"")</f>
        <v>0.100264238516477</v>
      </c>
      <c r="H773" s="1" t="e">
        <f aca="false">IFERROR('dens_visc_gamma+1hexoh'!#ref!,"")</f>
        <v>#VALUE!</v>
      </c>
      <c r="I773" s="1" t="str">
        <f aca="false">IFERROR('dens_visc_gamma+1hexoh'!G24,"")</f>
        <v/>
      </c>
      <c r="J773" s="1" t="n">
        <f aca="false">IFERROR('dens_visc_gamma+1octoh'!B24,"")</f>
        <v>0</v>
      </c>
      <c r="K773" s="1" t="str">
        <f aca="false">IF(AND(ISNUMBER(H773),ISNUMBER(I773),ISNUMBER(J773)),"✓",COUNTIF(H773:J773,"&gt;-999")&amp;"/3")</f>
        <v>1/3</v>
      </c>
    </row>
    <row r="774" customFormat="false" ht="15" hidden="false" customHeight="true" outlineLevel="0" collapsed="false">
      <c r="A774" s="1" t="s">
        <v>43</v>
      </c>
      <c r="B774" s="1" t="s">
        <v>40</v>
      </c>
      <c r="C774" s="1" t="s">
        <v>41</v>
      </c>
      <c r="D774" s="1" t="s">
        <v>20</v>
      </c>
      <c r="E774" s="1" t="s">
        <v>21</v>
      </c>
      <c r="F774" s="1" t="n">
        <f aca="false">IFERROR('dens_visc_gamma+1hexoh'!B22,"")</f>
        <v>20</v>
      </c>
      <c r="G774" s="1" t="n">
        <f aca="false">IFERROR('dens_visc_gamma+1hexoh'!A25,"")</f>
        <v>0.201663327667688</v>
      </c>
      <c r="H774" s="1" t="n">
        <f aca="false">IFERROR('dens_visc_gamma+1octoh'!B25,"")</f>
        <v>0</v>
      </c>
      <c r="I774" s="1" t="str">
        <f aca="false">IFERROR('dens_visc_gamma+1hexoh'!G25,"")</f>
        <v/>
      </c>
      <c r="J774" s="1" t="n">
        <f aca="false">IFERROR('dens_visc_gamma+1octoh'!B39,"")</f>
        <v>0</v>
      </c>
      <c r="K774" s="1" t="str">
        <f aca="false">IF(AND(ISNUMBER(H774),ISNUMBER(I774),ISNUMBER(J774)),"✓",COUNTIF(H774:J774,"&gt;-999")&amp;"/3")</f>
        <v>2/3</v>
      </c>
    </row>
    <row r="775" customFormat="false" ht="15" hidden="false" customHeight="true" outlineLevel="0" collapsed="false">
      <c r="A775" s="1" t="s">
        <v>43</v>
      </c>
      <c r="B775" s="1" t="s">
        <v>40</v>
      </c>
      <c r="C775" s="1" t="s">
        <v>41</v>
      </c>
      <c r="D775" s="1" t="s">
        <v>20</v>
      </c>
      <c r="E775" s="1" t="s">
        <v>21</v>
      </c>
      <c r="F775" s="1" t="n">
        <f aca="false">IFERROR('dens_visc_gamma+1hexoh'!B22,"")</f>
        <v>20</v>
      </c>
      <c r="G775" s="1" t="n">
        <f aca="false">IFERROR('dens_visc_gamma+1hexoh'!A26,"")</f>
        <v>0.294719078979337</v>
      </c>
      <c r="H775" s="1" t="n">
        <f aca="false">IFERROR('dens_visc_gamma+1octoh'!B26,"")</f>
        <v>0</v>
      </c>
      <c r="I775" s="1" t="str">
        <f aca="false">IFERROR('dens_visc_gamma+1hexoh'!G26,"")</f>
        <v/>
      </c>
      <c r="J775" s="1" t="n">
        <f aca="false">IFERROR('dens_visc_gamma+1octoh'!B40,"")</f>
        <v>0</v>
      </c>
      <c r="K775" s="1" t="str">
        <f aca="false">IF(AND(ISNUMBER(H775),ISNUMBER(I775),ISNUMBER(J775)),"✓",COUNTIF(H775:J775,"&gt;-999")&amp;"/3")</f>
        <v>2/3</v>
      </c>
    </row>
    <row r="776" customFormat="false" ht="15" hidden="false" customHeight="true" outlineLevel="0" collapsed="false">
      <c r="A776" s="1" t="s">
        <v>43</v>
      </c>
      <c r="B776" s="1" t="s">
        <v>40</v>
      </c>
      <c r="C776" s="1" t="s">
        <v>41</v>
      </c>
      <c r="D776" s="1" t="s">
        <v>20</v>
      </c>
      <c r="E776" s="1" t="s">
        <v>21</v>
      </c>
      <c r="F776" s="1" t="n">
        <f aca="false">IFERROR('dens_visc_gamma+1hexoh'!B22,"")</f>
        <v>20</v>
      </c>
      <c r="G776" s="1" t="n">
        <f aca="false">IFERROR('dens_visc_gamma+1hexoh'!A27,"")</f>
        <v>0.397668023769591</v>
      </c>
      <c r="H776" s="1" t="n">
        <f aca="false">IFERROR('dens_visc_gamma+1octoh'!B27,"")</f>
        <v>0</v>
      </c>
      <c r="I776" s="1" t="str">
        <f aca="false">IFERROR('dens_visc_gamma+1hexoh'!G27,"")</f>
        <v/>
      </c>
      <c r="J776" s="1" t="n">
        <f aca="false">IFERROR('dens_visc_gamma+1octoh'!B41,"")</f>
        <v>0</v>
      </c>
      <c r="K776" s="1" t="str">
        <f aca="false">IF(AND(ISNUMBER(H776),ISNUMBER(I776),ISNUMBER(J776)),"✓",COUNTIF(H776:J776,"&gt;-999")&amp;"/3")</f>
        <v>2/3</v>
      </c>
    </row>
    <row r="777" customFormat="false" ht="15" hidden="false" customHeight="true" outlineLevel="0" collapsed="false">
      <c r="A777" s="1" t="s">
        <v>43</v>
      </c>
      <c r="B777" s="1" t="s">
        <v>40</v>
      </c>
      <c r="C777" s="1" t="s">
        <v>41</v>
      </c>
      <c r="D777" s="1" t="s">
        <v>20</v>
      </c>
      <c r="E777" s="1" t="s">
        <v>21</v>
      </c>
      <c r="F777" s="1" t="n">
        <f aca="false">IFERROR('dens_visc_gamma+1hexoh'!B22,"")</f>
        <v>20</v>
      </c>
      <c r="G777" s="1" t="n">
        <f aca="false">IFERROR('dens_visc_gamma+1hexoh'!A28,"")</f>
        <v>0.49716431696211</v>
      </c>
      <c r="H777" s="1" t="n">
        <f aca="false">IFERROR('dens_visc_gamma+1octoh'!B28,"")</f>
        <v>0</v>
      </c>
      <c r="I777" s="1" t="str">
        <f aca="false">IFERROR('dens_visc_gamma+1hexoh'!G28,"")</f>
        <v/>
      </c>
      <c r="J777" s="1" t="n">
        <f aca="false">IFERROR('dens_visc_gamma+1octoh'!B42,"")</f>
        <v>0</v>
      </c>
      <c r="K777" s="1" t="str">
        <f aca="false">IF(AND(ISNUMBER(H777),ISNUMBER(I777),ISNUMBER(J777)),"✓",COUNTIF(H777:J777,"&gt;-999")&amp;"/3")</f>
        <v>2/3</v>
      </c>
    </row>
    <row r="778" customFormat="false" ht="15" hidden="false" customHeight="true" outlineLevel="0" collapsed="false">
      <c r="A778" s="1" t="s">
        <v>43</v>
      </c>
      <c r="B778" s="1" t="s">
        <v>40</v>
      </c>
      <c r="C778" s="1" t="s">
        <v>41</v>
      </c>
      <c r="D778" s="1" t="s">
        <v>20</v>
      </c>
      <c r="E778" s="1" t="s">
        <v>21</v>
      </c>
      <c r="F778" s="1" t="n">
        <f aca="false">IFERROR('dens_visc_gamma+1hexoh'!B22,"")</f>
        <v>20</v>
      </c>
      <c r="G778" s="1" t="n">
        <f aca="false">IFERROR('dens_visc_gamma+1hexoh'!A29,"")</f>
        <v>0.596999591452682</v>
      </c>
      <c r="H778" s="1" t="n">
        <f aca="false">IFERROR('dens_visc_gamma+1hexoh'!B29,"")</f>
        <v>0</v>
      </c>
      <c r="I778" s="1" t="str">
        <f aca="false">IFERROR('dens_visc_gamma+1hexoh'!G29,"")</f>
        <v/>
      </c>
      <c r="J778" s="1" t="n">
        <f aca="false">IFERROR('dens_visc_gamma+1hexoh'!B43,"")</f>
        <v>0</v>
      </c>
      <c r="K778" s="1" t="str">
        <f aca="false">IF(AND(ISNUMBER(H778),ISNUMBER(I778),ISNUMBER(J778)),"✓",COUNTIF(H778:J778,"&gt;-999")&amp;"/3")</f>
        <v>2/3</v>
      </c>
    </row>
    <row r="779" customFormat="false" ht="15" hidden="false" customHeight="true" outlineLevel="0" collapsed="false">
      <c r="A779" s="1" t="s">
        <v>43</v>
      </c>
      <c r="B779" s="1" t="s">
        <v>40</v>
      </c>
      <c r="C779" s="1" t="s">
        <v>41</v>
      </c>
      <c r="D779" s="1" t="s">
        <v>20</v>
      </c>
      <c r="E779" s="1" t="s">
        <v>21</v>
      </c>
      <c r="F779" s="1" t="n">
        <f aca="false">IFERROR('dens_visc_gamma+1hexoh'!B22,"")</f>
        <v>20</v>
      </c>
      <c r="G779" s="1" t="n">
        <f aca="false">IFERROR('dens_visc_gamma+1hexoh'!A30,"")</f>
        <v>0.701636821933322</v>
      </c>
      <c r="H779" s="1" t="n">
        <f aca="false">IFERROR('dens_visc_gamma+1hexoh'!B30,"")</f>
        <v>0</v>
      </c>
      <c r="I779" s="1" t="str">
        <f aca="false">IFERROR('dens_visc_gamma+1hexoh'!G30,"")</f>
        <v/>
      </c>
      <c r="J779" s="1" t="n">
        <f aca="false">IFERROR('dens_visc_gamma+1hexoh'!B44,"")</f>
        <v>0</v>
      </c>
      <c r="K779" s="1" t="str">
        <f aca="false">IF(AND(ISNUMBER(H779),ISNUMBER(I779),ISNUMBER(J779)),"✓",COUNTIF(H779:J779,"&gt;-999")&amp;"/3")</f>
        <v>2/3</v>
      </c>
    </row>
    <row r="780" customFormat="false" ht="15" hidden="false" customHeight="true" outlineLevel="0" collapsed="false">
      <c r="A780" s="1" t="s">
        <v>43</v>
      </c>
      <c r="B780" s="1" t="s">
        <v>40</v>
      </c>
      <c r="C780" s="1" t="s">
        <v>41</v>
      </c>
      <c r="D780" s="1" t="s">
        <v>20</v>
      </c>
      <c r="E780" s="1" t="s">
        <v>21</v>
      </c>
      <c r="F780" s="1" t="n">
        <f aca="false">IFERROR('dens_visc_gamma+1hexoh'!B22,"")</f>
        <v>20</v>
      </c>
      <c r="G780" s="1" t="n">
        <f aca="false">IFERROR('dens_visc_gamma+1hexoh'!A31,"")</f>
        <v>0.900853031749634</v>
      </c>
      <c r="H780" s="1" t="n">
        <f aca="false">IFERROR('dens_visc_gamma+1hexoh'!B31,"")</f>
        <v>0</v>
      </c>
      <c r="I780" s="1" t="str">
        <f aca="false">IFERROR('dens_visc_gamma+1hexoh'!G31,"")</f>
        <v/>
      </c>
      <c r="J780" s="1" t="n">
        <f aca="false">IFERROR('dens_visc_gamma+1hexoh'!B45,"")</f>
        <v>0</v>
      </c>
      <c r="K780" s="1" t="str">
        <f aca="false">IF(AND(ISNUMBER(H780),ISNUMBER(I780),ISNUMBER(J780)),"✓",COUNTIF(H780:J780,"&gt;-999")&amp;"/3")</f>
        <v>2/3</v>
      </c>
    </row>
    <row r="781" customFormat="false" ht="15" hidden="false" customHeight="true" outlineLevel="0" collapsed="false">
      <c r="A781" s="1" t="s">
        <v>43</v>
      </c>
      <c r="B781" s="1" t="s">
        <v>40</v>
      </c>
      <c r="C781" s="1" t="s">
        <v>41</v>
      </c>
      <c r="D781" s="1" t="s">
        <v>20</v>
      </c>
      <c r="E781" s="1" t="s">
        <v>21</v>
      </c>
      <c r="F781" s="1" t="n">
        <f aca="false">IFERROR('dens_visc_gamma+1hexoh'!B22,"")</f>
        <v>20</v>
      </c>
      <c r="G781" s="1" t="n">
        <f aca="false">IFERROR('dens_visc_gamma+1hexoh'!A32,"")</f>
        <v>0.80399324667993</v>
      </c>
      <c r="H781" s="1" t="n">
        <f aca="false">IFERROR('dens_visc_gamma+1hexoh'!B32,"")</f>
        <v>0</v>
      </c>
      <c r="I781" s="1" t="str">
        <f aca="false">IFERROR('dens_visc_gamma+1hexoh'!G32,"")</f>
        <v/>
      </c>
      <c r="J781" s="1" t="n">
        <f aca="false">IFERROR('dens_visc_gamma+1hexoh'!B46,"")</f>
        <v>0</v>
      </c>
      <c r="K781" s="1" t="str">
        <f aca="false">IF(AND(ISNUMBER(H781),ISNUMBER(I781),ISNUMBER(J781)),"✓",COUNTIF(H781:J781,"&gt;-999")&amp;"/3")</f>
        <v>2/3</v>
      </c>
    </row>
    <row r="782" customFormat="false" ht="15" hidden="false" customHeight="true" outlineLevel="0" collapsed="false">
      <c r="A782" s="1" t="s">
        <v>43</v>
      </c>
      <c r="B782" s="1" t="s">
        <v>40</v>
      </c>
      <c r="C782" s="1" t="s">
        <v>41</v>
      </c>
      <c r="D782" s="1" t="s">
        <v>20</v>
      </c>
      <c r="E782" s="1" t="s">
        <v>21</v>
      </c>
      <c r="F782" s="1" t="n">
        <f aca="false">IFERROR('dens_visc_gamma+1hexoh'!B22,"")</f>
        <v>20</v>
      </c>
      <c r="G782" s="1" t="n">
        <f aca="false">IFERROR('dens_visc_gamma+1hexoh'!A33,"")</f>
        <v>1</v>
      </c>
      <c r="H782" s="1" t="n">
        <f aca="false">IFERROR('dens_visc_gamma+1hexoh'!B33,"")</f>
        <v>0.95292</v>
      </c>
      <c r="I782" s="1" t="n">
        <f aca="false">IFERROR('dens_visc_gamma+1hexoh'!G33,"")</f>
        <v>0</v>
      </c>
      <c r="J782" s="1" t="n">
        <f aca="false">IFERROR('dens_visc_gamma+1hexoh'!B47,"")</f>
        <v>6.574</v>
      </c>
      <c r="K782" s="1" t="str">
        <f aca="false">IF(AND(ISNUMBER(H782),ISNUMBER(I782),ISNUMBER(J782)),"✓",COUNTIF(H782:J782,"&gt;-999")&amp;"/3")</f>
        <v>✓</v>
      </c>
    </row>
    <row r="783" customFormat="false" ht="15" hidden="false" customHeight="true" outlineLevel="0" collapsed="false">
      <c r="A783" s="1" t="s">
        <v>43</v>
      </c>
      <c r="B783" s="1" t="s">
        <v>40</v>
      </c>
      <c r="C783" s="1" t="s">
        <v>41</v>
      </c>
      <c r="D783" s="1" t="s">
        <v>20</v>
      </c>
      <c r="E783" s="1" t="s">
        <v>21</v>
      </c>
      <c r="F783" s="1" t="n">
        <f aca="false">IFERROR('dens_visc_gamma+1hexoh'!C22,"")</f>
        <v>30</v>
      </c>
      <c r="G783" s="1" t="n">
        <f aca="false">IFERROR('dens_visc_gamma+1hexoh'!A23,"")</f>
        <v>0</v>
      </c>
      <c r="H783" s="1" t="n">
        <f aca="false">IFERROR('dens_visc_gamma+1hexoh'!C23,"")</f>
        <v>0.81174</v>
      </c>
      <c r="I783" s="1" t="n">
        <f aca="false">IFERROR('dens_visc_gamma+1hexoh'!H23,"")</f>
        <v>0</v>
      </c>
      <c r="J783" s="1" t="n">
        <f aca="false">IFERROR('dens_visc_gamma+1hexoh'!C37,"")</f>
        <v>3.881</v>
      </c>
      <c r="K783" s="1" t="str">
        <f aca="false">IF(AND(ISNUMBER(H783),ISNUMBER(I783),ISNUMBER(J783)),"✓",COUNTIF(H783:J783,"&gt;-999")&amp;"/3")</f>
        <v>✓</v>
      </c>
    </row>
    <row r="784" customFormat="false" ht="15" hidden="false" customHeight="true" outlineLevel="0" collapsed="false">
      <c r="A784" s="1" t="s">
        <v>43</v>
      </c>
      <c r="B784" s="1" t="s">
        <v>40</v>
      </c>
      <c r="C784" s="1" t="s">
        <v>41</v>
      </c>
      <c r="D784" s="1" t="s">
        <v>20</v>
      </c>
      <c r="E784" s="1" t="s">
        <v>21</v>
      </c>
      <c r="F784" s="1" t="n">
        <f aca="false">IFERROR('dens_visc_gamma+1hexoh'!C22,"")</f>
        <v>30</v>
      </c>
      <c r="G784" s="1" t="n">
        <f aca="false">IFERROR('dens_visc_gamma+1hexoh'!A24,"")</f>
        <v>0.100264238516477</v>
      </c>
      <c r="H784" s="1" t="e">
        <f aca="false">IFERROR('dens_visc_gamma+1hexoh'!#ref!,"")</f>
        <v>#VALUE!</v>
      </c>
      <c r="I784" s="1" t="str">
        <f aca="false">IFERROR('dens_visc_gamma+1hexoh'!H24,"")</f>
        <v/>
      </c>
      <c r="J784" s="1" t="n">
        <f aca="false">IFERROR('dens_visc_gamma+1octoh'!C24,"")</f>
        <v>0</v>
      </c>
      <c r="K784" s="1" t="str">
        <f aca="false">IF(AND(ISNUMBER(H784),ISNUMBER(I784),ISNUMBER(J784)),"✓",COUNTIF(H784:J784,"&gt;-999")&amp;"/3")</f>
        <v>1/3</v>
      </c>
    </row>
    <row r="785" customFormat="false" ht="15" hidden="false" customHeight="true" outlineLevel="0" collapsed="false">
      <c r="A785" s="1" t="s">
        <v>43</v>
      </c>
      <c r="B785" s="1" t="s">
        <v>40</v>
      </c>
      <c r="C785" s="1" t="s">
        <v>41</v>
      </c>
      <c r="D785" s="1" t="s">
        <v>20</v>
      </c>
      <c r="E785" s="1" t="s">
        <v>21</v>
      </c>
      <c r="F785" s="1" t="n">
        <f aca="false">IFERROR('dens_visc_gamma+1hexoh'!C22,"")</f>
        <v>30</v>
      </c>
      <c r="G785" s="1" t="n">
        <f aca="false">IFERROR('dens_visc_gamma+1hexoh'!A25,"")</f>
        <v>0.201663327667688</v>
      </c>
      <c r="H785" s="1" t="n">
        <f aca="false">IFERROR('dens_visc_gamma+1octoh'!C25,"")</f>
        <v>0</v>
      </c>
      <c r="I785" s="1" t="str">
        <f aca="false">IFERROR('dens_visc_gamma+1hexoh'!H25,"")</f>
        <v/>
      </c>
      <c r="J785" s="1" t="n">
        <f aca="false">IFERROR('dens_visc_gamma+1octoh'!C39,"")</f>
        <v>0</v>
      </c>
      <c r="K785" s="1" t="str">
        <f aca="false">IF(AND(ISNUMBER(H785),ISNUMBER(I785),ISNUMBER(J785)),"✓",COUNTIF(H785:J785,"&gt;-999")&amp;"/3")</f>
        <v>2/3</v>
      </c>
    </row>
    <row r="786" customFormat="false" ht="15" hidden="false" customHeight="true" outlineLevel="0" collapsed="false">
      <c r="A786" s="1" t="s">
        <v>43</v>
      </c>
      <c r="B786" s="1" t="s">
        <v>40</v>
      </c>
      <c r="C786" s="1" t="s">
        <v>41</v>
      </c>
      <c r="D786" s="1" t="s">
        <v>20</v>
      </c>
      <c r="E786" s="1" t="s">
        <v>21</v>
      </c>
      <c r="F786" s="1" t="n">
        <f aca="false">IFERROR('dens_visc_gamma+1hexoh'!C22,"")</f>
        <v>30</v>
      </c>
      <c r="G786" s="1" t="n">
        <f aca="false">IFERROR('dens_visc_gamma+1hexoh'!A26,"")</f>
        <v>0.294719078979337</v>
      </c>
      <c r="H786" s="1" t="n">
        <f aca="false">IFERROR('dens_visc_gamma+1octoh'!C26,"")</f>
        <v>0</v>
      </c>
      <c r="I786" s="1" t="str">
        <f aca="false">IFERROR('dens_visc_gamma+1hexoh'!H26,"")</f>
        <v/>
      </c>
      <c r="J786" s="1" t="n">
        <f aca="false">IFERROR('dens_visc_gamma+1octoh'!C40,"")</f>
        <v>0</v>
      </c>
      <c r="K786" s="1" t="str">
        <f aca="false">IF(AND(ISNUMBER(H786),ISNUMBER(I786),ISNUMBER(J786)),"✓",COUNTIF(H786:J786,"&gt;-999")&amp;"/3")</f>
        <v>2/3</v>
      </c>
    </row>
    <row r="787" customFormat="false" ht="15" hidden="false" customHeight="true" outlineLevel="0" collapsed="false">
      <c r="A787" s="1" t="s">
        <v>43</v>
      </c>
      <c r="B787" s="1" t="s">
        <v>40</v>
      </c>
      <c r="C787" s="1" t="s">
        <v>41</v>
      </c>
      <c r="D787" s="1" t="s">
        <v>20</v>
      </c>
      <c r="E787" s="1" t="s">
        <v>21</v>
      </c>
      <c r="F787" s="1" t="n">
        <f aca="false">IFERROR('dens_visc_gamma+1hexoh'!C22,"")</f>
        <v>30</v>
      </c>
      <c r="G787" s="1" t="n">
        <f aca="false">IFERROR('dens_visc_gamma+1hexoh'!A27,"")</f>
        <v>0.397668023769591</v>
      </c>
      <c r="H787" s="1" t="n">
        <f aca="false">IFERROR('dens_visc_gamma+1octoh'!C27,"")</f>
        <v>0</v>
      </c>
      <c r="I787" s="1" t="str">
        <f aca="false">IFERROR('dens_visc_gamma+1hexoh'!H27,"")</f>
        <v/>
      </c>
      <c r="J787" s="1" t="n">
        <f aca="false">IFERROR('dens_visc_gamma+1octoh'!C41,"")</f>
        <v>0</v>
      </c>
      <c r="K787" s="1" t="str">
        <f aca="false">IF(AND(ISNUMBER(H787),ISNUMBER(I787),ISNUMBER(J787)),"✓",COUNTIF(H787:J787,"&gt;-999")&amp;"/3")</f>
        <v>2/3</v>
      </c>
    </row>
    <row r="788" customFormat="false" ht="15" hidden="false" customHeight="true" outlineLevel="0" collapsed="false">
      <c r="A788" s="1" t="s">
        <v>43</v>
      </c>
      <c r="B788" s="1" t="s">
        <v>40</v>
      </c>
      <c r="C788" s="1" t="s">
        <v>41</v>
      </c>
      <c r="D788" s="1" t="s">
        <v>20</v>
      </c>
      <c r="E788" s="1" t="s">
        <v>21</v>
      </c>
      <c r="F788" s="1" t="n">
        <f aca="false">IFERROR('dens_visc_gamma+1hexoh'!C22,"")</f>
        <v>30</v>
      </c>
      <c r="G788" s="1" t="n">
        <f aca="false">IFERROR('dens_visc_gamma+1hexoh'!A28,"")</f>
        <v>0.49716431696211</v>
      </c>
      <c r="H788" s="1" t="n">
        <f aca="false">IFERROR('dens_visc_gamma+1octoh'!C28,"")</f>
        <v>0</v>
      </c>
      <c r="I788" s="1" t="str">
        <f aca="false">IFERROR('dens_visc_gamma+1hexoh'!H28,"")</f>
        <v/>
      </c>
      <c r="J788" s="1" t="n">
        <f aca="false">IFERROR('dens_visc_gamma+1octoh'!C42,"")</f>
        <v>0</v>
      </c>
      <c r="K788" s="1" t="str">
        <f aca="false">IF(AND(ISNUMBER(H788),ISNUMBER(I788),ISNUMBER(J788)),"✓",COUNTIF(H788:J788,"&gt;-999")&amp;"/3")</f>
        <v>2/3</v>
      </c>
    </row>
    <row r="789" customFormat="false" ht="15" hidden="false" customHeight="true" outlineLevel="0" collapsed="false">
      <c r="A789" s="1" t="s">
        <v>43</v>
      </c>
      <c r="B789" s="1" t="s">
        <v>40</v>
      </c>
      <c r="C789" s="1" t="s">
        <v>41</v>
      </c>
      <c r="D789" s="1" t="s">
        <v>20</v>
      </c>
      <c r="E789" s="1" t="s">
        <v>21</v>
      </c>
      <c r="F789" s="1" t="n">
        <f aca="false">IFERROR('dens_visc_gamma+1hexoh'!C22,"")</f>
        <v>30</v>
      </c>
      <c r="G789" s="1" t="n">
        <f aca="false">IFERROR('dens_visc_gamma+1hexoh'!A29,"")</f>
        <v>0.596999591452682</v>
      </c>
      <c r="H789" s="1" t="n">
        <f aca="false">IFERROR('dens_visc_gamma+1hexoh'!C29,"")</f>
        <v>0</v>
      </c>
      <c r="I789" s="1" t="str">
        <f aca="false">IFERROR('dens_visc_gamma+1hexoh'!H29,"")</f>
        <v/>
      </c>
      <c r="J789" s="1" t="n">
        <f aca="false">IFERROR('dens_visc_gamma+1hexoh'!C43,"")</f>
        <v>0</v>
      </c>
      <c r="K789" s="1" t="str">
        <f aca="false">IF(AND(ISNUMBER(H789),ISNUMBER(I789),ISNUMBER(J789)),"✓",COUNTIF(H789:J789,"&gt;-999")&amp;"/3")</f>
        <v>2/3</v>
      </c>
    </row>
    <row r="790" customFormat="false" ht="15" hidden="false" customHeight="true" outlineLevel="0" collapsed="false">
      <c r="A790" s="1" t="s">
        <v>43</v>
      </c>
      <c r="B790" s="1" t="s">
        <v>40</v>
      </c>
      <c r="C790" s="1" t="s">
        <v>41</v>
      </c>
      <c r="D790" s="1" t="s">
        <v>20</v>
      </c>
      <c r="E790" s="1" t="s">
        <v>21</v>
      </c>
      <c r="F790" s="1" t="n">
        <f aca="false">IFERROR('dens_visc_gamma+1hexoh'!C22,"")</f>
        <v>30</v>
      </c>
      <c r="G790" s="1" t="n">
        <f aca="false">IFERROR('dens_visc_gamma+1hexoh'!A30,"")</f>
        <v>0.701636821933322</v>
      </c>
      <c r="H790" s="1" t="n">
        <f aca="false">IFERROR('dens_visc_gamma+1hexoh'!C30,"")</f>
        <v>0</v>
      </c>
      <c r="I790" s="1" t="str">
        <f aca="false">IFERROR('dens_visc_gamma+1hexoh'!H30,"")</f>
        <v/>
      </c>
      <c r="J790" s="1" t="n">
        <f aca="false">IFERROR('dens_visc_gamma+1hexoh'!C44,"")</f>
        <v>0</v>
      </c>
      <c r="K790" s="1" t="str">
        <f aca="false">IF(AND(ISNUMBER(H790),ISNUMBER(I790),ISNUMBER(J790)),"✓",COUNTIF(H790:J790,"&gt;-999")&amp;"/3")</f>
        <v>2/3</v>
      </c>
    </row>
    <row r="791" customFormat="false" ht="15" hidden="false" customHeight="true" outlineLevel="0" collapsed="false">
      <c r="A791" s="1" t="s">
        <v>43</v>
      </c>
      <c r="B791" s="1" t="s">
        <v>40</v>
      </c>
      <c r="C791" s="1" t="s">
        <v>41</v>
      </c>
      <c r="D791" s="1" t="s">
        <v>20</v>
      </c>
      <c r="E791" s="1" t="s">
        <v>21</v>
      </c>
      <c r="F791" s="1" t="n">
        <f aca="false">IFERROR('dens_visc_gamma+1hexoh'!C22,"")</f>
        <v>30</v>
      </c>
      <c r="G791" s="1" t="n">
        <f aca="false">IFERROR('dens_visc_gamma+1hexoh'!A31,"")</f>
        <v>0.900853031749634</v>
      </c>
      <c r="H791" s="1" t="n">
        <f aca="false">IFERROR('dens_visc_gamma+1hexoh'!C31,"")</f>
        <v>0</v>
      </c>
      <c r="I791" s="1" t="str">
        <f aca="false">IFERROR('dens_visc_gamma+1hexoh'!H31,"")</f>
        <v/>
      </c>
      <c r="J791" s="1" t="n">
        <f aca="false">IFERROR('dens_visc_gamma+1hexoh'!C45,"")</f>
        <v>0</v>
      </c>
      <c r="K791" s="1" t="str">
        <f aca="false">IF(AND(ISNUMBER(H791),ISNUMBER(I791),ISNUMBER(J791)),"✓",COUNTIF(H791:J791,"&gt;-999")&amp;"/3")</f>
        <v>2/3</v>
      </c>
    </row>
    <row r="792" customFormat="false" ht="15" hidden="false" customHeight="true" outlineLevel="0" collapsed="false">
      <c r="A792" s="1" t="s">
        <v>43</v>
      </c>
      <c r="B792" s="1" t="s">
        <v>40</v>
      </c>
      <c r="C792" s="1" t="s">
        <v>41</v>
      </c>
      <c r="D792" s="1" t="s">
        <v>20</v>
      </c>
      <c r="E792" s="1" t="s">
        <v>21</v>
      </c>
      <c r="F792" s="1" t="n">
        <f aca="false">IFERROR('dens_visc_gamma+1hexoh'!C22,"")</f>
        <v>30</v>
      </c>
      <c r="G792" s="1" t="n">
        <f aca="false">IFERROR('dens_visc_gamma+1hexoh'!A32,"")</f>
        <v>0.80399324667993</v>
      </c>
      <c r="H792" s="1" t="n">
        <f aca="false">IFERROR('dens_visc_gamma+1hexoh'!C32,"")</f>
        <v>0</v>
      </c>
      <c r="I792" s="1" t="str">
        <f aca="false">IFERROR('dens_visc_gamma+1hexoh'!H32,"")</f>
        <v/>
      </c>
      <c r="J792" s="1" t="n">
        <f aca="false">IFERROR('dens_visc_gamma+1hexoh'!C46,"")</f>
        <v>0</v>
      </c>
      <c r="K792" s="1" t="str">
        <f aca="false">IF(AND(ISNUMBER(H792),ISNUMBER(I792),ISNUMBER(J792)),"✓",COUNTIF(H792:J792,"&gt;-999")&amp;"/3")</f>
        <v>2/3</v>
      </c>
    </row>
    <row r="793" customFormat="false" ht="15" hidden="false" customHeight="true" outlineLevel="0" collapsed="false">
      <c r="A793" s="1" t="s">
        <v>43</v>
      </c>
      <c r="B793" s="1" t="s">
        <v>40</v>
      </c>
      <c r="C793" s="1" t="s">
        <v>41</v>
      </c>
      <c r="D793" s="1" t="s">
        <v>20</v>
      </c>
      <c r="E793" s="1" t="s">
        <v>21</v>
      </c>
      <c r="F793" s="1" t="n">
        <f aca="false">IFERROR('dens_visc_gamma+1hexoh'!C22,"")</f>
        <v>30</v>
      </c>
      <c r="G793" s="1" t="n">
        <f aca="false">IFERROR('dens_visc_gamma+1hexoh'!A33,"")</f>
        <v>1</v>
      </c>
      <c r="H793" s="1" t="n">
        <f aca="false">IFERROR('dens_visc_gamma+1hexoh'!C33,"")</f>
        <v>0.94536</v>
      </c>
      <c r="I793" s="1" t="n">
        <f aca="false">IFERROR('dens_visc_gamma+1hexoh'!H33,"")</f>
        <v>0</v>
      </c>
      <c r="J793" s="1" t="n">
        <f aca="false">IFERROR('dens_visc_gamma+1hexoh'!C47,"")</f>
        <v>4.821</v>
      </c>
      <c r="K793" s="1" t="str">
        <f aca="false">IF(AND(ISNUMBER(H793),ISNUMBER(I793),ISNUMBER(J793)),"✓",COUNTIF(H793:J793,"&gt;-999")&amp;"/3")</f>
        <v>✓</v>
      </c>
    </row>
    <row r="794" customFormat="false" ht="15" hidden="false" customHeight="true" outlineLevel="0" collapsed="false">
      <c r="A794" s="1" t="s">
        <v>43</v>
      </c>
      <c r="B794" s="1" t="s">
        <v>40</v>
      </c>
      <c r="C794" s="1" t="s">
        <v>41</v>
      </c>
      <c r="D794" s="1" t="s">
        <v>20</v>
      </c>
      <c r="E794" s="1" t="s">
        <v>21</v>
      </c>
      <c r="F794" s="1" t="n">
        <f aca="false">IFERROR('dens_visc_gamma+1hexoh'!D22,"")</f>
        <v>40</v>
      </c>
      <c r="G794" s="1" t="n">
        <f aca="false">IFERROR('dens_visc_gamma+1hexoh'!A23,"")</f>
        <v>0</v>
      </c>
      <c r="H794" s="1" t="n">
        <f aca="false">IFERROR('dens_visc_gamma+1hexoh'!D23,"")</f>
        <v>0.80455</v>
      </c>
      <c r="I794" s="1" t="n">
        <f aca="false">IFERROR('dens_visc_gamma+1hexoh'!I23,"")</f>
        <v>0</v>
      </c>
      <c r="J794" s="1" t="n">
        <f aca="false">IFERROR('dens_visc_gamma+1hexoh'!D37,"")</f>
        <v>2.919</v>
      </c>
      <c r="K794" s="1" t="str">
        <f aca="false">IF(AND(ISNUMBER(H794),ISNUMBER(I794),ISNUMBER(J794)),"✓",COUNTIF(H794:J794,"&gt;-999")&amp;"/3")</f>
        <v>✓</v>
      </c>
    </row>
    <row r="795" customFormat="false" ht="15" hidden="false" customHeight="true" outlineLevel="0" collapsed="false">
      <c r="A795" s="1" t="s">
        <v>43</v>
      </c>
      <c r="B795" s="1" t="s">
        <v>40</v>
      </c>
      <c r="C795" s="1" t="s">
        <v>41</v>
      </c>
      <c r="D795" s="1" t="s">
        <v>20</v>
      </c>
      <c r="E795" s="1" t="s">
        <v>21</v>
      </c>
      <c r="F795" s="1" t="n">
        <f aca="false">IFERROR('dens_visc_gamma+1hexoh'!D22,"")</f>
        <v>40</v>
      </c>
      <c r="G795" s="1" t="n">
        <f aca="false">IFERROR('dens_visc_gamma+1hexoh'!A24,"")</f>
        <v>0.100264238516477</v>
      </c>
      <c r="H795" s="1" t="e">
        <f aca="false">IFERROR('dens_visc_gamma+1hexoh'!#ref!,"")</f>
        <v>#VALUE!</v>
      </c>
      <c r="I795" s="1" t="str">
        <f aca="false">IFERROR('dens_visc_gamma+1hexoh'!I24,"")</f>
        <v/>
      </c>
      <c r="J795" s="1" t="n">
        <f aca="false">IFERROR('dens_visc_gamma+1octoh'!D24,"")</f>
        <v>0</v>
      </c>
      <c r="K795" s="1" t="str">
        <f aca="false">IF(AND(ISNUMBER(H795),ISNUMBER(I795),ISNUMBER(J795)),"✓",COUNTIF(H795:J795,"&gt;-999")&amp;"/3")</f>
        <v>1/3</v>
      </c>
    </row>
    <row r="796" customFormat="false" ht="15" hidden="false" customHeight="true" outlineLevel="0" collapsed="false">
      <c r="A796" s="1" t="s">
        <v>43</v>
      </c>
      <c r="B796" s="1" t="s">
        <v>40</v>
      </c>
      <c r="C796" s="1" t="s">
        <v>41</v>
      </c>
      <c r="D796" s="1" t="s">
        <v>20</v>
      </c>
      <c r="E796" s="1" t="s">
        <v>21</v>
      </c>
      <c r="F796" s="1" t="n">
        <f aca="false">IFERROR('dens_visc_gamma+1hexoh'!D22,"")</f>
        <v>40</v>
      </c>
      <c r="G796" s="1" t="n">
        <f aca="false">IFERROR('dens_visc_gamma+1hexoh'!A25,"")</f>
        <v>0.201663327667688</v>
      </c>
      <c r="H796" s="1" t="n">
        <f aca="false">IFERROR('dens_visc_gamma+1octoh'!D25,"")</f>
        <v>0</v>
      </c>
      <c r="I796" s="1" t="str">
        <f aca="false">IFERROR('dens_visc_gamma+1hexoh'!I25,"")</f>
        <v/>
      </c>
      <c r="J796" s="1" t="n">
        <f aca="false">IFERROR('dens_visc_gamma+1octoh'!D39,"")</f>
        <v>0</v>
      </c>
      <c r="K796" s="1" t="str">
        <f aca="false">IF(AND(ISNUMBER(H796),ISNUMBER(I796),ISNUMBER(J796)),"✓",COUNTIF(H796:J796,"&gt;-999")&amp;"/3")</f>
        <v>2/3</v>
      </c>
    </row>
    <row r="797" customFormat="false" ht="15" hidden="false" customHeight="true" outlineLevel="0" collapsed="false">
      <c r="A797" s="1" t="s">
        <v>43</v>
      </c>
      <c r="B797" s="1" t="s">
        <v>40</v>
      </c>
      <c r="C797" s="1" t="s">
        <v>41</v>
      </c>
      <c r="D797" s="1" t="s">
        <v>20</v>
      </c>
      <c r="E797" s="1" t="s">
        <v>21</v>
      </c>
      <c r="F797" s="1" t="n">
        <f aca="false">IFERROR('dens_visc_gamma+1hexoh'!D22,"")</f>
        <v>40</v>
      </c>
      <c r="G797" s="1" t="n">
        <f aca="false">IFERROR('dens_visc_gamma+1hexoh'!A26,"")</f>
        <v>0.294719078979337</v>
      </c>
      <c r="H797" s="1" t="n">
        <f aca="false">IFERROR('dens_visc_gamma+1octoh'!D26,"")</f>
        <v>0</v>
      </c>
      <c r="I797" s="1" t="str">
        <f aca="false">IFERROR('dens_visc_gamma+1hexoh'!I26,"")</f>
        <v/>
      </c>
      <c r="J797" s="1" t="n">
        <f aca="false">IFERROR('dens_visc_gamma+1octoh'!D40,"")</f>
        <v>0</v>
      </c>
      <c r="K797" s="1" t="str">
        <f aca="false">IF(AND(ISNUMBER(H797),ISNUMBER(I797),ISNUMBER(J797)),"✓",COUNTIF(H797:J797,"&gt;-999")&amp;"/3")</f>
        <v>2/3</v>
      </c>
    </row>
    <row r="798" customFormat="false" ht="15" hidden="false" customHeight="true" outlineLevel="0" collapsed="false">
      <c r="A798" s="1" t="s">
        <v>43</v>
      </c>
      <c r="B798" s="1" t="s">
        <v>40</v>
      </c>
      <c r="C798" s="1" t="s">
        <v>41</v>
      </c>
      <c r="D798" s="1" t="s">
        <v>20</v>
      </c>
      <c r="E798" s="1" t="s">
        <v>21</v>
      </c>
      <c r="F798" s="1" t="n">
        <f aca="false">IFERROR('dens_visc_gamma+1hexoh'!D22,"")</f>
        <v>40</v>
      </c>
      <c r="G798" s="1" t="n">
        <f aca="false">IFERROR('dens_visc_gamma+1hexoh'!A27,"")</f>
        <v>0.397668023769591</v>
      </c>
      <c r="H798" s="1" t="n">
        <f aca="false">IFERROR('dens_visc_gamma+1octoh'!D27,"")</f>
        <v>0</v>
      </c>
      <c r="I798" s="1" t="str">
        <f aca="false">IFERROR('dens_visc_gamma+1hexoh'!I27,"")</f>
        <v/>
      </c>
      <c r="J798" s="1" t="n">
        <f aca="false">IFERROR('dens_visc_gamma+1octoh'!D41,"")</f>
        <v>0</v>
      </c>
      <c r="K798" s="1" t="str">
        <f aca="false">IF(AND(ISNUMBER(H798),ISNUMBER(I798),ISNUMBER(J798)),"✓",COUNTIF(H798:J798,"&gt;-999")&amp;"/3")</f>
        <v>2/3</v>
      </c>
    </row>
    <row r="799" customFormat="false" ht="15" hidden="false" customHeight="true" outlineLevel="0" collapsed="false">
      <c r="A799" s="1" t="s">
        <v>43</v>
      </c>
      <c r="B799" s="1" t="s">
        <v>40</v>
      </c>
      <c r="C799" s="1" t="s">
        <v>41</v>
      </c>
      <c r="D799" s="1" t="s">
        <v>20</v>
      </c>
      <c r="E799" s="1" t="s">
        <v>21</v>
      </c>
      <c r="F799" s="1" t="n">
        <f aca="false">IFERROR('dens_visc_gamma+1hexoh'!D22,"")</f>
        <v>40</v>
      </c>
      <c r="G799" s="1" t="n">
        <f aca="false">IFERROR('dens_visc_gamma+1hexoh'!A28,"")</f>
        <v>0.49716431696211</v>
      </c>
      <c r="H799" s="1" t="n">
        <f aca="false">IFERROR('dens_visc_gamma+1octoh'!D28,"")</f>
        <v>0</v>
      </c>
      <c r="I799" s="1" t="str">
        <f aca="false">IFERROR('dens_visc_gamma+1hexoh'!I28,"")</f>
        <v/>
      </c>
      <c r="J799" s="1" t="n">
        <f aca="false">IFERROR('dens_visc_gamma+1octoh'!D42,"")</f>
        <v>0</v>
      </c>
      <c r="K799" s="1" t="str">
        <f aca="false">IF(AND(ISNUMBER(H799),ISNUMBER(I799),ISNUMBER(J799)),"✓",COUNTIF(H799:J799,"&gt;-999")&amp;"/3")</f>
        <v>2/3</v>
      </c>
    </row>
    <row r="800" customFormat="false" ht="15" hidden="false" customHeight="true" outlineLevel="0" collapsed="false">
      <c r="A800" s="1" t="s">
        <v>43</v>
      </c>
      <c r="B800" s="1" t="s">
        <v>40</v>
      </c>
      <c r="C800" s="1" t="s">
        <v>41</v>
      </c>
      <c r="D800" s="1" t="s">
        <v>20</v>
      </c>
      <c r="E800" s="1" t="s">
        <v>21</v>
      </c>
      <c r="F800" s="1" t="n">
        <f aca="false">IFERROR('dens_visc_gamma+1hexoh'!D22,"")</f>
        <v>40</v>
      </c>
      <c r="G800" s="1" t="n">
        <f aca="false">IFERROR('dens_visc_gamma+1hexoh'!A29,"")</f>
        <v>0.596999591452682</v>
      </c>
      <c r="H800" s="1" t="n">
        <f aca="false">IFERROR('dens_visc_gamma+1hexoh'!D29,"")</f>
        <v>0</v>
      </c>
      <c r="I800" s="1" t="str">
        <f aca="false">IFERROR('dens_visc_gamma+1hexoh'!I29,"")</f>
        <v/>
      </c>
      <c r="J800" s="1" t="n">
        <f aca="false">IFERROR('dens_visc_gamma+1hexoh'!D43,"")</f>
        <v>0</v>
      </c>
      <c r="K800" s="1" t="str">
        <f aca="false">IF(AND(ISNUMBER(H800),ISNUMBER(I800),ISNUMBER(J800)),"✓",COUNTIF(H800:J800,"&gt;-999")&amp;"/3")</f>
        <v>2/3</v>
      </c>
    </row>
    <row r="801" customFormat="false" ht="15" hidden="false" customHeight="true" outlineLevel="0" collapsed="false">
      <c r="A801" s="1" t="s">
        <v>43</v>
      </c>
      <c r="B801" s="1" t="s">
        <v>40</v>
      </c>
      <c r="C801" s="1" t="s">
        <v>41</v>
      </c>
      <c r="D801" s="1" t="s">
        <v>20</v>
      </c>
      <c r="E801" s="1" t="s">
        <v>21</v>
      </c>
      <c r="F801" s="1" t="n">
        <f aca="false">IFERROR('dens_visc_gamma+1hexoh'!D22,"")</f>
        <v>40</v>
      </c>
      <c r="G801" s="1" t="n">
        <f aca="false">IFERROR('dens_visc_gamma+1hexoh'!A30,"")</f>
        <v>0.701636821933322</v>
      </c>
      <c r="H801" s="1" t="n">
        <f aca="false">IFERROR('dens_visc_gamma+1hexoh'!D30,"")</f>
        <v>0</v>
      </c>
      <c r="I801" s="1" t="str">
        <f aca="false">IFERROR('dens_visc_gamma+1hexoh'!I30,"")</f>
        <v/>
      </c>
      <c r="J801" s="1" t="n">
        <f aca="false">IFERROR('dens_visc_gamma+1hexoh'!D44,"")</f>
        <v>0</v>
      </c>
      <c r="K801" s="1" t="str">
        <f aca="false">IF(AND(ISNUMBER(H801),ISNUMBER(I801),ISNUMBER(J801)),"✓",COUNTIF(H801:J801,"&gt;-999")&amp;"/3")</f>
        <v>2/3</v>
      </c>
    </row>
    <row r="802" customFormat="false" ht="15" hidden="false" customHeight="true" outlineLevel="0" collapsed="false">
      <c r="A802" s="1" t="s">
        <v>43</v>
      </c>
      <c r="B802" s="1" t="s">
        <v>40</v>
      </c>
      <c r="C802" s="1" t="s">
        <v>41</v>
      </c>
      <c r="D802" s="1" t="s">
        <v>20</v>
      </c>
      <c r="E802" s="1" t="s">
        <v>21</v>
      </c>
      <c r="F802" s="1" t="n">
        <f aca="false">IFERROR('dens_visc_gamma+1hexoh'!D22,"")</f>
        <v>40</v>
      </c>
      <c r="G802" s="1" t="n">
        <f aca="false">IFERROR('dens_visc_gamma+1hexoh'!A31,"")</f>
        <v>0.900853031749634</v>
      </c>
      <c r="H802" s="1" t="n">
        <f aca="false">IFERROR('dens_visc_gamma+1hexoh'!D31,"")</f>
        <v>0</v>
      </c>
      <c r="I802" s="1" t="str">
        <f aca="false">IFERROR('dens_visc_gamma+1hexoh'!I31,"")</f>
        <v/>
      </c>
      <c r="J802" s="1" t="n">
        <f aca="false">IFERROR('dens_visc_gamma+1hexoh'!D45,"")</f>
        <v>0</v>
      </c>
      <c r="K802" s="1" t="str">
        <f aca="false">IF(AND(ISNUMBER(H802),ISNUMBER(I802),ISNUMBER(J802)),"✓",COUNTIF(H802:J802,"&gt;-999")&amp;"/3")</f>
        <v>2/3</v>
      </c>
    </row>
    <row r="803" customFormat="false" ht="15" hidden="false" customHeight="true" outlineLevel="0" collapsed="false">
      <c r="A803" s="1" t="s">
        <v>43</v>
      </c>
      <c r="B803" s="1" t="s">
        <v>40</v>
      </c>
      <c r="C803" s="1" t="s">
        <v>41</v>
      </c>
      <c r="D803" s="1" t="s">
        <v>20</v>
      </c>
      <c r="E803" s="1" t="s">
        <v>21</v>
      </c>
      <c r="F803" s="1" t="n">
        <f aca="false">IFERROR('dens_visc_gamma+1hexoh'!D22,"")</f>
        <v>40</v>
      </c>
      <c r="G803" s="1" t="n">
        <f aca="false">IFERROR('dens_visc_gamma+1hexoh'!A32,"")</f>
        <v>0.80399324667993</v>
      </c>
      <c r="H803" s="1" t="n">
        <f aca="false">IFERROR('dens_visc_gamma+1hexoh'!D32,"")</f>
        <v>0</v>
      </c>
      <c r="I803" s="1" t="str">
        <f aca="false">IFERROR('dens_visc_gamma+1hexoh'!I32,"")</f>
        <v/>
      </c>
      <c r="J803" s="1" t="n">
        <f aca="false">IFERROR('dens_visc_gamma+1hexoh'!D46,"")</f>
        <v>0</v>
      </c>
      <c r="K803" s="1" t="str">
        <f aca="false">IF(AND(ISNUMBER(H803),ISNUMBER(I803),ISNUMBER(J803)),"✓",COUNTIF(H803:J803,"&gt;-999")&amp;"/3")</f>
        <v>2/3</v>
      </c>
    </row>
    <row r="804" customFormat="false" ht="15" hidden="false" customHeight="true" outlineLevel="0" collapsed="false">
      <c r="A804" s="1" t="s">
        <v>43</v>
      </c>
      <c r="B804" s="1" t="s">
        <v>40</v>
      </c>
      <c r="C804" s="1" t="s">
        <v>41</v>
      </c>
      <c r="D804" s="1" t="s">
        <v>20</v>
      </c>
      <c r="E804" s="1" t="s">
        <v>21</v>
      </c>
      <c r="F804" s="1" t="n">
        <f aca="false">IFERROR('dens_visc_gamma+1hexoh'!D22,"")</f>
        <v>40</v>
      </c>
      <c r="G804" s="1" t="n">
        <f aca="false">IFERROR('dens_visc_gamma+1hexoh'!A33,"")</f>
        <v>1</v>
      </c>
      <c r="H804" s="1" t="n">
        <f aca="false">IFERROR('dens_visc_gamma+1hexoh'!D33,"")</f>
        <v>0.93774</v>
      </c>
      <c r="I804" s="1" t="n">
        <f aca="false">IFERROR('dens_visc_gamma+1hexoh'!I33,"")</f>
        <v>0</v>
      </c>
      <c r="J804" s="1" t="n">
        <f aca="false">IFERROR('dens_visc_gamma+1hexoh'!D47,"")</f>
        <v>3.691</v>
      </c>
      <c r="K804" s="1" t="str">
        <f aca="false">IF(AND(ISNUMBER(H804),ISNUMBER(I804),ISNUMBER(J804)),"✓",COUNTIF(H804:J804,"&gt;-999")&amp;"/3")</f>
        <v>✓</v>
      </c>
    </row>
    <row r="805" customFormat="false" ht="15" hidden="false" customHeight="true" outlineLevel="0" collapsed="false">
      <c r="A805" s="1" t="s">
        <v>43</v>
      </c>
      <c r="B805" s="1" t="s">
        <v>40</v>
      </c>
      <c r="C805" s="1" t="s">
        <v>41</v>
      </c>
      <c r="D805" s="1" t="s">
        <v>20</v>
      </c>
      <c r="E805" s="1" t="s">
        <v>21</v>
      </c>
      <c r="F805" s="1" t="n">
        <f aca="false">IFERROR('dens_visc_gamma+1hexoh'!E22,"")</f>
        <v>50</v>
      </c>
      <c r="G805" s="1" t="n">
        <f aca="false">IFERROR('dens_visc_gamma+1hexoh'!A23,"")</f>
        <v>0</v>
      </c>
      <c r="H805" s="1" t="n">
        <f aca="false">IFERROR('dens_visc_gamma+1hexoh'!E23,"")</f>
        <v>0.79722</v>
      </c>
      <c r="I805" s="1" t="n">
        <f aca="false">IFERROR('dens_visc_gamma+1hexoh'!J23,"")</f>
        <v>0</v>
      </c>
      <c r="J805" s="1" t="n">
        <f aca="false">IFERROR('dens_visc_gamma+1hexoh'!E37,"")</f>
        <v>2.24</v>
      </c>
      <c r="K805" s="1" t="str">
        <f aca="false">IF(AND(ISNUMBER(H805),ISNUMBER(I805),ISNUMBER(J805)),"✓",COUNTIF(H805:J805,"&gt;-999")&amp;"/3")</f>
        <v>✓</v>
      </c>
    </row>
    <row r="806" customFormat="false" ht="15" hidden="false" customHeight="true" outlineLevel="0" collapsed="false">
      <c r="A806" s="1" t="s">
        <v>43</v>
      </c>
      <c r="B806" s="1" t="s">
        <v>40</v>
      </c>
      <c r="C806" s="1" t="s">
        <v>41</v>
      </c>
      <c r="D806" s="1" t="s">
        <v>20</v>
      </c>
      <c r="E806" s="1" t="s">
        <v>21</v>
      </c>
      <c r="F806" s="1" t="n">
        <f aca="false">IFERROR('dens_visc_gamma+1hexoh'!E22,"")</f>
        <v>50</v>
      </c>
      <c r="G806" s="1" t="n">
        <f aca="false">IFERROR('dens_visc_gamma+1hexoh'!A24,"")</f>
        <v>0.100264238516477</v>
      </c>
      <c r="H806" s="1" t="e">
        <f aca="false">IFERROR('dens_visc_gamma+1hexoh'!#ref!,"")</f>
        <v>#VALUE!</v>
      </c>
      <c r="I806" s="1" t="str">
        <f aca="false">IFERROR('dens_visc_gamma+1hexoh'!J24,"")</f>
        <v/>
      </c>
      <c r="J806" s="1" t="n">
        <f aca="false">IFERROR('dens_visc_gamma+1octoh'!E24,"")</f>
        <v>0</v>
      </c>
      <c r="K806" s="1" t="str">
        <f aca="false">IF(AND(ISNUMBER(H806),ISNUMBER(I806),ISNUMBER(J806)),"✓",COUNTIF(H806:J806,"&gt;-999")&amp;"/3")</f>
        <v>1/3</v>
      </c>
    </row>
    <row r="807" customFormat="false" ht="15" hidden="false" customHeight="true" outlineLevel="0" collapsed="false">
      <c r="A807" s="1" t="s">
        <v>43</v>
      </c>
      <c r="B807" s="1" t="s">
        <v>40</v>
      </c>
      <c r="C807" s="1" t="s">
        <v>41</v>
      </c>
      <c r="D807" s="1" t="s">
        <v>20</v>
      </c>
      <c r="E807" s="1" t="s">
        <v>21</v>
      </c>
      <c r="F807" s="1" t="n">
        <f aca="false">IFERROR('dens_visc_gamma+1hexoh'!E22,"")</f>
        <v>50</v>
      </c>
      <c r="G807" s="1" t="n">
        <f aca="false">IFERROR('dens_visc_gamma+1hexoh'!A25,"")</f>
        <v>0.201663327667688</v>
      </c>
      <c r="H807" s="1" t="n">
        <f aca="false">IFERROR('dens_visc_gamma+1octoh'!E25,"")</f>
        <v>0</v>
      </c>
      <c r="I807" s="1" t="str">
        <f aca="false">IFERROR('dens_visc_gamma+1hexoh'!J25,"")</f>
        <v/>
      </c>
      <c r="J807" s="1" t="n">
        <f aca="false">IFERROR('dens_visc_gamma+1octoh'!E39,"")</f>
        <v>0</v>
      </c>
      <c r="K807" s="1" t="str">
        <f aca="false">IF(AND(ISNUMBER(H807),ISNUMBER(I807),ISNUMBER(J807)),"✓",COUNTIF(H807:J807,"&gt;-999")&amp;"/3")</f>
        <v>2/3</v>
      </c>
    </row>
    <row r="808" customFormat="false" ht="15" hidden="false" customHeight="true" outlineLevel="0" collapsed="false">
      <c r="A808" s="1" t="s">
        <v>43</v>
      </c>
      <c r="B808" s="1" t="s">
        <v>40</v>
      </c>
      <c r="C808" s="1" t="s">
        <v>41</v>
      </c>
      <c r="D808" s="1" t="s">
        <v>20</v>
      </c>
      <c r="E808" s="1" t="s">
        <v>21</v>
      </c>
      <c r="F808" s="1" t="n">
        <f aca="false">IFERROR('dens_visc_gamma+1hexoh'!E22,"")</f>
        <v>50</v>
      </c>
      <c r="G808" s="1" t="n">
        <f aca="false">IFERROR('dens_visc_gamma+1hexoh'!A26,"")</f>
        <v>0.294719078979337</v>
      </c>
      <c r="H808" s="1" t="n">
        <f aca="false">IFERROR('dens_visc_gamma+1octoh'!E26,"")</f>
        <v>0</v>
      </c>
      <c r="I808" s="1" t="str">
        <f aca="false">IFERROR('dens_visc_gamma+1hexoh'!J26,"")</f>
        <v/>
      </c>
      <c r="J808" s="1" t="n">
        <f aca="false">IFERROR('dens_visc_gamma+1octoh'!E40,"")</f>
        <v>0</v>
      </c>
      <c r="K808" s="1" t="str">
        <f aca="false">IF(AND(ISNUMBER(H808),ISNUMBER(I808),ISNUMBER(J808)),"✓",COUNTIF(H808:J808,"&gt;-999")&amp;"/3")</f>
        <v>2/3</v>
      </c>
    </row>
    <row r="809" customFormat="false" ht="15" hidden="false" customHeight="true" outlineLevel="0" collapsed="false">
      <c r="A809" s="1" t="s">
        <v>43</v>
      </c>
      <c r="B809" s="1" t="s">
        <v>40</v>
      </c>
      <c r="C809" s="1" t="s">
        <v>41</v>
      </c>
      <c r="D809" s="1" t="s">
        <v>20</v>
      </c>
      <c r="E809" s="1" t="s">
        <v>21</v>
      </c>
      <c r="F809" s="1" t="n">
        <f aca="false">IFERROR('dens_visc_gamma+1hexoh'!E22,"")</f>
        <v>50</v>
      </c>
      <c r="G809" s="1" t="n">
        <f aca="false">IFERROR('dens_visc_gamma+1hexoh'!A27,"")</f>
        <v>0.397668023769591</v>
      </c>
      <c r="H809" s="1" t="n">
        <f aca="false">IFERROR('dens_visc_gamma+1octoh'!E27,"")</f>
        <v>0</v>
      </c>
      <c r="I809" s="1" t="str">
        <f aca="false">IFERROR('dens_visc_gamma+1hexoh'!J27,"")</f>
        <v/>
      </c>
      <c r="J809" s="1" t="n">
        <f aca="false">IFERROR('dens_visc_gamma+1octoh'!E41,"")</f>
        <v>0</v>
      </c>
      <c r="K809" s="1" t="str">
        <f aca="false">IF(AND(ISNUMBER(H809),ISNUMBER(I809),ISNUMBER(J809)),"✓",COUNTIF(H809:J809,"&gt;-999")&amp;"/3")</f>
        <v>2/3</v>
      </c>
    </row>
    <row r="810" customFormat="false" ht="15" hidden="false" customHeight="true" outlineLevel="0" collapsed="false">
      <c r="A810" s="1" t="s">
        <v>43</v>
      </c>
      <c r="B810" s="1" t="s">
        <v>40</v>
      </c>
      <c r="C810" s="1" t="s">
        <v>41</v>
      </c>
      <c r="D810" s="1" t="s">
        <v>20</v>
      </c>
      <c r="E810" s="1" t="s">
        <v>21</v>
      </c>
      <c r="F810" s="1" t="n">
        <f aca="false">IFERROR('dens_visc_gamma+1hexoh'!E22,"")</f>
        <v>50</v>
      </c>
      <c r="G810" s="1" t="n">
        <f aca="false">IFERROR('dens_visc_gamma+1hexoh'!A28,"")</f>
        <v>0.49716431696211</v>
      </c>
      <c r="H810" s="1" t="n">
        <f aca="false">IFERROR('dens_visc_gamma+1octoh'!E28,"")</f>
        <v>0</v>
      </c>
      <c r="I810" s="1" t="str">
        <f aca="false">IFERROR('dens_visc_gamma+1hexoh'!J28,"")</f>
        <v/>
      </c>
      <c r="J810" s="1" t="n">
        <f aca="false">IFERROR('dens_visc_gamma+1octoh'!E42,"")</f>
        <v>0</v>
      </c>
      <c r="K810" s="1" t="str">
        <f aca="false">IF(AND(ISNUMBER(H810),ISNUMBER(I810),ISNUMBER(J810)),"✓",COUNTIF(H810:J810,"&gt;-999")&amp;"/3")</f>
        <v>2/3</v>
      </c>
    </row>
    <row r="811" customFormat="false" ht="15" hidden="false" customHeight="true" outlineLevel="0" collapsed="false">
      <c r="A811" s="1" t="s">
        <v>43</v>
      </c>
      <c r="B811" s="1" t="s">
        <v>40</v>
      </c>
      <c r="C811" s="1" t="s">
        <v>41</v>
      </c>
      <c r="D811" s="1" t="s">
        <v>20</v>
      </c>
      <c r="E811" s="1" t="s">
        <v>21</v>
      </c>
      <c r="F811" s="1" t="n">
        <f aca="false">IFERROR('dens_visc_gamma+1hexoh'!E22,"")</f>
        <v>50</v>
      </c>
      <c r="G811" s="1" t="n">
        <f aca="false">IFERROR('dens_visc_gamma+1hexoh'!A29,"")</f>
        <v>0.596999591452682</v>
      </c>
      <c r="H811" s="1" t="n">
        <f aca="false">IFERROR('dens_visc_gamma+1hexoh'!E29,"")</f>
        <v>0</v>
      </c>
      <c r="I811" s="1" t="str">
        <f aca="false">IFERROR('dens_visc_gamma+1hexoh'!J29,"")</f>
        <v/>
      </c>
      <c r="J811" s="1" t="n">
        <f aca="false">IFERROR('dens_visc_gamma+1hexoh'!E43,"")</f>
        <v>0</v>
      </c>
      <c r="K811" s="1" t="str">
        <f aca="false">IF(AND(ISNUMBER(H811),ISNUMBER(I811),ISNUMBER(J811)),"✓",COUNTIF(H811:J811,"&gt;-999")&amp;"/3")</f>
        <v>2/3</v>
      </c>
    </row>
    <row r="812" customFormat="false" ht="15" hidden="false" customHeight="true" outlineLevel="0" collapsed="false">
      <c r="A812" s="1" t="s">
        <v>43</v>
      </c>
      <c r="B812" s="1" t="s">
        <v>40</v>
      </c>
      <c r="C812" s="1" t="s">
        <v>41</v>
      </c>
      <c r="D812" s="1" t="s">
        <v>20</v>
      </c>
      <c r="E812" s="1" t="s">
        <v>21</v>
      </c>
      <c r="F812" s="1" t="n">
        <f aca="false">IFERROR('dens_visc_gamma+1hexoh'!E22,"")</f>
        <v>50</v>
      </c>
      <c r="G812" s="1" t="n">
        <f aca="false">IFERROR('dens_visc_gamma+1hexoh'!A30,"")</f>
        <v>0.701636821933322</v>
      </c>
      <c r="H812" s="1" t="n">
        <f aca="false">IFERROR('dens_visc_gamma+1hexoh'!E30,"")</f>
        <v>0</v>
      </c>
      <c r="I812" s="1" t="str">
        <f aca="false">IFERROR('dens_visc_gamma+1hexoh'!J30,"")</f>
        <v/>
      </c>
      <c r="J812" s="1" t="n">
        <f aca="false">IFERROR('dens_visc_gamma+1hexoh'!E44,"")</f>
        <v>0</v>
      </c>
      <c r="K812" s="1" t="str">
        <f aca="false">IF(AND(ISNUMBER(H812),ISNUMBER(I812),ISNUMBER(J812)),"✓",COUNTIF(H812:J812,"&gt;-999")&amp;"/3")</f>
        <v>2/3</v>
      </c>
    </row>
    <row r="813" customFormat="false" ht="15" hidden="false" customHeight="true" outlineLevel="0" collapsed="false">
      <c r="A813" s="1" t="s">
        <v>43</v>
      </c>
      <c r="B813" s="1" t="s">
        <v>40</v>
      </c>
      <c r="C813" s="1" t="s">
        <v>41</v>
      </c>
      <c r="D813" s="1" t="s">
        <v>20</v>
      </c>
      <c r="E813" s="1" t="s">
        <v>21</v>
      </c>
      <c r="F813" s="1" t="n">
        <f aca="false">IFERROR('dens_visc_gamma+1hexoh'!E22,"")</f>
        <v>50</v>
      </c>
      <c r="G813" s="1" t="n">
        <f aca="false">IFERROR('dens_visc_gamma+1hexoh'!A31,"")</f>
        <v>0.900853031749634</v>
      </c>
      <c r="H813" s="1" t="n">
        <f aca="false">IFERROR('dens_visc_gamma+1hexoh'!E31,"")</f>
        <v>0</v>
      </c>
      <c r="I813" s="1" t="str">
        <f aca="false">IFERROR('dens_visc_gamma+1hexoh'!J31,"")</f>
        <v/>
      </c>
      <c r="J813" s="1" t="n">
        <f aca="false">IFERROR('dens_visc_gamma+1hexoh'!E45,"")</f>
        <v>0</v>
      </c>
      <c r="K813" s="1" t="str">
        <f aca="false">IF(AND(ISNUMBER(H813),ISNUMBER(I813),ISNUMBER(J813)),"✓",COUNTIF(H813:J813,"&gt;-999")&amp;"/3")</f>
        <v>2/3</v>
      </c>
    </row>
    <row r="814" customFormat="false" ht="15" hidden="false" customHeight="true" outlineLevel="0" collapsed="false">
      <c r="A814" s="1" t="s">
        <v>43</v>
      </c>
      <c r="B814" s="1" t="s">
        <v>40</v>
      </c>
      <c r="C814" s="1" t="s">
        <v>41</v>
      </c>
      <c r="D814" s="1" t="s">
        <v>20</v>
      </c>
      <c r="E814" s="1" t="s">
        <v>21</v>
      </c>
      <c r="F814" s="1" t="n">
        <f aca="false">IFERROR('dens_visc_gamma+1hexoh'!E22,"")</f>
        <v>50</v>
      </c>
      <c r="G814" s="1" t="n">
        <f aca="false">IFERROR('dens_visc_gamma+1hexoh'!A32,"")</f>
        <v>0.80399324667993</v>
      </c>
      <c r="H814" s="1" t="n">
        <f aca="false">IFERROR('dens_visc_gamma+1hexoh'!E32,"")</f>
        <v>0</v>
      </c>
      <c r="I814" s="1" t="str">
        <f aca="false">IFERROR('dens_visc_gamma+1hexoh'!J32,"")</f>
        <v/>
      </c>
      <c r="J814" s="1" t="n">
        <f aca="false">IFERROR('dens_visc_gamma+1hexoh'!E46,"")</f>
        <v>0</v>
      </c>
      <c r="K814" s="1" t="str">
        <f aca="false">IF(AND(ISNUMBER(H814),ISNUMBER(I814),ISNUMBER(J814)),"✓",COUNTIF(H814:J814,"&gt;-999")&amp;"/3")</f>
        <v>2/3</v>
      </c>
    </row>
    <row r="815" customFormat="false" ht="15" hidden="false" customHeight="true" outlineLevel="0" collapsed="false">
      <c r="A815" s="1" t="s">
        <v>43</v>
      </c>
      <c r="B815" s="1" t="s">
        <v>40</v>
      </c>
      <c r="C815" s="1" t="s">
        <v>41</v>
      </c>
      <c r="D815" s="1" t="s">
        <v>20</v>
      </c>
      <c r="E815" s="1" t="s">
        <v>21</v>
      </c>
      <c r="F815" s="1" t="n">
        <f aca="false">IFERROR('dens_visc_gamma+1hexoh'!E22,"")</f>
        <v>50</v>
      </c>
      <c r="G815" s="1" t="n">
        <f aca="false">IFERROR('dens_visc_gamma+1hexoh'!A33,"")</f>
        <v>1</v>
      </c>
      <c r="H815" s="1" t="n">
        <f aca="false">IFERROR('dens_visc_gamma+1hexoh'!E33,"")</f>
        <v>0.93013</v>
      </c>
      <c r="I815" s="1" t="n">
        <f aca="false">IFERROR('dens_visc_gamma+1hexoh'!J33,"")</f>
        <v>0</v>
      </c>
      <c r="J815" s="1" t="n">
        <f aca="false">IFERROR('dens_visc_gamma+1hexoh'!E47,"")</f>
        <v>2.914</v>
      </c>
      <c r="K815" s="1" t="str">
        <f aca="false">IF(AND(ISNUMBER(H815),ISNUMBER(I815),ISNUMBER(J815)),"✓",COUNTIF(H815:J815,"&gt;-999")&amp;"/3")</f>
        <v>✓</v>
      </c>
    </row>
    <row r="816" customFormat="false" ht="15" hidden="false" customHeight="true" outlineLevel="0" collapsed="false">
      <c r="A816" s="1" t="s">
        <v>43</v>
      </c>
      <c r="B816" s="1" t="s">
        <v>40</v>
      </c>
      <c r="C816" s="1" t="s">
        <v>41</v>
      </c>
      <c r="D816" s="1" t="s">
        <v>20</v>
      </c>
      <c r="E816" s="1" t="s">
        <v>21</v>
      </c>
      <c r="F816" s="1" t="n">
        <f aca="false">IFERROR('dens_visc_gamma+1hexoh'!F22,"")</f>
        <v>60</v>
      </c>
      <c r="G816" s="1" t="n">
        <f aca="false">IFERROR('dens_visc_gamma+1hexoh'!A23,"")</f>
        <v>0</v>
      </c>
      <c r="H816" s="1" t="n">
        <f aca="false">IFERROR('dens_visc_gamma+1hexoh'!F23,"")</f>
        <v>0.78971</v>
      </c>
      <c r="I816" s="1" t="n">
        <f aca="false">IFERROR('dens_visc_gamma+1hexoh'!K23,"")</f>
        <v>0</v>
      </c>
      <c r="J816" s="1" t="n">
        <f aca="false">IFERROR('dens_visc_gamma+1hexoh'!F37,"")</f>
        <v>1.75</v>
      </c>
      <c r="K816" s="1" t="str">
        <f aca="false">IF(AND(ISNUMBER(H816),ISNUMBER(I816),ISNUMBER(J816)),"✓",COUNTIF(H816:J816,"&gt;-999")&amp;"/3")</f>
        <v>✓</v>
      </c>
    </row>
    <row r="817" customFormat="false" ht="15" hidden="false" customHeight="true" outlineLevel="0" collapsed="false">
      <c r="A817" s="1" t="s">
        <v>43</v>
      </c>
      <c r="B817" s="1" t="s">
        <v>40</v>
      </c>
      <c r="C817" s="1" t="s">
        <v>41</v>
      </c>
      <c r="D817" s="1" t="s">
        <v>20</v>
      </c>
      <c r="E817" s="1" t="s">
        <v>21</v>
      </c>
      <c r="F817" s="1" t="n">
        <f aca="false">IFERROR('dens_visc_gamma+1hexoh'!F22,"")</f>
        <v>60</v>
      </c>
      <c r="G817" s="1" t="n">
        <f aca="false">IFERROR('dens_visc_gamma+1hexoh'!A24,"")</f>
        <v>0.100264238516477</v>
      </c>
      <c r="H817" s="1" t="e">
        <f aca="false">IFERROR('dens_visc_gamma+1hexoh'!#ref!,"")</f>
        <v>#VALUE!</v>
      </c>
      <c r="I817" s="1" t="str">
        <f aca="false">IFERROR('dens_visc_gamma+1hexoh'!K24,"")</f>
        <v/>
      </c>
      <c r="J817" s="1" t="n">
        <f aca="false">IFERROR('dens_visc_gamma+1octoh'!F24,"")</f>
        <v>0</v>
      </c>
      <c r="K817" s="1" t="str">
        <f aca="false">IF(AND(ISNUMBER(H817),ISNUMBER(I817),ISNUMBER(J817)),"✓",COUNTIF(H817:J817,"&gt;-999")&amp;"/3")</f>
        <v>1/3</v>
      </c>
    </row>
    <row r="818" customFormat="false" ht="15" hidden="false" customHeight="true" outlineLevel="0" collapsed="false">
      <c r="A818" s="1" t="s">
        <v>43</v>
      </c>
      <c r="B818" s="1" t="s">
        <v>40</v>
      </c>
      <c r="C818" s="1" t="s">
        <v>41</v>
      </c>
      <c r="D818" s="1" t="s">
        <v>20</v>
      </c>
      <c r="E818" s="1" t="s">
        <v>21</v>
      </c>
      <c r="F818" s="1" t="n">
        <f aca="false">IFERROR('dens_visc_gamma+1hexoh'!F22,"")</f>
        <v>60</v>
      </c>
      <c r="G818" s="1" t="n">
        <f aca="false">IFERROR('dens_visc_gamma+1hexoh'!A25,"")</f>
        <v>0.201663327667688</v>
      </c>
      <c r="H818" s="1" t="n">
        <f aca="false">IFERROR('dens_visc_gamma+1octoh'!F25,"")</f>
        <v>0</v>
      </c>
      <c r="I818" s="1" t="str">
        <f aca="false">IFERROR('dens_visc_gamma+1hexoh'!K25,"")</f>
        <v/>
      </c>
      <c r="J818" s="1" t="n">
        <f aca="false">IFERROR('dens_visc_gamma+1octoh'!F39,"")</f>
        <v>0</v>
      </c>
      <c r="K818" s="1" t="str">
        <f aca="false">IF(AND(ISNUMBER(H818),ISNUMBER(I818),ISNUMBER(J818)),"✓",COUNTIF(H818:J818,"&gt;-999")&amp;"/3")</f>
        <v>2/3</v>
      </c>
    </row>
    <row r="819" customFormat="false" ht="15" hidden="false" customHeight="true" outlineLevel="0" collapsed="false">
      <c r="A819" s="1" t="s">
        <v>43</v>
      </c>
      <c r="B819" s="1" t="s">
        <v>40</v>
      </c>
      <c r="C819" s="1" t="s">
        <v>41</v>
      </c>
      <c r="D819" s="1" t="s">
        <v>20</v>
      </c>
      <c r="E819" s="1" t="s">
        <v>21</v>
      </c>
      <c r="F819" s="1" t="n">
        <f aca="false">IFERROR('dens_visc_gamma+1hexoh'!F22,"")</f>
        <v>60</v>
      </c>
      <c r="G819" s="1" t="n">
        <f aca="false">IFERROR('dens_visc_gamma+1hexoh'!A26,"")</f>
        <v>0.294719078979337</v>
      </c>
      <c r="H819" s="1" t="n">
        <f aca="false">IFERROR('dens_visc_gamma+1octoh'!F26,"")</f>
        <v>0</v>
      </c>
      <c r="I819" s="1" t="str">
        <f aca="false">IFERROR('dens_visc_gamma+1hexoh'!K26,"")</f>
        <v/>
      </c>
      <c r="J819" s="1" t="n">
        <f aca="false">IFERROR('dens_visc_gamma+1octoh'!F40,"")</f>
        <v>0</v>
      </c>
      <c r="K819" s="1" t="str">
        <f aca="false">IF(AND(ISNUMBER(H819),ISNUMBER(I819),ISNUMBER(J819)),"✓",COUNTIF(H819:J819,"&gt;-999")&amp;"/3")</f>
        <v>2/3</v>
      </c>
    </row>
    <row r="820" customFormat="false" ht="15" hidden="false" customHeight="true" outlineLevel="0" collapsed="false">
      <c r="A820" s="1" t="s">
        <v>43</v>
      </c>
      <c r="B820" s="1" t="s">
        <v>40</v>
      </c>
      <c r="C820" s="1" t="s">
        <v>41</v>
      </c>
      <c r="D820" s="1" t="s">
        <v>20</v>
      </c>
      <c r="E820" s="1" t="s">
        <v>21</v>
      </c>
      <c r="F820" s="1" t="n">
        <f aca="false">IFERROR('dens_visc_gamma+1hexoh'!F22,"")</f>
        <v>60</v>
      </c>
      <c r="G820" s="1" t="n">
        <f aca="false">IFERROR('dens_visc_gamma+1hexoh'!A27,"")</f>
        <v>0.397668023769591</v>
      </c>
      <c r="H820" s="1" t="n">
        <f aca="false">IFERROR('dens_visc_gamma+1octoh'!F27,"")</f>
        <v>0</v>
      </c>
      <c r="I820" s="1" t="str">
        <f aca="false">IFERROR('dens_visc_gamma+1hexoh'!K27,"")</f>
        <v/>
      </c>
      <c r="J820" s="1" t="n">
        <f aca="false">IFERROR('dens_visc_gamma+1octoh'!F41,"")</f>
        <v>0</v>
      </c>
      <c r="K820" s="1" t="str">
        <f aca="false">IF(AND(ISNUMBER(H820),ISNUMBER(I820),ISNUMBER(J820)),"✓",COUNTIF(H820:J820,"&gt;-999")&amp;"/3")</f>
        <v>2/3</v>
      </c>
    </row>
    <row r="821" customFormat="false" ht="15" hidden="false" customHeight="true" outlineLevel="0" collapsed="false">
      <c r="A821" s="1" t="s">
        <v>43</v>
      </c>
      <c r="B821" s="1" t="s">
        <v>40</v>
      </c>
      <c r="C821" s="1" t="s">
        <v>41</v>
      </c>
      <c r="D821" s="1" t="s">
        <v>20</v>
      </c>
      <c r="E821" s="1" t="s">
        <v>21</v>
      </c>
      <c r="F821" s="1" t="n">
        <f aca="false">IFERROR('dens_visc_gamma+1hexoh'!F22,"")</f>
        <v>60</v>
      </c>
      <c r="G821" s="1" t="n">
        <f aca="false">IFERROR('dens_visc_gamma+1hexoh'!A28,"")</f>
        <v>0.49716431696211</v>
      </c>
      <c r="H821" s="1" t="n">
        <f aca="false">IFERROR('dens_visc_gamma+1octoh'!F28,"")</f>
        <v>0</v>
      </c>
      <c r="I821" s="1" t="str">
        <f aca="false">IFERROR('dens_visc_gamma+1hexoh'!K28,"")</f>
        <v/>
      </c>
      <c r="J821" s="1" t="n">
        <f aca="false">IFERROR('dens_visc_gamma+1octoh'!F42,"")</f>
        <v>0</v>
      </c>
      <c r="K821" s="1" t="str">
        <f aca="false">IF(AND(ISNUMBER(H821),ISNUMBER(I821),ISNUMBER(J821)),"✓",COUNTIF(H821:J821,"&gt;-999")&amp;"/3")</f>
        <v>2/3</v>
      </c>
    </row>
    <row r="822" customFormat="false" ht="15" hidden="false" customHeight="true" outlineLevel="0" collapsed="false">
      <c r="A822" s="1" t="s">
        <v>43</v>
      </c>
      <c r="B822" s="1" t="s">
        <v>40</v>
      </c>
      <c r="C822" s="1" t="s">
        <v>41</v>
      </c>
      <c r="D822" s="1" t="s">
        <v>20</v>
      </c>
      <c r="E822" s="1" t="s">
        <v>21</v>
      </c>
      <c r="F822" s="1" t="n">
        <f aca="false">IFERROR('dens_visc_gamma+1hexoh'!F22,"")</f>
        <v>60</v>
      </c>
      <c r="G822" s="1" t="n">
        <f aca="false">IFERROR('dens_visc_gamma+1hexoh'!A29,"")</f>
        <v>0.596999591452682</v>
      </c>
      <c r="H822" s="1" t="n">
        <f aca="false">IFERROR('dens_visc_gamma+1hexoh'!F29,"")</f>
        <v>0</v>
      </c>
      <c r="I822" s="1" t="str">
        <f aca="false">IFERROR('dens_visc_gamma+1hexoh'!K29,"")</f>
        <v/>
      </c>
      <c r="J822" s="1" t="n">
        <f aca="false">IFERROR('dens_visc_gamma+1hexoh'!F43,"")</f>
        <v>0</v>
      </c>
      <c r="K822" s="1" t="str">
        <f aca="false">IF(AND(ISNUMBER(H822),ISNUMBER(I822),ISNUMBER(J822)),"✓",COUNTIF(H822:J822,"&gt;-999")&amp;"/3")</f>
        <v>2/3</v>
      </c>
    </row>
    <row r="823" customFormat="false" ht="15" hidden="false" customHeight="true" outlineLevel="0" collapsed="false">
      <c r="A823" s="1" t="s">
        <v>43</v>
      </c>
      <c r="B823" s="1" t="s">
        <v>40</v>
      </c>
      <c r="C823" s="1" t="s">
        <v>41</v>
      </c>
      <c r="D823" s="1" t="s">
        <v>20</v>
      </c>
      <c r="E823" s="1" t="s">
        <v>21</v>
      </c>
      <c r="F823" s="1" t="n">
        <f aca="false">IFERROR('dens_visc_gamma+1hexoh'!F22,"")</f>
        <v>60</v>
      </c>
      <c r="G823" s="1" t="n">
        <f aca="false">IFERROR('dens_visc_gamma+1hexoh'!A30,"")</f>
        <v>0.701636821933322</v>
      </c>
      <c r="H823" s="1" t="n">
        <f aca="false">IFERROR('dens_visc_gamma+1hexoh'!F30,"")</f>
        <v>0</v>
      </c>
      <c r="I823" s="1" t="str">
        <f aca="false">IFERROR('dens_visc_gamma+1hexoh'!K30,"")</f>
        <v/>
      </c>
      <c r="J823" s="1" t="n">
        <f aca="false">IFERROR('dens_visc_gamma+1hexoh'!F44,"")</f>
        <v>0</v>
      </c>
      <c r="K823" s="1" t="str">
        <f aca="false">IF(AND(ISNUMBER(H823),ISNUMBER(I823),ISNUMBER(J823)),"✓",COUNTIF(H823:J823,"&gt;-999")&amp;"/3")</f>
        <v>2/3</v>
      </c>
    </row>
    <row r="824" customFormat="false" ht="15" hidden="false" customHeight="true" outlineLevel="0" collapsed="false">
      <c r="A824" s="1" t="s">
        <v>43</v>
      </c>
      <c r="B824" s="1" t="s">
        <v>40</v>
      </c>
      <c r="C824" s="1" t="s">
        <v>41</v>
      </c>
      <c r="D824" s="1" t="s">
        <v>20</v>
      </c>
      <c r="E824" s="1" t="s">
        <v>21</v>
      </c>
      <c r="F824" s="1" t="n">
        <f aca="false">IFERROR('dens_visc_gamma+1hexoh'!F22,"")</f>
        <v>60</v>
      </c>
      <c r="G824" s="1" t="n">
        <f aca="false">IFERROR('dens_visc_gamma+1hexoh'!A31,"")</f>
        <v>0.900853031749634</v>
      </c>
      <c r="H824" s="1" t="n">
        <f aca="false">IFERROR('dens_visc_gamma+1hexoh'!F31,"")</f>
        <v>0</v>
      </c>
      <c r="I824" s="1" t="str">
        <f aca="false">IFERROR('dens_visc_gamma+1hexoh'!K31,"")</f>
        <v/>
      </c>
      <c r="J824" s="1" t="n">
        <f aca="false">IFERROR('dens_visc_gamma+1hexoh'!F45,"")</f>
        <v>0</v>
      </c>
      <c r="K824" s="1" t="str">
        <f aca="false">IF(AND(ISNUMBER(H824),ISNUMBER(I824),ISNUMBER(J824)),"✓",COUNTIF(H824:J824,"&gt;-999")&amp;"/3")</f>
        <v>2/3</v>
      </c>
    </row>
    <row r="825" customFormat="false" ht="15" hidden="false" customHeight="true" outlineLevel="0" collapsed="false">
      <c r="A825" s="1" t="s">
        <v>43</v>
      </c>
      <c r="B825" s="1" t="s">
        <v>40</v>
      </c>
      <c r="C825" s="1" t="s">
        <v>41</v>
      </c>
      <c r="D825" s="1" t="s">
        <v>20</v>
      </c>
      <c r="E825" s="1" t="s">
        <v>21</v>
      </c>
      <c r="F825" s="1" t="n">
        <f aca="false">IFERROR('dens_visc_gamma+1hexoh'!F22,"")</f>
        <v>60</v>
      </c>
      <c r="G825" s="1" t="n">
        <f aca="false">IFERROR('dens_visc_gamma+1hexoh'!A32,"")</f>
        <v>0.80399324667993</v>
      </c>
      <c r="H825" s="1" t="n">
        <f aca="false">IFERROR('dens_visc_gamma+1hexoh'!F32,"")</f>
        <v>0</v>
      </c>
      <c r="I825" s="1" t="str">
        <f aca="false">IFERROR('dens_visc_gamma+1hexoh'!K32,"")</f>
        <v/>
      </c>
      <c r="J825" s="1" t="n">
        <f aca="false">IFERROR('dens_visc_gamma+1hexoh'!F46,"")</f>
        <v>0</v>
      </c>
      <c r="K825" s="1" t="str">
        <f aca="false">IF(AND(ISNUMBER(H825),ISNUMBER(I825),ISNUMBER(J825)),"✓",COUNTIF(H825:J825,"&gt;-999")&amp;"/3")</f>
        <v>2/3</v>
      </c>
    </row>
    <row r="826" customFormat="false" ht="15" hidden="false" customHeight="true" outlineLevel="0" collapsed="false">
      <c r="A826" s="1" t="s">
        <v>43</v>
      </c>
      <c r="B826" s="1" t="s">
        <v>40</v>
      </c>
      <c r="C826" s="1" t="s">
        <v>41</v>
      </c>
      <c r="D826" s="1" t="s">
        <v>20</v>
      </c>
      <c r="E826" s="1" t="s">
        <v>21</v>
      </c>
      <c r="F826" s="1" t="n">
        <f aca="false">IFERROR('dens_visc_gamma+1hexoh'!F22,"")</f>
        <v>60</v>
      </c>
      <c r="G826" s="1" t="n">
        <f aca="false">IFERROR('dens_visc_gamma+1hexoh'!A33,"")</f>
        <v>1</v>
      </c>
      <c r="H826" s="1" t="n">
        <f aca="false">IFERROR('dens_visc_gamma+1hexoh'!F33,"")</f>
        <v>0.9225</v>
      </c>
      <c r="I826" s="1" t="n">
        <f aca="false">IFERROR('dens_visc_gamma+1hexoh'!K33,"")</f>
        <v>0</v>
      </c>
      <c r="J826" s="1" t="n">
        <f aca="false">IFERROR('dens_visc_gamma+1hexoh'!F47,"")</f>
        <v>2.362</v>
      </c>
      <c r="K826" s="1" t="str">
        <f aca="false">IF(AND(ISNUMBER(H826),ISNUMBER(I826),ISNUMBER(J826)),"✓",COUNTIF(H826:J826,"&gt;-999")&amp;"/3")</f>
        <v>✓</v>
      </c>
    </row>
    <row r="827" customFormat="false" ht="15" hidden="false" customHeight="true" outlineLevel="0" collapsed="false">
      <c r="A827" s="1" t="s">
        <v>44</v>
      </c>
      <c r="B827" s="1" t="s">
        <v>40</v>
      </c>
      <c r="C827" s="1" t="s">
        <v>41</v>
      </c>
      <c r="D827" s="1" t="s">
        <v>23</v>
      </c>
      <c r="E827" s="1" t="s">
        <v>24</v>
      </c>
      <c r="F827" s="1" t="n">
        <f aca="false">IFERROR('dens_visc_gamma+1octoh'!B22,"")</f>
        <v>20</v>
      </c>
      <c r="G827" s="1" t="n">
        <f aca="false">IFERROR('dens_visc_gamma+1octoh'!A23,"")</f>
        <v>0</v>
      </c>
      <c r="H827" s="1" t="n">
        <f aca="false">IFERROR('dens_visc_gamma+1octoh'!B23,"")</f>
        <v>0.82518</v>
      </c>
      <c r="I827" s="1" t="n">
        <f aca="false">IFERROR('dens_visc_gamma+1octoh'!G23,"")</f>
        <v>0</v>
      </c>
      <c r="J827" s="1" t="n">
        <f aca="false">IFERROR('dens_visc_gamma+1octoh'!B37,"")</f>
        <v>8.801</v>
      </c>
      <c r="K827" s="1" t="str">
        <f aca="false">IF(AND(ISNUMBER(H827),ISNUMBER(I827),ISNUMBER(J827)),"✓",COUNTIF(H827:J827,"&gt;-999")&amp;"/3")</f>
        <v>✓</v>
      </c>
    </row>
    <row r="828" customFormat="false" ht="15" hidden="false" customHeight="true" outlineLevel="0" collapsed="false">
      <c r="A828" s="1" t="s">
        <v>44</v>
      </c>
      <c r="B828" s="1" t="s">
        <v>40</v>
      </c>
      <c r="C828" s="1" t="s">
        <v>41</v>
      </c>
      <c r="D828" s="1" t="s">
        <v>23</v>
      </c>
      <c r="E828" s="1" t="s">
        <v>24</v>
      </c>
      <c r="F828" s="1" t="n">
        <f aca="false">IFERROR('dens_visc_gamma+1octoh'!B22,"")</f>
        <v>20</v>
      </c>
      <c r="G828" s="1" t="str">
        <f aca="false">IFERROR('dens_visc_gamma+1octoh'!A24,"")</f>
        <v/>
      </c>
      <c r="H828" s="1" t="e">
        <f aca="false">IFERROR('dens_visc_gamma+1octoh'!#ref!,"")</f>
        <v>#VALUE!</v>
      </c>
      <c r="I828" s="1" t="str">
        <f aca="false">IFERROR('dens_visc_gamma+1octoh'!G24,"")</f>
        <v/>
      </c>
      <c r="J828" s="1" t="e">
        <f aca="false">IFERROR('dens_visc_gamma+1octoh'!#ref!,"")</f>
        <v>#VALUE!</v>
      </c>
      <c r="K828" s="1" t="str">
        <f aca="false">IF(AND(ISNUMBER(H828),ISNUMBER(I828),ISNUMBER(J828)),"✓",COUNTIF(H828:J828,"&gt;-999")&amp;"/3")</f>
        <v>0/3</v>
      </c>
    </row>
    <row r="829" customFormat="false" ht="15" hidden="false" customHeight="true" outlineLevel="0" collapsed="false">
      <c r="A829" s="1" t="s">
        <v>44</v>
      </c>
      <c r="B829" s="1" t="s">
        <v>40</v>
      </c>
      <c r="C829" s="1" t="s">
        <v>41</v>
      </c>
      <c r="D829" s="1" t="s">
        <v>23</v>
      </c>
      <c r="E829" s="1" t="s">
        <v>24</v>
      </c>
      <c r="F829" s="1" t="n">
        <f aca="false">IFERROR('dens_visc_gamma+1octoh'!B22,"")</f>
        <v>20</v>
      </c>
      <c r="G829" s="1" t="str">
        <f aca="false">IFERROR('dens_visc_gamma+1octoh'!A25,"")</f>
        <v/>
      </c>
      <c r="H829" s="1" t="e">
        <f aca="false">IFERROR('dens_visc_gamma+1octoh'!#ref!,"")</f>
        <v>#VALUE!</v>
      </c>
      <c r="I829" s="1" t="str">
        <f aca="false">IFERROR('dens_visc_gamma+1octoh'!G25,"")</f>
        <v/>
      </c>
      <c r="J829" s="1" t="e">
        <f aca="false">IFERROR('dens_visc_gamma+1octoh'!#ref!,"")</f>
        <v>#VALUE!</v>
      </c>
      <c r="K829" s="1" t="str">
        <f aca="false">IF(AND(ISNUMBER(H829),ISNUMBER(I829),ISNUMBER(J829)),"✓",COUNTIF(H829:J829,"&gt;-999")&amp;"/3")</f>
        <v>0/3</v>
      </c>
    </row>
    <row r="830" customFormat="false" ht="15" hidden="false" customHeight="true" outlineLevel="0" collapsed="false">
      <c r="A830" s="1" t="s">
        <v>44</v>
      </c>
      <c r="B830" s="1" t="s">
        <v>40</v>
      </c>
      <c r="C830" s="1" t="s">
        <v>41</v>
      </c>
      <c r="D830" s="1" t="s">
        <v>23</v>
      </c>
      <c r="E830" s="1" t="s">
        <v>24</v>
      </c>
      <c r="F830" s="1" t="n">
        <f aca="false">IFERROR('dens_visc_gamma+1octoh'!B22,"")</f>
        <v>20</v>
      </c>
      <c r="G830" s="1" t="str">
        <f aca="false">IFERROR('dens_visc_gamma+1octoh'!A26,"")</f>
        <v/>
      </c>
      <c r="H830" s="1" t="e">
        <f aca="false">IFERROR('dens_visc_gamma+1octoh'!#ref!,"")</f>
        <v>#VALUE!</v>
      </c>
      <c r="I830" s="1" t="str">
        <f aca="false">IFERROR('dens_visc_gamma+1octoh'!G26,"")</f>
        <v/>
      </c>
      <c r="J830" s="1" t="e">
        <f aca="false">IFERROR('dens_visc_gamma+1octoh'!#ref!,"")</f>
        <v>#VALUE!</v>
      </c>
      <c r="K830" s="1" t="str">
        <f aca="false">IF(AND(ISNUMBER(H830),ISNUMBER(I830),ISNUMBER(J830)),"✓",COUNTIF(H830:J830,"&gt;-999")&amp;"/3")</f>
        <v>0/3</v>
      </c>
    </row>
    <row r="831" customFormat="false" ht="15" hidden="false" customHeight="true" outlineLevel="0" collapsed="false">
      <c r="A831" s="1" t="s">
        <v>44</v>
      </c>
      <c r="B831" s="1" t="s">
        <v>40</v>
      </c>
      <c r="C831" s="1" t="s">
        <v>41</v>
      </c>
      <c r="D831" s="1" t="s">
        <v>23</v>
      </c>
      <c r="E831" s="1" t="s">
        <v>24</v>
      </c>
      <c r="F831" s="1" t="n">
        <f aca="false">IFERROR('dens_visc_gamma+1octoh'!B22,"")</f>
        <v>20</v>
      </c>
      <c r="G831" s="1" t="str">
        <f aca="false">IFERROR('dens_visc_gamma+1octoh'!A27,"")</f>
        <v/>
      </c>
      <c r="H831" s="1" t="e">
        <f aca="false">IFERROR('dens_visc_gamma+1octoh'!#ref!,"")</f>
        <v>#VALUE!</v>
      </c>
      <c r="I831" s="1" t="str">
        <f aca="false">IFERROR('dens_visc_gamma+1octoh'!G27,"")</f>
        <v/>
      </c>
      <c r="J831" s="1" t="e">
        <f aca="false">IFERROR('dens_visc_gamma+1octoh'!#ref!,"")</f>
        <v>#VALUE!</v>
      </c>
      <c r="K831" s="1" t="str">
        <f aca="false">IF(AND(ISNUMBER(H831),ISNUMBER(I831),ISNUMBER(J831)),"✓",COUNTIF(H831:J831,"&gt;-999")&amp;"/3")</f>
        <v>0/3</v>
      </c>
    </row>
    <row r="832" customFormat="false" ht="15" hidden="false" customHeight="true" outlineLevel="0" collapsed="false">
      <c r="A832" s="1" t="s">
        <v>44</v>
      </c>
      <c r="B832" s="1" t="s">
        <v>40</v>
      </c>
      <c r="C832" s="1" t="s">
        <v>41</v>
      </c>
      <c r="D832" s="1" t="s">
        <v>23</v>
      </c>
      <c r="E832" s="1" t="s">
        <v>24</v>
      </c>
      <c r="F832" s="1" t="n">
        <f aca="false">IFERROR('dens_visc_gamma+1octoh'!B22,"")</f>
        <v>20</v>
      </c>
      <c r="G832" s="1" t="str">
        <f aca="false">IFERROR('dens_visc_gamma+1octoh'!A28,"")</f>
        <v/>
      </c>
      <c r="H832" s="1" t="e">
        <f aca="false">IFERROR('dens_visc_gamma+1octoh'!#ref!,"")</f>
        <v>#VALUE!</v>
      </c>
      <c r="I832" s="1" t="str">
        <f aca="false">IFERROR('dens_visc_gamma+1octoh'!G28,"")</f>
        <v/>
      </c>
      <c r="J832" s="1" t="e">
        <f aca="false">IFERROR('dens_visc_gamma+1octoh'!#ref!,"")</f>
        <v>#VALUE!</v>
      </c>
      <c r="K832" s="1" t="str">
        <f aca="false">IF(AND(ISNUMBER(H832),ISNUMBER(I832),ISNUMBER(J832)),"✓",COUNTIF(H832:J832,"&gt;-999")&amp;"/3")</f>
        <v>0/3</v>
      </c>
    </row>
    <row r="833" customFormat="false" ht="15" hidden="false" customHeight="true" outlineLevel="0" collapsed="false">
      <c r="A833" s="1" t="s">
        <v>44</v>
      </c>
      <c r="B833" s="1" t="s">
        <v>40</v>
      </c>
      <c r="C833" s="1" t="s">
        <v>41</v>
      </c>
      <c r="D833" s="1" t="s">
        <v>23</v>
      </c>
      <c r="E833" s="1" t="s">
        <v>24</v>
      </c>
      <c r="F833" s="1" t="n">
        <f aca="false">IFERROR('dens_visc_gamma+1octoh'!B22,"")</f>
        <v>20</v>
      </c>
      <c r="G833" s="1" t="str">
        <f aca="false">IFERROR('dens_visc_gamma+1octoh'!A29,"")</f>
        <v/>
      </c>
      <c r="H833" s="1" t="n">
        <f aca="false">IFERROR('dens_visc_gamma+1octoh'!B29,"")</f>
        <v>0</v>
      </c>
      <c r="I833" s="1" t="str">
        <f aca="false">IFERROR('dens_visc_gamma+1octoh'!G29,"")</f>
        <v/>
      </c>
      <c r="J833" s="1" t="n">
        <f aca="false">IFERROR('dens_visc_gamma+1octoh'!B43,"")</f>
        <v>0</v>
      </c>
      <c r="K833" s="1" t="str">
        <f aca="false">IF(AND(ISNUMBER(H833),ISNUMBER(I833),ISNUMBER(J833)),"✓",COUNTIF(H833:J833,"&gt;-999")&amp;"/3")</f>
        <v>2/3</v>
      </c>
    </row>
    <row r="834" customFormat="false" ht="15" hidden="false" customHeight="true" outlineLevel="0" collapsed="false">
      <c r="A834" s="1" t="s">
        <v>44</v>
      </c>
      <c r="B834" s="1" t="s">
        <v>40</v>
      </c>
      <c r="C834" s="1" t="s">
        <v>41</v>
      </c>
      <c r="D834" s="1" t="s">
        <v>23</v>
      </c>
      <c r="E834" s="1" t="s">
        <v>24</v>
      </c>
      <c r="F834" s="1" t="n">
        <f aca="false">IFERROR('dens_visc_gamma+1octoh'!B22,"")</f>
        <v>20</v>
      </c>
      <c r="G834" s="1" t="str">
        <f aca="false">IFERROR('dens_visc_gamma+1octoh'!A30,"")</f>
        <v/>
      </c>
      <c r="H834" s="1" t="n">
        <f aca="false">IFERROR('dens_visc_gamma+1octoh'!B30,"")</f>
        <v>0</v>
      </c>
      <c r="I834" s="1" t="str">
        <f aca="false">IFERROR('dens_visc_gamma+1octoh'!G30,"")</f>
        <v/>
      </c>
      <c r="J834" s="1" t="n">
        <f aca="false">IFERROR('dens_visc_gamma+1octoh'!B44,"")</f>
        <v>0</v>
      </c>
      <c r="K834" s="1" t="str">
        <f aca="false">IF(AND(ISNUMBER(H834),ISNUMBER(I834),ISNUMBER(J834)),"✓",COUNTIF(H834:J834,"&gt;-999")&amp;"/3")</f>
        <v>2/3</v>
      </c>
    </row>
    <row r="835" customFormat="false" ht="15" hidden="false" customHeight="true" outlineLevel="0" collapsed="false">
      <c r="A835" s="1" t="s">
        <v>44</v>
      </c>
      <c r="B835" s="1" t="s">
        <v>40</v>
      </c>
      <c r="C835" s="1" t="s">
        <v>41</v>
      </c>
      <c r="D835" s="1" t="s">
        <v>23</v>
      </c>
      <c r="E835" s="1" t="s">
        <v>24</v>
      </c>
      <c r="F835" s="1" t="n">
        <f aca="false">IFERROR('dens_visc_gamma+1octoh'!B22,"")</f>
        <v>20</v>
      </c>
      <c r="G835" s="1" t="str">
        <f aca="false">IFERROR('dens_visc_gamma+1octoh'!A31,"")</f>
        <v/>
      </c>
      <c r="H835" s="1" t="n">
        <f aca="false">IFERROR('dens_visc_gamma+1octoh'!B31,"")</f>
        <v>0</v>
      </c>
      <c r="I835" s="1" t="str">
        <f aca="false">IFERROR('dens_visc_gamma+1octoh'!G31,"")</f>
        <v/>
      </c>
      <c r="J835" s="1" t="n">
        <f aca="false">IFERROR('dens_visc_gamma+1octoh'!B45,"")</f>
        <v>0</v>
      </c>
      <c r="K835" s="1" t="str">
        <f aca="false">IF(AND(ISNUMBER(H835),ISNUMBER(I835),ISNUMBER(J835)),"✓",COUNTIF(H835:J835,"&gt;-999")&amp;"/3")</f>
        <v>2/3</v>
      </c>
    </row>
    <row r="836" customFormat="false" ht="15" hidden="false" customHeight="true" outlineLevel="0" collapsed="false">
      <c r="A836" s="1" t="s">
        <v>44</v>
      </c>
      <c r="B836" s="1" t="s">
        <v>40</v>
      </c>
      <c r="C836" s="1" t="s">
        <v>41</v>
      </c>
      <c r="D836" s="1" t="s">
        <v>23</v>
      </c>
      <c r="E836" s="1" t="s">
        <v>24</v>
      </c>
      <c r="F836" s="1" t="n">
        <f aca="false">IFERROR('dens_visc_gamma+1octoh'!B22,"")</f>
        <v>20</v>
      </c>
      <c r="G836" s="1" t="str">
        <f aca="false">IFERROR('dens_visc_gamma+1octoh'!A32,"")</f>
        <v/>
      </c>
      <c r="H836" s="1" t="n">
        <f aca="false">IFERROR('dens_visc_gamma+1octoh'!B32,"")</f>
        <v>0</v>
      </c>
      <c r="I836" s="1" t="str">
        <f aca="false">IFERROR('dens_visc_gamma+1octoh'!G32,"")</f>
        <v/>
      </c>
      <c r="J836" s="1" t="n">
        <f aca="false">IFERROR('dens_visc_gamma+1octoh'!B46,"")</f>
        <v>0</v>
      </c>
      <c r="K836" s="1" t="str">
        <f aca="false">IF(AND(ISNUMBER(H836),ISNUMBER(I836),ISNUMBER(J836)),"✓",COUNTIF(H836:J836,"&gt;-999")&amp;"/3")</f>
        <v>2/3</v>
      </c>
    </row>
    <row r="837" customFormat="false" ht="15" hidden="false" customHeight="true" outlineLevel="0" collapsed="false">
      <c r="A837" s="1" t="s">
        <v>44</v>
      </c>
      <c r="B837" s="1" t="s">
        <v>40</v>
      </c>
      <c r="C837" s="1" t="s">
        <v>41</v>
      </c>
      <c r="D837" s="1" t="s">
        <v>23</v>
      </c>
      <c r="E837" s="1" t="s">
        <v>24</v>
      </c>
      <c r="F837" s="1" t="n">
        <f aca="false">IFERROR('dens_visc_gamma+1octoh'!B22,"")</f>
        <v>20</v>
      </c>
      <c r="G837" s="1" t="n">
        <f aca="false">IFERROR('dens_visc_gamma+1octoh'!A33,"")</f>
        <v>1</v>
      </c>
      <c r="H837" s="1" t="n">
        <f aca="false">IFERROR('dens_visc_gamma+1octoh'!B33,"")</f>
        <v>0.95292</v>
      </c>
      <c r="I837" s="1" t="n">
        <f aca="false">IFERROR('dens_visc_gamma+1octoh'!G33,"")</f>
        <v>0</v>
      </c>
      <c r="J837" s="1" t="n">
        <f aca="false">IFERROR('dens_visc_gamma+1octoh'!B47,"")</f>
        <v>6.574</v>
      </c>
      <c r="K837" s="1" t="str">
        <f aca="false">IF(AND(ISNUMBER(H837),ISNUMBER(I837),ISNUMBER(J837)),"✓",COUNTIF(H837:J837,"&gt;-999")&amp;"/3")</f>
        <v>✓</v>
      </c>
    </row>
    <row r="838" customFormat="false" ht="15" hidden="false" customHeight="true" outlineLevel="0" collapsed="false">
      <c r="A838" s="1" t="s">
        <v>44</v>
      </c>
      <c r="B838" s="1" t="s">
        <v>40</v>
      </c>
      <c r="C838" s="1" t="s">
        <v>41</v>
      </c>
      <c r="D838" s="1" t="s">
        <v>23</v>
      </c>
      <c r="E838" s="1" t="s">
        <v>24</v>
      </c>
      <c r="F838" s="1" t="n">
        <f aca="false">IFERROR('dens_visc_gamma+1octoh'!C22,"")</f>
        <v>30</v>
      </c>
      <c r="G838" s="1" t="n">
        <f aca="false">IFERROR('dens_visc_gamma+1octoh'!A23,"")</f>
        <v>0</v>
      </c>
      <c r="H838" s="1" t="n">
        <f aca="false">IFERROR('dens_visc_gamma+1octoh'!C23,"")</f>
        <v>0.81835</v>
      </c>
      <c r="I838" s="1" t="n">
        <f aca="false">IFERROR('dens_visc_gamma+1octoh'!H23,"")</f>
        <v>0</v>
      </c>
      <c r="J838" s="1" t="n">
        <f aca="false">IFERROR('dens_visc_gamma+1octoh'!C37,"")</f>
        <v>6.146</v>
      </c>
      <c r="K838" s="1" t="str">
        <f aca="false">IF(AND(ISNUMBER(H838),ISNUMBER(I838),ISNUMBER(J838)),"✓",COUNTIF(H838:J838,"&gt;-999")&amp;"/3")</f>
        <v>✓</v>
      </c>
    </row>
    <row r="839" customFormat="false" ht="15" hidden="false" customHeight="true" outlineLevel="0" collapsed="false">
      <c r="A839" s="1" t="s">
        <v>44</v>
      </c>
      <c r="B839" s="1" t="s">
        <v>40</v>
      </c>
      <c r="C839" s="1" t="s">
        <v>41</v>
      </c>
      <c r="D839" s="1" t="s">
        <v>23</v>
      </c>
      <c r="E839" s="1" t="s">
        <v>24</v>
      </c>
      <c r="F839" s="1" t="n">
        <f aca="false">IFERROR('dens_visc_gamma+1octoh'!C22,"")</f>
        <v>30</v>
      </c>
      <c r="G839" s="1" t="str">
        <f aca="false">IFERROR('dens_visc_gamma+1octoh'!A24,"")</f>
        <v/>
      </c>
      <c r="H839" s="1" t="e">
        <f aca="false">IFERROR('dens_visc_gamma+1octoh'!#ref!,"")</f>
        <v>#VALUE!</v>
      </c>
      <c r="I839" s="1" t="str">
        <f aca="false">IFERROR('dens_visc_gamma+1octoh'!H24,"")</f>
        <v/>
      </c>
      <c r="J839" s="1" t="e">
        <f aca="false">IFERROR('dens_visc_gamma+1octoh'!#ref!,"")</f>
        <v>#VALUE!</v>
      </c>
      <c r="K839" s="1" t="str">
        <f aca="false">IF(AND(ISNUMBER(H839),ISNUMBER(I839),ISNUMBER(J839)),"✓",COUNTIF(H839:J839,"&gt;-999")&amp;"/3")</f>
        <v>0/3</v>
      </c>
    </row>
    <row r="840" customFormat="false" ht="15" hidden="false" customHeight="true" outlineLevel="0" collapsed="false">
      <c r="A840" s="1" t="s">
        <v>44</v>
      </c>
      <c r="B840" s="1" t="s">
        <v>40</v>
      </c>
      <c r="C840" s="1" t="s">
        <v>41</v>
      </c>
      <c r="D840" s="1" t="s">
        <v>23</v>
      </c>
      <c r="E840" s="1" t="s">
        <v>24</v>
      </c>
      <c r="F840" s="1" t="n">
        <f aca="false">IFERROR('dens_visc_gamma+1octoh'!C22,"")</f>
        <v>30</v>
      </c>
      <c r="G840" s="1" t="str">
        <f aca="false">IFERROR('dens_visc_gamma+1octoh'!A25,"")</f>
        <v/>
      </c>
      <c r="H840" s="1" t="e">
        <f aca="false">IFERROR('dens_visc_gamma+1octoh'!#ref!,"")</f>
        <v>#VALUE!</v>
      </c>
      <c r="I840" s="1" t="str">
        <f aca="false">IFERROR('dens_visc_gamma+1octoh'!H25,"")</f>
        <v/>
      </c>
      <c r="J840" s="1" t="e">
        <f aca="false">IFERROR('dens_visc_gamma+1octoh'!#ref!,"")</f>
        <v>#VALUE!</v>
      </c>
      <c r="K840" s="1" t="str">
        <f aca="false">IF(AND(ISNUMBER(H840),ISNUMBER(I840),ISNUMBER(J840)),"✓",COUNTIF(H840:J840,"&gt;-999")&amp;"/3")</f>
        <v>0/3</v>
      </c>
    </row>
    <row r="841" customFormat="false" ht="15" hidden="false" customHeight="true" outlineLevel="0" collapsed="false">
      <c r="A841" s="1" t="s">
        <v>44</v>
      </c>
      <c r="B841" s="1" t="s">
        <v>40</v>
      </c>
      <c r="C841" s="1" t="s">
        <v>41</v>
      </c>
      <c r="D841" s="1" t="s">
        <v>23</v>
      </c>
      <c r="E841" s="1" t="s">
        <v>24</v>
      </c>
      <c r="F841" s="1" t="n">
        <f aca="false">IFERROR('dens_visc_gamma+1octoh'!C22,"")</f>
        <v>30</v>
      </c>
      <c r="G841" s="1" t="str">
        <f aca="false">IFERROR('dens_visc_gamma+1octoh'!A26,"")</f>
        <v/>
      </c>
      <c r="H841" s="1" t="e">
        <f aca="false">IFERROR('dens_visc_gamma+1octoh'!#ref!,"")</f>
        <v>#VALUE!</v>
      </c>
      <c r="I841" s="1" t="str">
        <f aca="false">IFERROR('dens_visc_gamma+1octoh'!H26,"")</f>
        <v/>
      </c>
      <c r="J841" s="1" t="e">
        <f aca="false">IFERROR('dens_visc_gamma+1octoh'!#ref!,"")</f>
        <v>#VALUE!</v>
      </c>
      <c r="K841" s="1" t="str">
        <f aca="false">IF(AND(ISNUMBER(H841),ISNUMBER(I841),ISNUMBER(J841)),"✓",COUNTIF(H841:J841,"&gt;-999")&amp;"/3")</f>
        <v>0/3</v>
      </c>
    </row>
    <row r="842" customFormat="false" ht="15" hidden="false" customHeight="true" outlineLevel="0" collapsed="false">
      <c r="A842" s="1" t="s">
        <v>44</v>
      </c>
      <c r="B842" s="1" t="s">
        <v>40</v>
      </c>
      <c r="C842" s="1" t="s">
        <v>41</v>
      </c>
      <c r="D842" s="1" t="s">
        <v>23</v>
      </c>
      <c r="E842" s="1" t="s">
        <v>24</v>
      </c>
      <c r="F842" s="1" t="n">
        <f aca="false">IFERROR('dens_visc_gamma+1octoh'!C22,"")</f>
        <v>30</v>
      </c>
      <c r="G842" s="1" t="str">
        <f aca="false">IFERROR('dens_visc_gamma+1octoh'!A27,"")</f>
        <v/>
      </c>
      <c r="H842" s="1" t="e">
        <f aca="false">IFERROR('dens_visc_gamma+1octoh'!#ref!,"")</f>
        <v>#VALUE!</v>
      </c>
      <c r="I842" s="1" t="str">
        <f aca="false">IFERROR('dens_visc_gamma+1octoh'!H27,"")</f>
        <v/>
      </c>
      <c r="J842" s="1" t="e">
        <f aca="false">IFERROR('dens_visc_gamma+1octoh'!#ref!,"")</f>
        <v>#VALUE!</v>
      </c>
      <c r="K842" s="1" t="str">
        <f aca="false">IF(AND(ISNUMBER(H842),ISNUMBER(I842),ISNUMBER(J842)),"✓",COUNTIF(H842:J842,"&gt;-999")&amp;"/3")</f>
        <v>0/3</v>
      </c>
    </row>
    <row r="843" customFormat="false" ht="15" hidden="false" customHeight="true" outlineLevel="0" collapsed="false">
      <c r="A843" s="1" t="s">
        <v>44</v>
      </c>
      <c r="B843" s="1" t="s">
        <v>40</v>
      </c>
      <c r="C843" s="1" t="s">
        <v>41</v>
      </c>
      <c r="D843" s="1" t="s">
        <v>23</v>
      </c>
      <c r="E843" s="1" t="s">
        <v>24</v>
      </c>
      <c r="F843" s="1" t="n">
        <f aca="false">IFERROR('dens_visc_gamma+1octoh'!C22,"")</f>
        <v>30</v>
      </c>
      <c r="G843" s="1" t="str">
        <f aca="false">IFERROR('dens_visc_gamma+1octoh'!A28,"")</f>
        <v/>
      </c>
      <c r="H843" s="1" t="e">
        <f aca="false">IFERROR('dens_visc_gamma+1octoh'!#ref!,"")</f>
        <v>#VALUE!</v>
      </c>
      <c r="I843" s="1" t="str">
        <f aca="false">IFERROR('dens_visc_gamma+1octoh'!H28,"")</f>
        <v/>
      </c>
      <c r="J843" s="1" t="e">
        <f aca="false">IFERROR('dens_visc_gamma+1octoh'!#ref!,"")</f>
        <v>#VALUE!</v>
      </c>
      <c r="K843" s="1" t="str">
        <f aca="false">IF(AND(ISNUMBER(H843),ISNUMBER(I843),ISNUMBER(J843)),"✓",COUNTIF(H843:J843,"&gt;-999")&amp;"/3")</f>
        <v>0/3</v>
      </c>
    </row>
    <row r="844" customFormat="false" ht="15" hidden="false" customHeight="true" outlineLevel="0" collapsed="false">
      <c r="A844" s="1" t="s">
        <v>44</v>
      </c>
      <c r="B844" s="1" t="s">
        <v>40</v>
      </c>
      <c r="C844" s="1" t="s">
        <v>41</v>
      </c>
      <c r="D844" s="1" t="s">
        <v>23</v>
      </c>
      <c r="E844" s="1" t="s">
        <v>24</v>
      </c>
      <c r="F844" s="1" t="n">
        <f aca="false">IFERROR('dens_visc_gamma+1octoh'!C22,"")</f>
        <v>30</v>
      </c>
      <c r="G844" s="1" t="str">
        <f aca="false">IFERROR('dens_visc_gamma+1octoh'!A29,"")</f>
        <v/>
      </c>
      <c r="H844" s="1" t="n">
        <f aca="false">IFERROR('dens_visc_gamma+1octoh'!C29,"")</f>
        <v>0</v>
      </c>
      <c r="I844" s="1" t="str">
        <f aca="false">IFERROR('dens_visc_gamma+1octoh'!H29,"")</f>
        <v/>
      </c>
      <c r="J844" s="1" t="n">
        <f aca="false">IFERROR('dens_visc_gamma+1octoh'!C43,"")</f>
        <v>0</v>
      </c>
      <c r="K844" s="1" t="str">
        <f aca="false">IF(AND(ISNUMBER(H844),ISNUMBER(I844),ISNUMBER(J844)),"✓",COUNTIF(H844:J844,"&gt;-999")&amp;"/3")</f>
        <v>2/3</v>
      </c>
    </row>
    <row r="845" customFormat="false" ht="15" hidden="false" customHeight="true" outlineLevel="0" collapsed="false">
      <c r="A845" s="1" t="s">
        <v>44</v>
      </c>
      <c r="B845" s="1" t="s">
        <v>40</v>
      </c>
      <c r="C845" s="1" t="s">
        <v>41</v>
      </c>
      <c r="D845" s="1" t="s">
        <v>23</v>
      </c>
      <c r="E845" s="1" t="s">
        <v>24</v>
      </c>
      <c r="F845" s="1" t="n">
        <f aca="false">IFERROR('dens_visc_gamma+1octoh'!C22,"")</f>
        <v>30</v>
      </c>
      <c r="G845" s="1" t="str">
        <f aca="false">IFERROR('dens_visc_gamma+1octoh'!A30,"")</f>
        <v/>
      </c>
      <c r="H845" s="1" t="n">
        <f aca="false">IFERROR('dens_visc_gamma+1octoh'!C30,"")</f>
        <v>0</v>
      </c>
      <c r="I845" s="1" t="str">
        <f aca="false">IFERROR('dens_visc_gamma+1octoh'!H30,"")</f>
        <v/>
      </c>
      <c r="J845" s="1" t="n">
        <f aca="false">IFERROR('dens_visc_gamma+1octoh'!C44,"")</f>
        <v>0</v>
      </c>
      <c r="K845" s="1" t="str">
        <f aca="false">IF(AND(ISNUMBER(H845),ISNUMBER(I845),ISNUMBER(J845)),"✓",COUNTIF(H845:J845,"&gt;-999")&amp;"/3")</f>
        <v>2/3</v>
      </c>
    </row>
    <row r="846" customFormat="false" ht="15" hidden="false" customHeight="true" outlineLevel="0" collapsed="false">
      <c r="A846" s="1" t="s">
        <v>44</v>
      </c>
      <c r="B846" s="1" t="s">
        <v>40</v>
      </c>
      <c r="C846" s="1" t="s">
        <v>41</v>
      </c>
      <c r="D846" s="1" t="s">
        <v>23</v>
      </c>
      <c r="E846" s="1" t="s">
        <v>24</v>
      </c>
      <c r="F846" s="1" t="n">
        <f aca="false">IFERROR('dens_visc_gamma+1octoh'!C22,"")</f>
        <v>30</v>
      </c>
      <c r="G846" s="1" t="str">
        <f aca="false">IFERROR('dens_visc_gamma+1octoh'!A31,"")</f>
        <v/>
      </c>
      <c r="H846" s="1" t="n">
        <f aca="false">IFERROR('dens_visc_gamma+1octoh'!C31,"")</f>
        <v>0</v>
      </c>
      <c r="I846" s="1" t="str">
        <f aca="false">IFERROR('dens_visc_gamma+1octoh'!H31,"")</f>
        <v/>
      </c>
      <c r="J846" s="1" t="n">
        <f aca="false">IFERROR('dens_visc_gamma+1octoh'!C45,"")</f>
        <v>0</v>
      </c>
      <c r="K846" s="1" t="str">
        <f aca="false">IF(AND(ISNUMBER(H846),ISNUMBER(I846),ISNUMBER(J846)),"✓",COUNTIF(H846:J846,"&gt;-999")&amp;"/3")</f>
        <v>2/3</v>
      </c>
    </row>
    <row r="847" customFormat="false" ht="15" hidden="false" customHeight="true" outlineLevel="0" collapsed="false">
      <c r="A847" s="1" t="s">
        <v>44</v>
      </c>
      <c r="B847" s="1" t="s">
        <v>40</v>
      </c>
      <c r="C847" s="1" t="s">
        <v>41</v>
      </c>
      <c r="D847" s="1" t="s">
        <v>23</v>
      </c>
      <c r="E847" s="1" t="s">
        <v>24</v>
      </c>
      <c r="F847" s="1" t="n">
        <f aca="false">IFERROR('dens_visc_gamma+1octoh'!C22,"")</f>
        <v>30</v>
      </c>
      <c r="G847" s="1" t="str">
        <f aca="false">IFERROR('dens_visc_gamma+1octoh'!A32,"")</f>
        <v/>
      </c>
      <c r="H847" s="1" t="n">
        <f aca="false">IFERROR('dens_visc_gamma+1octoh'!C32,"")</f>
        <v>0</v>
      </c>
      <c r="I847" s="1" t="str">
        <f aca="false">IFERROR('dens_visc_gamma+1octoh'!H32,"")</f>
        <v/>
      </c>
      <c r="J847" s="1" t="n">
        <f aca="false">IFERROR('dens_visc_gamma+1octoh'!C46,"")</f>
        <v>0</v>
      </c>
      <c r="K847" s="1" t="str">
        <f aca="false">IF(AND(ISNUMBER(H847),ISNUMBER(I847),ISNUMBER(J847)),"✓",COUNTIF(H847:J847,"&gt;-999")&amp;"/3")</f>
        <v>2/3</v>
      </c>
    </row>
    <row r="848" customFormat="false" ht="15" hidden="false" customHeight="true" outlineLevel="0" collapsed="false">
      <c r="A848" s="1" t="s">
        <v>44</v>
      </c>
      <c r="B848" s="1" t="s">
        <v>40</v>
      </c>
      <c r="C848" s="1" t="s">
        <v>41</v>
      </c>
      <c r="D848" s="1" t="s">
        <v>23</v>
      </c>
      <c r="E848" s="1" t="s">
        <v>24</v>
      </c>
      <c r="F848" s="1" t="n">
        <f aca="false">IFERROR('dens_visc_gamma+1octoh'!C22,"")</f>
        <v>30</v>
      </c>
      <c r="G848" s="1" t="n">
        <f aca="false">IFERROR('dens_visc_gamma+1octoh'!A33,"")</f>
        <v>1</v>
      </c>
      <c r="H848" s="1" t="n">
        <f aca="false">IFERROR('dens_visc_gamma+1octoh'!C33,"")</f>
        <v>0.94536</v>
      </c>
      <c r="I848" s="1" t="n">
        <f aca="false">IFERROR('dens_visc_gamma+1octoh'!H33,"")</f>
        <v>0</v>
      </c>
      <c r="J848" s="1" t="n">
        <f aca="false">IFERROR('dens_visc_gamma+1octoh'!C47,"")</f>
        <v>4.821</v>
      </c>
      <c r="K848" s="1" t="str">
        <f aca="false">IF(AND(ISNUMBER(H848),ISNUMBER(I848),ISNUMBER(J848)),"✓",COUNTIF(H848:J848,"&gt;-999")&amp;"/3")</f>
        <v>✓</v>
      </c>
    </row>
    <row r="849" customFormat="false" ht="15" hidden="false" customHeight="true" outlineLevel="0" collapsed="false">
      <c r="A849" s="1" t="s">
        <v>44</v>
      </c>
      <c r="B849" s="1" t="s">
        <v>40</v>
      </c>
      <c r="C849" s="1" t="s">
        <v>41</v>
      </c>
      <c r="D849" s="1" t="s">
        <v>23</v>
      </c>
      <c r="E849" s="1" t="s">
        <v>24</v>
      </c>
      <c r="F849" s="1" t="n">
        <f aca="false">IFERROR('dens_visc_gamma+1octoh'!D22,"")</f>
        <v>40</v>
      </c>
      <c r="G849" s="1" t="n">
        <f aca="false">IFERROR('dens_visc_gamma+1octoh'!A23,"")</f>
        <v>0</v>
      </c>
      <c r="H849" s="1" t="n">
        <f aca="false">IFERROR('dens_visc_gamma+1octoh'!D23,"")</f>
        <v>0.81141</v>
      </c>
      <c r="I849" s="1" t="n">
        <f aca="false">IFERROR('dens_visc_gamma+1octoh'!I23,"")</f>
        <v>0</v>
      </c>
      <c r="J849" s="1" t="n">
        <f aca="false">IFERROR('dens_visc_gamma+1octoh'!D37,"")</f>
        <v>4.454</v>
      </c>
      <c r="K849" s="1" t="str">
        <f aca="false">IF(AND(ISNUMBER(H849),ISNUMBER(I849),ISNUMBER(J849)),"✓",COUNTIF(H849:J849,"&gt;-999")&amp;"/3")</f>
        <v>✓</v>
      </c>
    </row>
    <row r="850" customFormat="false" ht="15" hidden="false" customHeight="true" outlineLevel="0" collapsed="false">
      <c r="A850" s="1" t="s">
        <v>44</v>
      </c>
      <c r="B850" s="1" t="s">
        <v>40</v>
      </c>
      <c r="C850" s="1" t="s">
        <v>41</v>
      </c>
      <c r="D850" s="1" t="s">
        <v>23</v>
      </c>
      <c r="E850" s="1" t="s">
        <v>24</v>
      </c>
      <c r="F850" s="1" t="n">
        <f aca="false">IFERROR('dens_visc_gamma+1octoh'!D22,"")</f>
        <v>40</v>
      </c>
      <c r="G850" s="1" t="str">
        <f aca="false">IFERROR('dens_visc_gamma+1octoh'!A24,"")</f>
        <v/>
      </c>
      <c r="H850" s="1" t="e">
        <f aca="false">IFERROR('dens_visc_gamma+1octoh'!#ref!,"")</f>
        <v>#VALUE!</v>
      </c>
      <c r="I850" s="1" t="str">
        <f aca="false">IFERROR('dens_visc_gamma+1octoh'!I24,"")</f>
        <v/>
      </c>
      <c r="J850" s="1" t="e">
        <f aca="false">IFERROR('dens_visc_gamma+1octoh'!#ref!,"")</f>
        <v>#VALUE!</v>
      </c>
      <c r="K850" s="1" t="str">
        <f aca="false">IF(AND(ISNUMBER(H850),ISNUMBER(I850),ISNUMBER(J850)),"✓",COUNTIF(H850:J850,"&gt;-999")&amp;"/3")</f>
        <v>0/3</v>
      </c>
    </row>
    <row r="851" customFormat="false" ht="15" hidden="false" customHeight="true" outlineLevel="0" collapsed="false">
      <c r="A851" s="1" t="s">
        <v>44</v>
      </c>
      <c r="B851" s="1" t="s">
        <v>40</v>
      </c>
      <c r="C851" s="1" t="s">
        <v>41</v>
      </c>
      <c r="D851" s="1" t="s">
        <v>23</v>
      </c>
      <c r="E851" s="1" t="s">
        <v>24</v>
      </c>
      <c r="F851" s="1" t="n">
        <f aca="false">IFERROR('dens_visc_gamma+1octoh'!D22,"")</f>
        <v>40</v>
      </c>
      <c r="G851" s="1" t="str">
        <f aca="false">IFERROR('dens_visc_gamma+1octoh'!A25,"")</f>
        <v/>
      </c>
      <c r="H851" s="1" t="e">
        <f aca="false">IFERROR('dens_visc_gamma+1octoh'!#ref!,"")</f>
        <v>#VALUE!</v>
      </c>
      <c r="I851" s="1" t="str">
        <f aca="false">IFERROR('dens_visc_gamma+1octoh'!I25,"")</f>
        <v/>
      </c>
      <c r="J851" s="1" t="e">
        <f aca="false">IFERROR('dens_visc_gamma+1octoh'!#ref!,"")</f>
        <v>#VALUE!</v>
      </c>
      <c r="K851" s="1" t="str">
        <f aca="false">IF(AND(ISNUMBER(H851),ISNUMBER(I851),ISNUMBER(J851)),"✓",COUNTIF(H851:J851,"&gt;-999")&amp;"/3")</f>
        <v>0/3</v>
      </c>
    </row>
    <row r="852" customFormat="false" ht="15" hidden="false" customHeight="true" outlineLevel="0" collapsed="false">
      <c r="A852" s="1" t="s">
        <v>44</v>
      </c>
      <c r="B852" s="1" t="s">
        <v>40</v>
      </c>
      <c r="C852" s="1" t="s">
        <v>41</v>
      </c>
      <c r="D852" s="1" t="s">
        <v>23</v>
      </c>
      <c r="E852" s="1" t="s">
        <v>24</v>
      </c>
      <c r="F852" s="1" t="n">
        <f aca="false">IFERROR('dens_visc_gamma+1octoh'!D22,"")</f>
        <v>40</v>
      </c>
      <c r="G852" s="1" t="str">
        <f aca="false">IFERROR('dens_visc_gamma+1octoh'!A26,"")</f>
        <v/>
      </c>
      <c r="H852" s="1" t="e">
        <f aca="false">IFERROR('dens_visc_gamma+1octoh'!#ref!,"")</f>
        <v>#VALUE!</v>
      </c>
      <c r="I852" s="1" t="str">
        <f aca="false">IFERROR('dens_visc_gamma+1octoh'!I26,"")</f>
        <v/>
      </c>
      <c r="J852" s="1" t="e">
        <f aca="false">IFERROR('dens_visc_gamma+1octoh'!#ref!,"")</f>
        <v>#VALUE!</v>
      </c>
      <c r="K852" s="1" t="str">
        <f aca="false">IF(AND(ISNUMBER(H852),ISNUMBER(I852),ISNUMBER(J852)),"✓",COUNTIF(H852:J852,"&gt;-999")&amp;"/3")</f>
        <v>0/3</v>
      </c>
    </row>
    <row r="853" customFormat="false" ht="15" hidden="false" customHeight="true" outlineLevel="0" collapsed="false">
      <c r="A853" s="1" t="s">
        <v>44</v>
      </c>
      <c r="B853" s="1" t="s">
        <v>40</v>
      </c>
      <c r="C853" s="1" t="s">
        <v>41</v>
      </c>
      <c r="D853" s="1" t="s">
        <v>23</v>
      </c>
      <c r="E853" s="1" t="s">
        <v>24</v>
      </c>
      <c r="F853" s="1" t="n">
        <f aca="false">IFERROR('dens_visc_gamma+1octoh'!D22,"")</f>
        <v>40</v>
      </c>
      <c r="G853" s="1" t="str">
        <f aca="false">IFERROR('dens_visc_gamma+1octoh'!A27,"")</f>
        <v/>
      </c>
      <c r="H853" s="1" t="e">
        <f aca="false">IFERROR('dens_visc_gamma+1octoh'!#ref!,"")</f>
        <v>#VALUE!</v>
      </c>
      <c r="I853" s="1" t="str">
        <f aca="false">IFERROR('dens_visc_gamma+1octoh'!I27,"")</f>
        <v/>
      </c>
      <c r="J853" s="1" t="e">
        <f aca="false">IFERROR('dens_visc_gamma+1octoh'!#ref!,"")</f>
        <v>#VALUE!</v>
      </c>
      <c r="K853" s="1" t="str">
        <f aca="false">IF(AND(ISNUMBER(H853),ISNUMBER(I853),ISNUMBER(J853)),"✓",COUNTIF(H853:J853,"&gt;-999")&amp;"/3")</f>
        <v>0/3</v>
      </c>
    </row>
    <row r="854" customFormat="false" ht="15" hidden="false" customHeight="true" outlineLevel="0" collapsed="false">
      <c r="A854" s="1" t="s">
        <v>44</v>
      </c>
      <c r="B854" s="1" t="s">
        <v>40</v>
      </c>
      <c r="C854" s="1" t="s">
        <v>41</v>
      </c>
      <c r="D854" s="1" t="s">
        <v>23</v>
      </c>
      <c r="E854" s="1" t="s">
        <v>24</v>
      </c>
      <c r="F854" s="1" t="n">
        <f aca="false">IFERROR('dens_visc_gamma+1octoh'!D22,"")</f>
        <v>40</v>
      </c>
      <c r="G854" s="1" t="str">
        <f aca="false">IFERROR('dens_visc_gamma+1octoh'!A28,"")</f>
        <v/>
      </c>
      <c r="H854" s="1" t="e">
        <f aca="false">IFERROR('dens_visc_gamma+1octoh'!#ref!,"")</f>
        <v>#VALUE!</v>
      </c>
      <c r="I854" s="1" t="str">
        <f aca="false">IFERROR('dens_visc_gamma+1octoh'!I28,"")</f>
        <v/>
      </c>
      <c r="J854" s="1" t="e">
        <f aca="false">IFERROR('dens_visc_gamma+1octoh'!#ref!,"")</f>
        <v>#VALUE!</v>
      </c>
      <c r="K854" s="1" t="str">
        <f aca="false">IF(AND(ISNUMBER(H854),ISNUMBER(I854),ISNUMBER(J854)),"✓",COUNTIF(H854:J854,"&gt;-999")&amp;"/3")</f>
        <v>0/3</v>
      </c>
    </row>
    <row r="855" customFormat="false" ht="15" hidden="false" customHeight="true" outlineLevel="0" collapsed="false">
      <c r="A855" s="1" t="s">
        <v>44</v>
      </c>
      <c r="B855" s="1" t="s">
        <v>40</v>
      </c>
      <c r="C855" s="1" t="s">
        <v>41</v>
      </c>
      <c r="D855" s="1" t="s">
        <v>23</v>
      </c>
      <c r="E855" s="1" t="s">
        <v>24</v>
      </c>
      <c r="F855" s="1" t="n">
        <f aca="false">IFERROR('dens_visc_gamma+1octoh'!D22,"")</f>
        <v>40</v>
      </c>
      <c r="G855" s="1" t="str">
        <f aca="false">IFERROR('dens_visc_gamma+1octoh'!A29,"")</f>
        <v/>
      </c>
      <c r="H855" s="1" t="n">
        <f aca="false">IFERROR('dens_visc_gamma+1octoh'!D29,"")</f>
        <v>0</v>
      </c>
      <c r="I855" s="1" t="str">
        <f aca="false">IFERROR('dens_visc_gamma+1octoh'!I29,"")</f>
        <v/>
      </c>
      <c r="J855" s="1" t="n">
        <f aca="false">IFERROR('dens_visc_gamma+1octoh'!D43,"")</f>
        <v>0</v>
      </c>
      <c r="K855" s="1" t="str">
        <f aca="false">IF(AND(ISNUMBER(H855),ISNUMBER(I855),ISNUMBER(J855)),"✓",COUNTIF(H855:J855,"&gt;-999")&amp;"/3")</f>
        <v>2/3</v>
      </c>
    </row>
    <row r="856" customFormat="false" ht="15" hidden="false" customHeight="true" outlineLevel="0" collapsed="false">
      <c r="A856" s="1" t="s">
        <v>44</v>
      </c>
      <c r="B856" s="1" t="s">
        <v>40</v>
      </c>
      <c r="C856" s="1" t="s">
        <v>41</v>
      </c>
      <c r="D856" s="1" t="s">
        <v>23</v>
      </c>
      <c r="E856" s="1" t="s">
        <v>24</v>
      </c>
      <c r="F856" s="1" t="n">
        <f aca="false">IFERROR('dens_visc_gamma+1octoh'!D22,"")</f>
        <v>40</v>
      </c>
      <c r="G856" s="1" t="str">
        <f aca="false">IFERROR('dens_visc_gamma+1octoh'!A30,"")</f>
        <v/>
      </c>
      <c r="H856" s="1" t="n">
        <f aca="false">IFERROR('dens_visc_gamma+1octoh'!D30,"")</f>
        <v>0</v>
      </c>
      <c r="I856" s="1" t="str">
        <f aca="false">IFERROR('dens_visc_gamma+1octoh'!I30,"")</f>
        <v/>
      </c>
      <c r="J856" s="1" t="n">
        <f aca="false">IFERROR('dens_visc_gamma+1octoh'!D44,"")</f>
        <v>0</v>
      </c>
      <c r="K856" s="1" t="str">
        <f aca="false">IF(AND(ISNUMBER(H856),ISNUMBER(I856),ISNUMBER(J856)),"✓",COUNTIF(H856:J856,"&gt;-999")&amp;"/3")</f>
        <v>2/3</v>
      </c>
    </row>
    <row r="857" customFormat="false" ht="15" hidden="false" customHeight="true" outlineLevel="0" collapsed="false">
      <c r="A857" s="1" t="s">
        <v>44</v>
      </c>
      <c r="B857" s="1" t="s">
        <v>40</v>
      </c>
      <c r="C857" s="1" t="s">
        <v>41</v>
      </c>
      <c r="D857" s="1" t="s">
        <v>23</v>
      </c>
      <c r="E857" s="1" t="s">
        <v>24</v>
      </c>
      <c r="F857" s="1" t="n">
        <f aca="false">IFERROR('dens_visc_gamma+1octoh'!D22,"")</f>
        <v>40</v>
      </c>
      <c r="G857" s="1" t="str">
        <f aca="false">IFERROR('dens_visc_gamma+1octoh'!A31,"")</f>
        <v/>
      </c>
      <c r="H857" s="1" t="n">
        <f aca="false">IFERROR('dens_visc_gamma+1octoh'!D31,"")</f>
        <v>0</v>
      </c>
      <c r="I857" s="1" t="str">
        <f aca="false">IFERROR('dens_visc_gamma+1octoh'!I31,"")</f>
        <v/>
      </c>
      <c r="J857" s="1" t="n">
        <f aca="false">IFERROR('dens_visc_gamma+1octoh'!D45,"")</f>
        <v>0</v>
      </c>
      <c r="K857" s="1" t="str">
        <f aca="false">IF(AND(ISNUMBER(H857),ISNUMBER(I857),ISNUMBER(J857)),"✓",COUNTIF(H857:J857,"&gt;-999")&amp;"/3")</f>
        <v>2/3</v>
      </c>
    </row>
    <row r="858" customFormat="false" ht="15" hidden="false" customHeight="true" outlineLevel="0" collapsed="false">
      <c r="A858" s="1" t="s">
        <v>44</v>
      </c>
      <c r="B858" s="1" t="s">
        <v>40</v>
      </c>
      <c r="C858" s="1" t="s">
        <v>41</v>
      </c>
      <c r="D858" s="1" t="s">
        <v>23</v>
      </c>
      <c r="E858" s="1" t="s">
        <v>24</v>
      </c>
      <c r="F858" s="1" t="n">
        <f aca="false">IFERROR('dens_visc_gamma+1octoh'!D22,"")</f>
        <v>40</v>
      </c>
      <c r="G858" s="1" t="str">
        <f aca="false">IFERROR('dens_visc_gamma+1octoh'!A32,"")</f>
        <v/>
      </c>
      <c r="H858" s="1" t="n">
        <f aca="false">IFERROR('dens_visc_gamma+1octoh'!D32,"")</f>
        <v>0</v>
      </c>
      <c r="I858" s="1" t="str">
        <f aca="false">IFERROR('dens_visc_gamma+1octoh'!I32,"")</f>
        <v/>
      </c>
      <c r="J858" s="1" t="n">
        <f aca="false">IFERROR('dens_visc_gamma+1octoh'!D46,"")</f>
        <v>0</v>
      </c>
      <c r="K858" s="1" t="str">
        <f aca="false">IF(AND(ISNUMBER(H858),ISNUMBER(I858),ISNUMBER(J858)),"✓",COUNTIF(H858:J858,"&gt;-999")&amp;"/3")</f>
        <v>2/3</v>
      </c>
    </row>
    <row r="859" customFormat="false" ht="15" hidden="false" customHeight="true" outlineLevel="0" collapsed="false">
      <c r="A859" s="1" t="s">
        <v>44</v>
      </c>
      <c r="B859" s="1" t="s">
        <v>40</v>
      </c>
      <c r="C859" s="1" t="s">
        <v>41</v>
      </c>
      <c r="D859" s="1" t="s">
        <v>23</v>
      </c>
      <c r="E859" s="1" t="s">
        <v>24</v>
      </c>
      <c r="F859" s="1" t="n">
        <f aca="false">IFERROR('dens_visc_gamma+1octoh'!D22,"")</f>
        <v>40</v>
      </c>
      <c r="G859" s="1" t="n">
        <f aca="false">IFERROR('dens_visc_gamma+1octoh'!A33,"")</f>
        <v>1</v>
      </c>
      <c r="H859" s="1" t="n">
        <f aca="false">IFERROR('dens_visc_gamma+1octoh'!D33,"")</f>
        <v>0.93774</v>
      </c>
      <c r="I859" s="1" t="n">
        <f aca="false">IFERROR('dens_visc_gamma+1octoh'!I33,"")</f>
        <v>0</v>
      </c>
      <c r="J859" s="1" t="n">
        <f aca="false">IFERROR('dens_visc_gamma+1octoh'!D47,"")</f>
        <v>3.691</v>
      </c>
      <c r="K859" s="1" t="str">
        <f aca="false">IF(AND(ISNUMBER(H859),ISNUMBER(I859),ISNUMBER(J859)),"✓",COUNTIF(H859:J859,"&gt;-999")&amp;"/3")</f>
        <v>✓</v>
      </c>
    </row>
    <row r="860" customFormat="false" ht="15" hidden="false" customHeight="true" outlineLevel="0" collapsed="false">
      <c r="A860" s="1" t="s">
        <v>44</v>
      </c>
      <c r="B860" s="1" t="s">
        <v>40</v>
      </c>
      <c r="C860" s="1" t="s">
        <v>41</v>
      </c>
      <c r="D860" s="1" t="s">
        <v>23</v>
      </c>
      <c r="E860" s="1" t="s">
        <v>24</v>
      </c>
      <c r="F860" s="1" t="n">
        <f aca="false">IFERROR('dens_visc_gamma+1octoh'!E22,"")</f>
        <v>50</v>
      </c>
      <c r="G860" s="1" t="n">
        <f aca="false">IFERROR('dens_visc_gamma+1octoh'!A23,"")</f>
        <v>0</v>
      </c>
      <c r="H860" s="1" t="n">
        <f aca="false">IFERROR('dens_visc_gamma+1octoh'!E23,"")</f>
        <v>0.80433</v>
      </c>
      <c r="I860" s="1" t="n">
        <f aca="false">IFERROR('dens_visc_gamma+1octoh'!J23,"")</f>
        <v>0</v>
      </c>
      <c r="J860" s="1" t="n">
        <f aca="false">IFERROR('dens_visc_gamma+1octoh'!E37,"")</f>
        <v>3.292</v>
      </c>
      <c r="K860" s="1" t="str">
        <f aca="false">IF(AND(ISNUMBER(H860),ISNUMBER(I860),ISNUMBER(J860)),"✓",COUNTIF(H860:J860,"&gt;-999")&amp;"/3")</f>
        <v>✓</v>
      </c>
    </row>
    <row r="861" customFormat="false" ht="15" hidden="false" customHeight="true" outlineLevel="0" collapsed="false">
      <c r="A861" s="1" t="s">
        <v>44</v>
      </c>
      <c r="B861" s="1" t="s">
        <v>40</v>
      </c>
      <c r="C861" s="1" t="s">
        <v>41</v>
      </c>
      <c r="D861" s="1" t="s">
        <v>23</v>
      </c>
      <c r="E861" s="1" t="s">
        <v>24</v>
      </c>
      <c r="F861" s="1" t="n">
        <f aca="false">IFERROR('dens_visc_gamma+1octoh'!E22,"")</f>
        <v>50</v>
      </c>
      <c r="G861" s="1" t="str">
        <f aca="false">IFERROR('dens_visc_gamma+1octoh'!A24,"")</f>
        <v/>
      </c>
      <c r="H861" s="1" t="e">
        <f aca="false">IFERROR('dens_visc_gamma+1octoh'!#ref!,"")</f>
        <v>#VALUE!</v>
      </c>
      <c r="I861" s="1" t="str">
        <f aca="false">IFERROR('dens_visc_gamma+1octoh'!J24,"")</f>
        <v/>
      </c>
      <c r="J861" s="1" t="e">
        <f aca="false">IFERROR('dens_visc_gamma+1octoh'!#ref!,"")</f>
        <v>#VALUE!</v>
      </c>
      <c r="K861" s="1" t="str">
        <f aca="false">IF(AND(ISNUMBER(H861),ISNUMBER(I861),ISNUMBER(J861)),"✓",COUNTIF(H861:J861,"&gt;-999")&amp;"/3")</f>
        <v>0/3</v>
      </c>
    </row>
    <row r="862" customFormat="false" ht="15" hidden="false" customHeight="true" outlineLevel="0" collapsed="false">
      <c r="A862" s="1" t="s">
        <v>44</v>
      </c>
      <c r="B862" s="1" t="s">
        <v>40</v>
      </c>
      <c r="C862" s="1" t="s">
        <v>41</v>
      </c>
      <c r="D862" s="1" t="s">
        <v>23</v>
      </c>
      <c r="E862" s="1" t="s">
        <v>24</v>
      </c>
      <c r="F862" s="1" t="n">
        <f aca="false">IFERROR('dens_visc_gamma+1octoh'!E22,"")</f>
        <v>50</v>
      </c>
      <c r="G862" s="1" t="str">
        <f aca="false">IFERROR('dens_visc_gamma+1octoh'!A25,"")</f>
        <v/>
      </c>
      <c r="H862" s="1" t="e">
        <f aca="false">IFERROR('dens_visc_gamma+1octoh'!#ref!,"")</f>
        <v>#VALUE!</v>
      </c>
      <c r="I862" s="1" t="str">
        <f aca="false">IFERROR('dens_visc_gamma+1octoh'!J25,"")</f>
        <v/>
      </c>
      <c r="J862" s="1" t="e">
        <f aca="false">IFERROR('dens_visc_gamma+1octoh'!#ref!,"")</f>
        <v>#VALUE!</v>
      </c>
      <c r="K862" s="1" t="str">
        <f aca="false">IF(AND(ISNUMBER(H862),ISNUMBER(I862),ISNUMBER(J862)),"✓",COUNTIF(H862:J862,"&gt;-999")&amp;"/3")</f>
        <v>0/3</v>
      </c>
    </row>
    <row r="863" customFormat="false" ht="15" hidden="false" customHeight="true" outlineLevel="0" collapsed="false">
      <c r="A863" s="1" t="s">
        <v>44</v>
      </c>
      <c r="B863" s="1" t="s">
        <v>40</v>
      </c>
      <c r="C863" s="1" t="s">
        <v>41</v>
      </c>
      <c r="D863" s="1" t="s">
        <v>23</v>
      </c>
      <c r="E863" s="1" t="s">
        <v>24</v>
      </c>
      <c r="F863" s="1" t="n">
        <f aca="false">IFERROR('dens_visc_gamma+1octoh'!E22,"")</f>
        <v>50</v>
      </c>
      <c r="G863" s="1" t="str">
        <f aca="false">IFERROR('dens_visc_gamma+1octoh'!A26,"")</f>
        <v/>
      </c>
      <c r="H863" s="1" t="e">
        <f aca="false">IFERROR('dens_visc_gamma+1octoh'!#ref!,"")</f>
        <v>#VALUE!</v>
      </c>
      <c r="I863" s="1" t="str">
        <f aca="false">IFERROR('dens_visc_gamma+1octoh'!J26,"")</f>
        <v/>
      </c>
      <c r="J863" s="1" t="e">
        <f aca="false">IFERROR('dens_visc_gamma+1octoh'!#ref!,"")</f>
        <v>#VALUE!</v>
      </c>
      <c r="K863" s="1" t="str">
        <f aca="false">IF(AND(ISNUMBER(H863),ISNUMBER(I863),ISNUMBER(J863)),"✓",COUNTIF(H863:J863,"&gt;-999")&amp;"/3")</f>
        <v>0/3</v>
      </c>
    </row>
    <row r="864" customFormat="false" ht="15" hidden="false" customHeight="true" outlineLevel="0" collapsed="false">
      <c r="A864" s="1" t="s">
        <v>44</v>
      </c>
      <c r="B864" s="1" t="s">
        <v>40</v>
      </c>
      <c r="C864" s="1" t="s">
        <v>41</v>
      </c>
      <c r="D864" s="1" t="s">
        <v>23</v>
      </c>
      <c r="E864" s="1" t="s">
        <v>24</v>
      </c>
      <c r="F864" s="1" t="n">
        <f aca="false">IFERROR('dens_visc_gamma+1octoh'!E22,"")</f>
        <v>50</v>
      </c>
      <c r="G864" s="1" t="str">
        <f aca="false">IFERROR('dens_visc_gamma+1octoh'!A27,"")</f>
        <v/>
      </c>
      <c r="H864" s="1" t="e">
        <f aca="false">IFERROR('dens_visc_gamma+1octoh'!#ref!,"")</f>
        <v>#VALUE!</v>
      </c>
      <c r="I864" s="1" t="str">
        <f aca="false">IFERROR('dens_visc_gamma+1octoh'!J27,"")</f>
        <v/>
      </c>
      <c r="J864" s="1" t="e">
        <f aca="false">IFERROR('dens_visc_gamma+1octoh'!#ref!,"")</f>
        <v>#VALUE!</v>
      </c>
      <c r="K864" s="1" t="str">
        <f aca="false">IF(AND(ISNUMBER(H864),ISNUMBER(I864),ISNUMBER(J864)),"✓",COUNTIF(H864:J864,"&gt;-999")&amp;"/3")</f>
        <v>0/3</v>
      </c>
    </row>
    <row r="865" customFormat="false" ht="15" hidden="false" customHeight="true" outlineLevel="0" collapsed="false">
      <c r="A865" s="1" t="s">
        <v>44</v>
      </c>
      <c r="B865" s="1" t="s">
        <v>40</v>
      </c>
      <c r="C865" s="1" t="s">
        <v>41</v>
      </c>
      <c r="D865" s="1" t="s">
        <v>23</v>
      </c>
      <c r="E865" s="1" t="s">
        <v>24</v>
      </c>
      <c r="F865" s="1" t="n">
        <f aca="false">IFERROR('dens_visc_gamma+1octoh'!E22,"")</f>
        <v>50</v>
      </c>
      <c r="G865" s="1" t="str">
        <f aca="false">IFERROR('dens_visc_gamma+1octoh'!A28,"")</f>
        <v/>
      </c>
      <c r="H865" s="1" t="e">
        <f aca="false">IFERROR('dens_visc_gamma+1octoh'!#ref!,"")</f>
        <v>#VALUE!</v>
      </c>
      <c r="I865" s="1" t="str">
        <f aca="false">IFERROR('dens_visc_gamma+1octoh'!J28,"")</f>
        <v/>
      </c>
      <c r="J865" s="1" t="e">
        <f aca="false">IFERROR('dens_visc_gamma+1octoh'!#ref!,"")</f>
        <v>#VALUE!</v>
      </c>
      <c r="K865" s="1" t="str">
        <f aca="false">IF(AND(ISNUMBER(H865),ISNUMBER(I865),ISNUMBER(J865)),"✓",COUNTIF(H865:J865,"&gt;-999")&amp;"/3")</f>
        <v>0/3</v>
      </c>
    </row>
    <row r="866" customFormat="false" ht="15" hidden="false" customHeight="true" outlineLevel="0" collapsed="false">
      <c r="A866" s="1" t="s">
        <v>44</v>
      </c>
      <c r="B866" s="1" t="s">
        <v>40</v>
      </c>
      <c r="C866" s="1" t="s">
        <v>41</v>
      </c>
      <c r="D866" s="1" t="s">
        <v>23</v>
      </c>
      <c r="E866" s="1" t="s">
        <v>24</v>
      </c>
      <c r="F866" s="1" t="n">
        <f aca="false">IFERROR('dens_visc_gamma+1octoh'!E22,"")</f>
        <v>50</v>
      </c>
      <c r="G866" s="1" t="str">
        <f aca="false">IFERROR('dens_visc_gamma+1octoh'!A29,"")</f>
        <v/>
      </c>
      <c r="H866" s="1" t="n">
        <f aca="false">IFERROR('dens_visc_gamma+1octoh'!E29,"")</f>
        <v>0</v>
      </c>
      <c r="I866" s="1" t="str">
        <f aca="false">IFERROR('dens_visc_gamma+1octoh'!J29,"")</f>
        <v/>
      </c>
      <c r="J866" s="1" t="n">
        <f aca="false">IFERROR('dens_visc_gamma+1octoh'!E43,"")</f>
        <v>0</v>
      </c>
      <c r="K866" s="1" t="str">
        <f aca="false">IF(AND(ISNUMBER(H866),ISNUMBER(I866),ISNUMBER(J866)),"✓",COUNTIF(H866:J866,"&gt;-999")&amp;"/3")</f>
        <v>2/3</v>
      </c>
    </row>
    <row r="867" customFormat="false" ht="15" hidden="false" customHeight="true" outlineLevel="0" collapsed="false">
      <c r="A867" s="1" t="s">
        <v>44</v>
      </c>
      <c r="B867" s="1" t="s">
        <v>40</v>
      </c>
      <c r="C867" s="1" t="s">
        <v>41</v>
      </c>
      <c r="D867" s="1" t="s">
        <v>23</v>
      </c>
      <c r="E867" s="1" t="s">
        <v>24</v>
      </c>
      <c r="F867" s="1" t="n">
        <f aca="false">IFERROR('dens_visc_gamma+1octoh'!E22,"")</f>
        <v>50</v>
      </c>
      <c r="G867" s="1" t="str">
        <f aca="false">IFERROR('dens_visc_gamma+1octoh'!A30,"")</f>
        <v/>
      </c>
      <c r="H867" s="1" t="n">
        <f aca="false">IFERROR('dens_visc_gamma+1octoh'!E30,"")</f>
        <v>0</v>
      </c>
      <c r="I867" s="1" t="str">
        <f aca="false">IFERROR('dens_visc_gamma+1octoh'!J30,"")</f>
        <v/>
      </c>
      <c r="J867" s="1" t="n">
        <f aca="false">IFERROR('dens_visc_gamma+1octoh'!E44,"")</f>
        <v>0</v>
      </c>
      <c r="K867" s="1" t="str">
        <f aca="false">IF(AND(ISNUMBER(H867),ISNUMBER(I867),ISNUMBER(J867)),"✓",COUNTIF(H867:J867,"&gt;-999")&amp;"/3")</f>
        <v>2/3</v>
      </c>
    </row>
    <row r="868" customFormat="false" ht="15" hidden="false" customHeight="true" outlineLevel="0" collapsed="false">
      <c r="A868" s="1" t="s">
        <v>44</v>
      </c>
      <c r="B868" s="1" t="s">
        <v>40</v>
      </c>
      <c r="C868" s="1" t="s">
        <v>41</v>
      </c>
      <c r="D868" s="1" t="s">
        <v>23</v>
      </c>
      <c r="E868" s="1" t="s">
        <v>24</v>
      </c>
      <c r="F868" s="1" t="n">
        <f aca="false">IFERROR('dens_visc_gamma+1octoh'!E22,"")</f>
        <v>50</v>
      </c>
      <c r="G868" s="1" t="str">
        <f aca="false">IFERROR('dens_visc_gamma+1octoh'!A31,"")</f>
        <v/>
      </c>
      <c r="H868" s="1" t="n">
        <f aca="false">IFERROR('dens_visc_gamma+1octoh'!E31,"")</f>
        <v>0</v>
      </c>
      <c r="I868" s="1" t="str">
        <f aca="false">IFERROR('dens_visc_gamma+1octoh'!J31,"")</f>
        <v/>
      </c>
      <c r="J868" s="1" t="n">
        <f aca="false">IFERROR('dens_visc_gamma+1octoh'!E45,"")</f>
        <v>0</v>
      </c>
      <c r="K868" s="1" t="str">
        <f aca="false">IF(AND(ISNUMBER(H868),ISNUMBER(I868),ISNUMBER(J868)),"✓",COUNTIF(H868:J868,"&gt;-999")&amp;"/3")</f>
        <v>2/3</v>
      </c>
    </row>
    <row r="869" customFormat="false" ht="15" hidden="false" customHeight="true" outlineLevel="0" collapsed="false">
      <c r="A869" s="1" t="s">
        <v>44</v>
      </c>
      <c r="B869" s="1" t="s">
        <v>40</v>
      </c>
      <c r="C869" s="1" t="s">
        <v>41</v>
      </c>
      <c r="D869" s="1" t="s">
        <v>23</v>
      </c>
      <c r="E869" s="1" t="s">
        <v>24</v>
      </c>
      <c r="F869" s="1" t="n">
        <f aca="false">IFERROR('dens_visc_gamma+1octoh'!E22,"")</f>
        <v>50</v>
      </c>
      <c r="G869" s="1" t="str">
        <f aca="false">IFERROR('dens_visc_gamma+1octoh'!A32,"")</f>
        <v/>
      </c>
      <c r="H869" s="1" t="n">
        <f aca="false">IFERROR('dens_visc_gamma+1octoh'!E32,"")</f>
        <v>0</v>
      </c>
      <c r="I869" s="1" t="str">
        <f aca="false">IFERROR('dens_visc_gamma+1octoh'!J32,"")</f>
        <v/>
      </c>
      <c r="J869" s="1" t="n">
        <f aca="false">IFERROR('dens_visc_gamma+1octoh'!E46,"")</f>
        <v>0</v>
      </c>
      <c r="K869" s="1" t="str">
        <f aca="false">IF(AND(ISNUMBER(H869),ISNUMBER(I869),ISNUMBER(J869)),"✓",COUNTIF(H869:J869,"&gt;-999")&amp;"/3")</f>
        <v>2/3</v>
      </c>
    </row>
    <row r="870" customFormat="false" ht="15" hidden="false" customHeight="true" outlineLevel="0" collapsed="false">
      <c r="A870" s="1" t="s">
        <v>44</v>
      </c>
      <c r="B870" s="1" t="s">
        <v>40</v>
      </c>
      <c r="C870" s="1" t="s">
        <v>41</v>
      </c>
      <c r="D870" s="1" t="s">
        <v>23</v>
      </c>
      <c r="E870" s="1" t="s">
        <v>24</v>
      </c>
      <c r="F870" s="1" t="n">
        <f aca="false">IFERROR('dens_visc_gamma+1octoh'!E22,"")</f>
        <v>50</v>
      </c>
      <c r="G870" s="1" t="n">
        <f aca="false">IFERROR('dens_visc_gamma+1octoh'!A33,"")</f>
        <v>1</v>
      </c>
      <c r="H870" s="1" t="n">
        <f aca="false">IFERROR('dens_visc_gamma+1octoh'!E33,"")</f>
        <v>0.93013</v>
      </c>
      <c r="I870" s="1" t="n">
        <f aca="false">IFERROR('dens_visc_gamma+1octoh'!J33,"")</f>
        <v>0</v>
      </c>
      <c r="J870" s="1" t="n">
        <f aca="false">IFERROR('dens_visc_gamma+1octoh'!E47,"")</f>
        <v>2.914</v>
      </c>
      <c r="K870" s="1" t="str">
        <f aca="false">IF(AND(ISNUMBER(H870),ISNUMBER(I870),ISNUMBER(J870)),"✓",COUNTIF(H870:J870,"&gt;-999")&amp;"/3")</f>
        <v>✓</v>
      </c>
    </row>
    <row r="871" customFormat="false" ht="15" hidden="false" customHeight="true" outlineLevel="0" collapsed="false">
      <c r="A871" s="1" t="s">
        <v>44</v>
      </c>
      <c r="B871" s="1" t="s">
        <v>40</v>
      </c>
      <c r="C871" s="1" t="s">
        <v>41</v>
      </c>
      <c r="D871" s="1" t="s">
        <v>23</v>
      </c>
      <c r="E871" s="1" t="s">
        <v>24</v>
      </c>
      <c r="F871" s="1" t="n">
        <f aca="false">IFERROR('dens_visc_gamma+1octoh'!F22,"")</f>
        <v>60</v>
      </c>
      <c r="G871" s="1" t="n">
        <f aca="false">IFERROR('dens_visc_gamma+1octoh'!A23,"")</f>
        <v>0</v>
      </c>
      <c r="H871" s="1" t="n">
        <f aca="false">IFERROR('dens_visc_gamma+1octoh'!F23,"")</f>
        <v>0.79719</v>
      </c>
      <c r="I871" s="1" t="n">
        <f aca="false">IFERROR('dens_visc_gamma+1octoh'!K23,"")</f>
        <v>0</v>
      </c>
      <c r="J871" s="1" t="n">
        <f aca="false">IFERROR('dens_visc_gamma+1octoh'!F37,"")</f>
        <v>2.511</v>
      </c>
      <c r="K871" s="1" t="str">
        <f aca="false">IF(AND(ISNUMBER(H871),ISNUMBER(I871),ISNUMBER(J871)),"✓",COUNTIF(H871:J871,"&gt;-999")&amp;"/3")</f>
        <v>✓</v>
      </c>
    </row>
    <row r="872" customFormat="false" ht="15" hidden="false" customHeight="true" outlineLevel="0" collapsed="false">
      <c r="A872" s="1" t="s">
        <v>44</v>
      </c>
      <c r="B872" s="1" t="s">
        <v>40</v>
      </c>
      <c r="C872" s="1" t="s">
        <v>41</v>
      </c>
      <c r="D872" s="1" t="s">
        <v>23</v>
      </c>
      <c r="E872" s="1" t="s">
        <v>24</v>
      </c>
      <c r="F872" s="1" t="n">
        <f aca="false">IFERROR('dens_visc_gamma+1octoh'!F22,"")</f>
        <v>60</v>
      </c>
      <c r="G872" s="1" t="str">
        <f aca="false">IFERROR('dens_visc_gamma+1octoh'!A24,"")</f>
        <v/>
      </c>
      <c r="H872" s="1" t="e">
        <f aca="false">IFERROR('dens_visc_gamma+1octoh'!#ref!,"")</f>
        <v>#VALUE!</v>
      </c>
      <c r="I872" s="1" t="str">
        <f aca="false">IFERROR('dens_visc_gamma+1octoh'!K24,"")</f>
        <v/>
      </c>
      <c r="J872" s="1" t="e">
        <f aca="false">IFERROR('dens_visc_gamma+1octoh'!#ref!,"")</f>
        <v>#VALUE!</v>
      </c>
      <c r="K872" s="1" t="str">
        <f aca="false">IF(AND(ISNUMBER(H872),ISNUMBER(I872),ISNUMBER(J872)),"✓",COUNTIF(H872:J872,"&gt;-999")&amp;"/3")</f>
        <v>0/3</v>
      </c>
    </row>
    <row r="873" customFormat="false" ht="15" hidden="false" customHeight="true" outlineLevel="0" collapsed="false">
      <c r="A873" s="1" t="s">
        <v>44</v>
      </c>
      <c r="B873" s="1" t="s">
        <v>40</v>
      </c>
      <c r="C873" s="1" t="s">
        <v>41</v>
      </c>
      <c r="D873" s="1" t="s">
        <v>23</v>
      </c>
      <c r="E873" s="1" t="s">
        <v>24</v>
      </c>
      <c r="F873" s="1" t="n">
        <f aca="false">IFERROR('dens_visc_gamma+1octoh'!F22,"")</f>
        <v>60</v>
      </c>
      <c r="G873" s="1" t="str">
        <f aca="false">IFERROR('dens_visc_gamma+1octoh'!A25,"")</f>
        <v/>
      </c>
      <c r="H873" s="1" t="e">
        <f aca="false">IFERROR('dens_visc_gamma+1octoh'!#ref!,"")</f>
        <v>#VALUE!</v>
      </c>
      <c r="I873" s="1" t="str">
        <f aca="false">IFERROR('dens_visc_gamma+1octoh'!K25,"")</f>
        <v/>
      </c>
      <c r="J873" s="1" t="e">
        <f aca="false">IFERROR('dens_visc_gamma+1octoh'!#ref!,"")</f>
        <v>#VALUE!</v>
      </c>
      <c r="K873" s="1" t="str">
        <f aca="false">IF(AND(ISNUMBER(H873),ISNUMBER(I873),ISNUMBER(J873)),"✓",COUNTIF(H873:J873,"&gt;-999")&amp;"/3")</f>
        <v>0/3</v>
      </c>
    </row>
    <row r="874" customFormat="false" ht="15" hidden="false" customHeight="true" outlineLevel="0" collapsed="false">
      <c r="A874" s="1" t="s">
        <v>44</v>
      </c>
      <c r="B874" s="1" t="s">
        <v>40</v>
      </c>
      <c r="C874" s="1" t="s">
        <v>41</v>
      </c>
      <c r="D874" s="1" t="s">
        <v>23</v>
      </c>
      <c r="E874" s="1" t="s">
        <v>24</v>
      </c>
      <c r="F874" s="1" t="n">
        <f aca="false">IFERROR('dens_visc_gamma+1octoh'!F22,"")</f>
        <v>60</v>
      </c>
      <c r="G874" s="1" t="str">
        <f aca="false">IFERROR('dens_visc_gamma+1octoh'!A26,"")</f>
        <v/>
      </c>
      <c r="H874" s="1" t="e">
        <f aca="false">IFERROR('dens_visc_gamma+1octoh'!#ref!,"")</f>
        <v>#VALUE!</v>
      </c>
      <c r="I874" s="1" t="str">
        <f aca="false">IFERROR('dens_visc_gamma+1octoh'!K26,"")</f>
        <v/>
      </c>
      <c r="J874" s="1" t="e">
        <f aca="false">IFERROR('dens_visc_gamma+1octoh'!#ref!,"")</f>
        <v>#VALUE!</v>
      </c>
      <c r="K874" s="1" t="str">
        <f aca="false">IF(AND(ISNUMBER(H874),ISNUMBER(I874),ISNUMBER(J874)),"✓",COUNTIF(H874:J874,"&gt;-999")&amp;"/3")</f>
        <v>0/3</v>
      </c>
    </row>
    <row r="875" customFormat="false" ht="15" hidden="false" customHeight="true" outlineLevel="0" collapsed="false">
      <c r="A875" s="1" t="s">
        <v>44</v>
      </c>
      <c r="B875" s="1" t="s">
        <v>40</v>
      </c>
      <c r="C875" s="1" t="s">
        <v>41</v>
      </c>
      <c r="D875" s="1" t="s">
        <v>23</v>
      </c>
      <c r="E875" s="1" t="s">
        <v>24</v>
      </c>
      <c r="F875" s="1" t="n">
        <f aca="false">IFERROR('dens_visc_gamma+1octoh'!F22,"")</f>
        <v>60</v>
      </c>
      <c r="G875" s="1" t="str">
        <f aca="false">IFERROR('dens_visc_gamma+1octoh'!A27,"")</f>
        <v/>
      </c>
      <c r="H875" s="1" t="e">
        <f aca="false">IFERROR('dens_visc_gamma+1octoh'!#ref!,"")</f>
        <v>#VALUE!</v>
      </c>
      <c r="I875" s="1" t="str">
        <f aca="false">IFERROR('dens_visc_gamma+1octoh'!K27,"")</f>
        <v/>
      </c>
      <c r="J875" s="1" t="e">
        <f aca="false">IFERROR('dens_visc_gamma+1octoh'!#ref!,"")</f>
        <v>#VALUE!</v>
      </c>
      <c r="K875" s="1" t="str">
        <f aca="false">IF(AND(ISNUMBER(H875),ISNUMBER(I875),ISNUMBER(J875)),"✓",COUNTIF(H875:J875,"&gt;-999")&amp;"/3")</f>
        <v>0/3</v>
      </c>
    </row>
    <row r="876" customFormat="false" ht="15" hidden="false" customHeight="true" outlineLevel="0" collapsed="false">
      <c r="A876" s="1" t="s">
        <v>44</v>
      </c>
      <c r="B876" s="1" t="s">
        <v>40</v>
      </c>
      <c r="C876" s="1" t="s">
        <v>41</v>
      </c>
      <c r="D876" s="1" t="s">
        <v>23</v>
      </c>
      <c r="E876" s="1" t="s">
        <v>24</v>
      </c>
      <c r="F876" s="1" t="n">
        <f aca="false">IFERROR('dens_visc_gamma+1octoh'!F22,"")</f>
        <v>60</v>
      </c>
      <c r="G876" s="1" t="str">
        <f aca="false">IFERROR('dens_visc_gamma+1octoh'!A28,"")</f>
        <v/>
      </c>
      <c r="H876" s="1" t="e">
        <f aca="false">IFERROR('dens_visc_gamma+1octoh'!#ref!,"")</f>
        <v>#VALUE!</v>
      </c>
      <c r="I876" s="1" t="str">
        <f aca="false">IFERROR('dens_visc_gamma+1octoh'!K28,"")</f>
        <v/>
      </c>
      <c r="J876" s="1" t="e">
        <f aca="false">IFERROR('dens_visc_gamma+1octoh'!#ref!,"")</f>
        <v>#VALUE!</v>
      </c>
      <c r="K876" s="1" t="str">
        <f aca="false">IF(AND(ISNUMBER(H876),ISNUMBER(I876),ISNUMBER(J876)),"✓",COUNTIF(H876:J876,"&gt;-999")&amp;"/3")</f>
        <v>0/3</v>
      </c>
    </row>
    <row r="877" customFormat="false" ht="15" hidden="false" customHeight="true" outlineLevel="0" collapsed="false">
      <c r="A877" s="1" t="s">
        <v>44</v>
      </c>
      <c r="B877" s="1" t="s">
        <v>40</v>
      </c>
      <c r="C877" s="1" t="s">
        <v>41</v>
      </c>
      <c r="D877" s="1" t="s">
        <v>23</v>
      </c>
      <c r="E877" s="1" t="s">
        <v>24</v>
      </c>
      <c r="F877" s="1" t="n">
        <f aca="false">IFERROR('dens_visc_gamma+1octoh'!F22,"")</f>
        <v>60</v>
      </c>
      <c r="G877" s="1" t="str">
        <f aca="false">IFERROR('dens_visc_gamma+1octoh'!A29,"")</f>
        <v/>
      </c>
      <c r="H877" s="1" t="n">
        <f aca="false">IFERROR('dens_visc_gamma+1octoh'!F29,"")</f>
        <v>0</v>
      </c>
      <c r="I877" s="1" t="str">
        <f aca="false">IFERROR('dens_visc_gamma+1octoh'!K29,"")</f>
        <v/>
      </c>
      <c r="J877" s="1" t="n">
        <f aca="false">IFERROR('dens_visc_gamma+1octoh'!F43,"")</f>
        <v>0</v>
      </c>
      <c r="K877" s="1" t="str">
        <f aca="false">IF(AND(ISNUMBER(H877),ISNUMBER(I877),ISNUMBER(J877)),"✓",COUNTIF(H877:J877,"&gt;-999")&amp;"/3")</f>
        <v>2/3</v>
      </c>
    </row>
    <row r="878" customFormat="false" ht="15" hidden="false" customHeight="true" outlineLevel="0" collapsed="false">
      <c r="A878" s="1" t="s">
        <v>44</v>
      </c>
      <c r="B878" s="1" t="s">
        <v>40</v>
      </c>
      <c r="C878" s="1" t="s">
        <v>41</v>
      </c>
      <c r="D878" s="1" t="s">
        <v>23</v>
      </c>
      <c r="E878" s="1" t="s">
        <v>24</v>
      </c>
      <c r="F878" s="1" t="n">
        <f aca="false">IFERROR('dens_visc_gamma+1octoh'!F22,"")</f>
        <v>60</v>
      </c>
      <c r="G878" s="1" t="str">
        <f aca="false">IFERROR('dens_visc_gamma+1octoh'!A30,"")</f>
        <v/>
      </c>
      <c r="H878" s="1" t="n">
        <f aca="false">IFERROR('dens_visc_gamma+1octoh'!F30,"")</f>
        <v>0</v>
      </c>
      <c r="I878" s="1" t="str">
        <f aca="false">IFERROR('dens_visc_gamma+1octoh'!K30,"")</f>
        <v/>
      </c>
      <c r="J878" s="1" t="n">
        <f aca="false">IFERROR('dens_visc_gamma+1octoh'!F44,"")</f>
        <v>0</v>
      </c>
      <c r="K878" s="1" t="str">
        <f aca="false">IF(AND(ISNUMBER(H878),ISNUMBER(I878),ISNUMBER(J878)),"✓",COUNTIF(H878:J878,"&gt;-999")&amp;"/3")</f>
        <v>2/3</v>
      </c>
    </row>
    <row r="879" customFormat="false" ht="15" hidden="false" customHeight="true" outlineLevel="0" collapsed="false">
      <c r="A879" s="1" t="s">
        <v>44</v>
      </c>
      <c r="B879" s="1" t="s">
        <v>40</v>
      </c>
      <c r="C879" s="1" t="s">
        <v>41</v>
      </c>
      <c r="D879" s="1" t="s">
        <v>23</v>
      </c>
      <c r="E879" s="1" t="s">
        <v>24</v>
      </c>
      <c r="F879" s="1" t="n">
        <f aca="false">IFERROR('dens_visc_gamma+1octoh'!F22,"")</f>
        <v>60</v>
      </c>
      <c r="G879" s="1" t="str">
        <f aca="false">IFERROR('dens_visc_gamma+1octoh'!A31,"")</f>
        <v/>
      </c>
      <c r="H879" s="1" t="n">
        <f aca="false">IFERROR('dens_visc_gamma+1octoh'!F31,"")</f>
        <v>0</v>
      </c>
      <c r="I879" s="1" t="str">
        <f aca="false">IFERROR('dens_visc_gamma+1octoh'!K31,"")</f>
        <v/>
      </c>
      <c r="J879" s="1" t="n">
        <f aca="false">IFERROR('dens_visc_gamma+1octoh'!F45,"")</f>
        <v>0</v>
      </c>
      <c r="K879" s="1" t="str">
        <f aca="false">IF(AND(ISNUMBER(H879),ISNUMBER(I879),ISNUMBER(J879)),"✓",COUNTIF(H879:J879,"&gt;-999")&amp;"/3")</f>
        <v>2/3</v>
      </c>
    </row>
    <row r="880" customFormat="false" ht="15" hidden="false" customHeight="true" outlineLevel="0" collapsed="false">
      <c r="A880" s="1" t="s">
        <v>44</v>
      </c>
      <c r="B880" s="1" t="s">
        <v>40</v>
      </c>
      <c r="C880" s="1" t="s">
        <v>41</v>
      </c>
      <c r="D880" s="1" t="s">
        <v>23</v>
      </c>
      <c r="E880" s="1" t="s">
        <v>24</v>
      </c>
      <c r="F880" s="1" t="n">
        <f aca="false">IFERROR('dens_visc_gamma+1octoh'!F22,"")</f>
        <v>60</v>
      </c>
      <c r="G880" s="1" t="str">
        <f aca="false">IFERROR('dens_visc_gamma+1octoh'!A32,"")</f>
        <v/>
      </c>
      <c r="H880" s="1" t="n">
        <f aca="false">IFERROR('dens_visc_gamma+1octoh'!F32,"")</f>
        <v>0</v>
      </c>
      <c r="I880" s="1" t="str">
        <f aca="false">IFERROR('dens_visc_gamma+1octoh'!K32,"")</f>
        <v/>
      </c>
      <c r="J880" s="1" t="n">
        <f aca="false">IFERROR('dens_visc_gamma+1octoh'!F46,"")</f>
        <v>0</v>
      </c>
      <c r="K880" s="1" t="str">
        <f aca="false">IF(AND(ISNUMBER(H880),ISNUMBER(I880),ISNUMBER(J880)),"✓",COUNTIF(H880:J880,"&gt;-999")&amp;"/3")</f>
        <v>2/3</v>
      </c>
    </row>
    <row r="881" customFormat="false" ht="15" hidden="false" customHeight="true" outlineLevel="0" collapsed="false">
      <c r="A881" s="1" t="s">
        <v>44</v>
      </c>
      <c r="B881" s="1" t="s">
        <v>40</v>
      </c>
      <c r="C881" s="1" t="s">
        <v>41</v>
      </c>
      <c r="D881" s="1" t="s">
        <v>23</v>
      </c>
      <c r="E881" s="1" t="s">
        <v>24</v>
      </c>
      <c r="F881" s="1" t="n">
        <f aca="false">IFERROR('dens_visc_gamma+1octoh'!F22,"")</f>
        <v>60</v>
      </c>
      <c r="G881" s="1" t="n">
        <f aca="false">IFERROR('dens_visc_gamma+1octoh'!A33,"")</f>
        <v>1</v>
      </c>
      <c r="H881" s="1" t="n">
        <f aca="false">IFERROR('dens_visc_gamma+1octoh'!F33,"")</f>
        <v>0.9225</v>
      </c>
      <c r="I881" s="1" t="n">
        <f aca="false">IFERROR('dens_visc_gamma+1octoh'!K33,"")</f>
        <v>0</v>
      </c>
      <c r="J881" s="1" t="n">
        <f aca="false">IFERROR('dens_visc_gamma+1octoh'!F47,"")</f>
        <v>2.362</v>
      </c>
      <c r="K881" s="1" t="str">
        <f aca="false">IF(AND(ISNUMBER(H881),ISNUMBER(I881),ISNUMBER(J881)),"✓",COUNTIF(H881:J881,"&gt;-999")&amp;"/3")</f>
        <v>✓</v>
      </c>
    </row>
    <row r="882" customFormat="false" ht="15" hidden="false" customHeight="true" outlineLevel="0" collapsed="false">
      <c r="A882" s="1" t="s">
        <v>45</v>
      </c>
      <c r="B882" s="1" t="s">
        <v>40</v>
      </c>
      <c r="C882" s="1" t="s">
        <v>41</v>
      </c>
      <c r="D882" s="1" t="s">
        <v>26</v>
      </c>
      <c r="E882" s="1" t="s">
        <v>27</v>
      </c>
      <c r="F882" s="1" t="n">
        <f aca="false">IFERROR('dens_visc_gamma+mibk'!B22,"")</f>
        <v>20</v>
      </c>
      <c r="G882" s="1" t="n">
        <f aca="false">IFERROR('dens_visc_gamma+mibk'!A23,"")</f>
        <v>0</v>
      </c>
      <c r="H882" s="4" t="n">
        <f aca="false">IFERROR('dens_visc_gamma+mibk'!B23,"")</f>
        <v>0.80143</v>
      </c>
      <c r="I882" s="1" t="n">
        <f aca="false">IFERROR('dens_visc_gamma+mibk'!G23,"")</f>
        <v>0</v>
      </c>
      <c r="J882" s="5" t="n">
        <f aca="false">IFERROR('dens_visc_gamma+mibk'!B37,"")</f>
        <v>0.58507</v>
      </c>
      <c r="K882" s="1" t="str">
        <f aca="false">IF(AND(ISNUMBER(H882),ISNUMBER(I882),ISNUMBER(J882)),"✓",COUNTIF(H882:J882,"&gt;-999")&amp;"/3")</f>
        <v>✓</v>
      </c>
    </row>
    <row r="883" customFormat="false" ht="15" hidden="false" customHeight="true" outlineLevel="0" collapsed="false">
      <c r="A883" s="1" t="s">
        <v>45</v>
      </c>
      <c r="B883" s="1" t="s">
        <v>40</v>
      </c>
      <c r="C883" s="1" t="s">
        <v>41</v>
      </c>
      <c r="D883" s="1" t="s">
        <v>26</v>
      </c>
      <c r="E883" s="1" t="s">
        <v>27</v>
      </c>
      <c r="F883" s="1" t="n">
        <f aca="false">IFERROR('dens_visc_gamma+mibk'!B22,"")</f>
        <v>20</v>
      </c>
      <c r="G883" s="1" t="n">
        <f aca="false">IFERROR('dens_visc_gamma+mibk'!A24,"")</f>
        <v>0.0990219951658388</v>
      </c>
      <c r="H883" s="1" t="n">
        <f aca="false">IFERROR('dens_visc_gamma+mibk'!B24,"")</f>
        <v>0.82279</v>
      </c>
      <c r="I883" s="1" t="n">
        <f aca="false">IFERROR('dens_visc_gamma+mibk'!G24,"")</f>
        <v>-0.125157516585659</v>
      </c>
      <c r="J883" s="1" t="n">
        <f aca="false">IFERROR('dens_visc_gamma+mibk'!B38,"")</f>
        <v>0.751</v>
      </c>
      <c r="K883" s="1" t="str">
        <f aca="false">IF(AND(ISNUMBER(H883),ISNUMBER(I883),ISNUMBER(J883)),"✓",COUNTIF(H883:J883,"&gt;-999")&amp;"/3")</f>
        <v>✓</v>
      </c>
    </row>
    <row r="884" customFormat="false" ht="15" hidden="false" customHeight="true" outlineLevel="0" collapsed="false">
      <c r="A884" s="1" t="s">
        <v>45</v>
      </c>
      <c r="B884" s="1" t="s">
        <v>40</v>
      </c>
      <c r="C884" s="1" t="s">
        <v>41</v>
      </c>
      <c r="D884" s="1" t="s">
        <v>26</v>
      </c>
      <c r="E884" s="1" t="s">
        <v>27</v>
      </c>
      <c r="F884" s="1" t="n">
        <f aca="false">IFERROR('dens_visc_gamma+mibk'!B22,"")</f>
        <v>20</v>
      </c>
      <c r="G884" s="1" t="n">
        <f aca="false">IFERROR('dens_visc_gamma+mibk'!A25,"")</f>
        <v>0.196115589060213</v>
      </c>
      <c r="H884" s="1" t="n">
        <f aca="false">IFERROR('dens_visc_gamma+mibk'!B25,"")</f>
        <v>0.84231</v>
      </c>
      <c r="I884" s="1" t="n">
        <f aca="false">IFERROR('dens_visc_gamma+mibk'!G25,"")</f>
        <v>-0.274834912826748</v>
      </c>
      <c r="J884" s="1" t="n">
        <f aca="false">IFERROR('dens_visc_gamma+mibk'!B39,"")</f>
        <v>0.953</v>
      </c>
      <c r="K884" s="1" t="str">
        <f aca="false">IF(AND(ISNUMBER(H884),ISNUMBER(I884),ISNUMBER(J884)),"✓",COUNTIF(H884:J884,"&gt;-999")&amp;"/3")</f>
        <v>✓</v>
      </c>
    </row>
    <row r="885" customFormat="false" ht="15" hidden="false" customHeight="true" outlineLevel="0" collapsed="false">
      <c r="A885" s="1" t="s">
        <v>45</v>
      </c>
      <c r="B885" s="1" t="s">
        <v>40</v>
      </c>
      <c r="C885" s="1" t="s">
        <v>41</v>
      </c>
      <c r="D885" s="1" t="s">
        <v>26</v>
      </c>
      <c r="E885" s="1" t="s">
        <v>27</v>
      </c>
      <c r="F885" s="1" t="n">
        <f aca="false">IFERROR('dens_visc_gamma+mibk'!B22,"")</f>
        <v>20</v>
      </c>
      <c r="G885" s="1" t="n">
        <f aca="false">IFERROR('dens_visc_gamma+mibk'!A26,"")</f>
        <v>0.282191159104411</v>
      </c>
      <c r="H885" s="1" t="n">
        <f aca="false">IFERROR('dens_visc_gamma+mibk'!B26,"")</f>
        <v>0.85817</v>
      </c>
      <c r="I885" s="1" t="n">
        <f aca="false">IFERROR('dens_visc_gamma+mibk'!G26,"")</f>
        <v>-0.36487838114985</v>
      </c>
      <c r="J885" s="1" t="n">
        <f aca="false">IFERROR('dens_visc_gamma+mibk'!B40,"")</f>
        <v>1.178</v>
      </c>
      <c r="K885" s="1" t="str">
        <f aca="false">IF(AND(ISNUMBER(H885),ISNUMBER(I885),ISNUMBER(J885)),"✓",COUNTIF(H885:J885,"&gt;-999")&amp;"/3")</f>
        <v>✓</v>
      </c>
    </row>
    <row r="886" customFormat="false" ht="15" hidden="false" customHeight="true" outlineLevel="0" collapsed="false">
      <c r="A886" s="1" t="s">
        <v>45</v>
      </c>
      <c r="B886" s="1" t="s">
        <v>40</v>
      </c>
      <c r="C886" s="1" t="s">
        <v>41</v>
      </c>
      <c r="D886" s="1" t="s">
        <v>26</v>
      </c>
      <c r="E886" s="1" t="s">
        <v>27</v>
      </c>
      <c r="F886" s="1" t="n">
        <f aca="false">IFERROR('dens_visc_gamma+mibk'!B22,"")</f>
        <v>20</v>
      </c>
      <c r="G886" s="1" t="n">
        <f aca="false">IFERROR('dens_visc_gamma+mibk'!A27,"")</f>
        <v>0.392061549539046</v>
      </c>
      <c r="H886" s="1" t="n">
        <f aca="false">IFERROR('dens_visc_gamma+mibk'!B27,"")</f>
        <v>0.87652</v>
      </c>
      <c r="I886" s="1" t="n">
        <f aca="false">IFERROR('dens_visc_gamma+mibk'!G27,"")</f>
        <v>-0.403482252228969</v>
      </c>
      <c r="J886" s="1" t="n">
        <f aca="false">IFERROR('dens_visc_gamma+mibk'!B41,"")</f>
        <v>1.535</v>
      </c>
      <c r="K886" s="1" t="str">
        <f aca="false">IF(AND(ISNUMBER(H886),ISNUMBER(I886),ISNUMBER(J886)),"✓",COUNTIF(H886:J886,"&gt;-999")&amp;"/3")</f>
        <v>✓</v>
      </c>
    </row>
    <row r="887" customFormat="false" ht="15" hidden="false" customHeight="true" outlineLevel="0" collapsed="false">
      <c r="A887" s="1" t="s">
        <v>45</v>
      </c>
      <c r="B887" s="1" t="s">
        <v>40</v>
      </c>
      <c r="C887" s="1" t="s">
        <v>41</v>
      </c>
      <c r="D887" s="1" t="s">
        <v>26</v>
      </c>
      <c r="E887" s="1" t="s">
        <v>27</v>
      </c>
      <c r="F887" s="1" t="n">
        <f aca="false">IFERROR('dens_visc_gamma+mibk'!B22,"")</f>
        <v>20</v>
      </c>
      <c r="G887" s="1" t="n">
        <f aca="false">IFERROR('dens_visc_gamma+mibk'!A28,"")</f>
        <v>0.497197795443102</v>
      </c>
      <c r="H887" s="1" t="n">
        <f aca="false">IFERROR('dens_visc_gamma+mibk'!B28,"")</f>
        <v>0.89253</v>
      </c>
      <c r="I887" s="1" t="n">
        <f aca="false">IFERROR('dens_visc_gamma+mibk'!G28,"")</f>
        <v>-0.403507059335141</v>
      </c>
      <c r="J887" s="1" t="n">
        <f aca="false">IFERROR('dens_visc_gamma+mibk'!B42,"")</f>
        <v>1.978</v>
      </c>
      <c r="K887" s="1" t="str">
        <f aca="false">IF(AND(ISNUMBER(H887),ISNUMBER(I887),ISNUMBER(J887)),"✓",COUNTIF(H887:J887,"&gt;-999")&amp;"/3")</f>
        <v>✓</v>
      </c>
    </row>
    <row r="888" customFormat="false" ht="15" hidden="false" customHeight="true" outlineLevel="0" collapsed="false">
      <c r="A888" s="1" t="s">
        <v>45</v>
      </c>
      <c r="B888" s="1" t="s">
        <v>40</v>
      </c>
      <c r="C888" s="1" t="s">
        <v>41</v>
      </c>
      <c r="D888" s="1" t="s">
        <v>26</v>
      </c>
      <c r="E888" s="1" t="s">
        <v>27</v>
      </c>
      <c r="F888" s="1" t="n">
        <f aca="false">IFERROR('dens_visc_gamma+mibk'!B22,"")</f>
        <v>20</v>
      </c>
      <c r="G888" s="1" t="n">
        <f aca="false">IFERROR('dens_visc_gamma+mibk'!A29,"")</f>
        <v>0.596702034327938</v>
      </c>
      <c r="H888" s="1" t="n">
        <f aca="false">IFERROR('dens_visc_gamma+mibk'!B29,"")</f>
        <v>0.90641</v>
      </c>
      <c r="I888" s="1" t="n">
        <f aca="false">IFERROR('dens_visc_gamma+mibk'!G29,"")</f>
        <v>-0.367347224738325</v>
      </c>
      <c r="J888" s="1" t="n">
        <f aca="false">IFERROR('dens_visc_gamma+mibk'!B43,"")</f>
        <v>2.513</v>
      </c>
      <c r="K888" s="1" t="str">
        <f aca="false">IF(AND(ISNUMBER(H888),ISNUMBER(I888),ISNUMBER(J888)),"✓",COUNTIF(H888:J888,"&gt;-999")&amp;"/3")</f>
        <v>✓</v>
      </c>
    </row>
    <row r="889" customFormat="false" ht="15" hidden="false" customHeight="true" outlineLevel="0" collapsed="false">
      <c r="A889" s="1" t="s">
        <v>45</v>
      </c>
      <c r="B889" s="1" t="s">
        <v>40</v>
      </c>
      <c r="C889" s="1" t="s">
        <v>41</v>
      </c>
      <c r="D889" s="1" t="s">
        <v>26</v>
      </c>
      <c r="E889" s="1" t="s">
        <v>27</v>
      </c>
      <c r="F889" s="1" t="n">
        <f aca="false">IFERROR('dens_visc_gamma+mibk'!B22,"")</f>
        <v>20</v>
      </c>
      <c r="G889" s="1" t="n">
        <f aca="false">IFERROR('dens_visc_gamma+mibk'!A30,"")</f>
        <v>0.690940088548683</v>
      </c>
      <c r="H889" s="1" t="n">
        <f aca="false">IFERROR('dens_visc_gamma+mibk'!B30,"")</f>
        <v>0.91853</v>
      </c>
      <c r="I889" s="1" t="n">
        <f aca="false">IFERROR('dens_visc_gamma+mibk'!G30,"")</f>
        <v>-0.302404915673009</v>
      </c>
      <c r="J889" s="1" t="n">
        <f aca="false">IFERROR('dens_visc_gamma+mibk'!B44,"")</f>
        <v>3.15</v>
      </c>
      <c r="K889" s="1" t="str">
        <f aca="false">IF(AND(ISNUMBER(H889),ISNUMBER(I889),ISNUMBER(J889)),"✓",COUNTIF(H889:J889,"&gt;-999")&amp;"/3")</f>
        <v>✓</v>
      </c>
    </row>
    <row r="890" customFormat="false" ht="15" hidden="false" customHeight="true" outlineLevel="0" collapsed="false">
      <c r="A890" s="1" t="s">
        <v>45</v>
      </c>
      <c r="B890" s="1" t="s">
        <v>40</v>
      </c>
      <c r="C890" s="1" t="s">
        <v>41</v>
      </c>
      <c r="D890" s="1" t="s">
        <v>26</v>
      </c>
      <c r="E890" s="1" t="s">
        <v>27</v>
      </c>
      <c r="F890" s="1" t="n">
        <f aca="false">IFERROR('dens_visc_gamma+mibk'!B22,"")</f>
        <v>20</v>
      </c>
      <c r="G890" s="1" t="n">
        <f aca="false">IFERROR('dens_visc_gamma+mibk'!A31,"")</f>
        <v>0.794429374894137</v>
      </c>
      <c r="H890" s="1" t="n">
        <f aca="false">IFERROR('dens_visc_gamma+mibk'!B31,"")</f>
        <v>0.93089</v>
      </c>
      <c r="I890" s="1" t="n">
        <f aca="false">IFERROR('dens_visc_gamma+mibk'!G31,"")</f>
        <v>-0.21401171727976</v>
      </c>
      <c r="J890" s="1" t="n">
        <f aca="false">IFERROR('dens_visc_gamma+mibk'!B45,"")</f>
        <v>4.043</v>
      </c>
      <c r="K890" s="1" t="str">
        <f aca="false">IF(AND(ISNUMBER(H890),ISNUMBER(I890),ISNUMBER(J890)),"✓",COUNTIF(H890:J890,"&gt;-999")&amp;"/3")</f>
        <v>✓</v>
      </c>
    </row>
    <row r="891" customFormat="false" ht="15" hidden="false" customHeight="true" outlineLevel="0" collapsed="false">
      <c r="A891" s="1" t="s">
        <v>45</v>
      </c>
      <c r="B891" s="1" t="s">
        <v>40</v>
      </c>
      <c r="C891" s="1" t="s">
        <v>41</v>
      </c>
      <c r="D891" s="1" t="s">
        <v>26</v>
      </c>
      <c r="E891" s="1" t="s">
        <v>27</v>
      </c>
      <c r="F891" s="1" t="n">
        <f aca="false">IFERROR('dens_visc_gamma+mibk'!B22,"")</f>
        <v>20</v>
      </c>
      <c r="G891" s="1" t="n">
        <f aca="false">IFERROR('dens_visc_gamma+mibk'!A32,"")</f>
        <v>0.895874322615171</v>
      </c>
      <c r="H891" s="1" t="n">
        <f aca="false">IFERROR('dens_visc_gamma+mibk'!B32,"")</f>
        <v>0.94204</v>
      </c>
      <c r="I891" s="1" t="n">
        <f aca="false">IFERROR('dens_visc_gamma+mibk'!G32,"")</f>
        <v>-0.0938005049441699</v>
      </c>
      <c r="J891" s="1" t="n">
        <f aca="false">IFERROR('dens_visc_gamma+mibk'!B46,"")</f>
        <v>5.156</v>
      </c>
      <c r="K891" s="1" t="str">
        <f aca="false">IF(AND(ISNUMBER(H891),ISNUMBER(I891),ISNUMBER(J891)),"✓",COUNTIF(H891:J891,"&gt;-999")&amp;"/3")</f>
        <v>✓</v>
      </c>
    </row>
    <row r="892" customFormat="false" ht="15" hidden="false" customHeight="true" outlineLevel="0" collapsed="false">
      <c r="A892" s="1" t="s">
        <v>45</v>
      </c>
      <c r="B892" s="1" t="s">
        <v>40</v>
      </c>
      <c r="C892" s="1" t="s">
        <v>41</v>
      </c>
      <c r="D892" s="1" t="s">
        <v>26</v>
      </c>
      <c r="E892" s="1" t="s">
        <v>27</v>
      </c>
      <c r="F892" s="1" t="n">
        <f aca="false">IFERROR('dens_visc_gamma+mibk'!B22,"")</f>
        <v>20</v>
      </c>
      <c r="G892" s="1" t="n">
        <f aca="false">IFERROR('dens_visc_gamma+mibk'!A33,"")</f>
        <v>1</v>
      </c>
      <c r="H892" s="1" t="n">
        <f aca="false">IFERROR('dens_visc_gamma+mibk'!B33,"")</f>
        <v>0.95292</v>
      </c>
      <c r="I892" s="1" t="n">
        <f aca="false">IFERROR('dens_visc_gamma+mibk'!G33,"")</f>
        <v>0</v>
      </c>
      <c r="J892" s="1" t="n">
        <f aca="false">IFERROR('dens_visc_gamma+mibk'!B47,"")</f>
        <v>6.574</v>
      </c>
      <c r="K892" s="1" t="str">
        <f aca="false">IF(AND(ISNUMBER(H892),ISNUMBER(I892),ISNUMBER(J892)),"✓",COUNTIF(H892:J892,"&gt;-999")&amp;"/3")</f>
        <v>✓</v>
      </c>
    </row>
    <row r="893" customFormat="false" ht="15" hidden="false" customHeight="true" outlineLevel="0" collapsed="false">
      <c r="A893" s="1" t="s">
        <v>45</v>
      </c>
      <c r="B893" s="1" t="s">
        <v>40</v>
      </c>
      <c r="C893" s="1" t="s">
        <v>41</v>
      </c>
      <c r="D893" s="1" t="s">
        <v>26</v>
      </c>
      <c r="E893" s="1" t="s">
        <v>27</v>
      </c>
      <c r="F893" s="1" t="n">
        <f aca="false">IFERROR('dens_visc_gamma+mibk'!C22,"")</f>
        <v>30</v>
      </c>
      <c r="G893" s="1" t="n">
        <f aca="false">IFERROR('dens_visc_gamma+mibk'!A23,"")</f>
        <v>0</v>
      </c>
      <c r="H893" s="4" t="n">
        <f aca="false">IFERROR('dens_visc_gamma+mibk'!C23,"")</f>
        <v>0.79234</v>
      </c>
      <c r="I893" s="1" t="n">
        <f aca="false">IFERROR('dens_visc_gamma+mibk'!H23,"")</f>
        <v>0</v>
      </c>
      <c r="J893" s="5" t="n">
        <f aca="false">IFERROR('dens_visc_gamma+mibk'!C37,"")</f>
        <v>0.5218</v>
      </c>
      <c r="K893" s="1" t="str">
        <f aca="false">IF(AND(ISNUMBER(H893),ISNUMBER(I893),ISNUMBER(J893)),"✓",COUNTIF(H893:J893,"&gt;-999")&amp;"/3")</f>
        <v>✓</v>
      </c>
    </row>
    <row r="894" customFormat="false" ht="15" hidden="false" customHeight="true" outlineLevel="0" collapsed="false">
      <c r="A894" s="1" t="s">
        <v>45</v>
      </c>
      <c r="B894" s="1" t="s">
        <v>40</v>
      </c>
      <c r="C894" s="1" t="s">
        <v>41</v>
      </c>
      <c r="D894" s="1" t="s">
        <v>26</v>
      </c>
      <c r="E894" s="1" t="s">
        <v>27</v>
      </c>
      <c r="F894" s="1" t="n">
        <f aca="false">IFERROR('dens_visc_gamma+mibk'!C22,"")</f>
        <v>30</v>
      </c>
      <c r="G894" s="1" t="n">
        <f aca="false">IFERROR('dens_visc_gamma+mibk'!A24,"")</f>
        <v>0.0990219951658388</v>
      </c>
      <c r="H894" s="1" t="n">
        <f aca="false">IFERROR('dens_visc_gamma+mibk'!C24,"")</f>
        <v>0.81399</v>
      </c>
      <c r="I894" s="1" t="n">
        <f aca="false">IFERROR('dens_visc_gamma+mibk'!H24,"")</f>
        <v>-0.151202023469864</v>
      </c>
      <c r="J894" s="1" t="n">
        <f aca="false">IFERROR('dens_visc_gamma+mibk'!C38,"")</f>
        <v>0.66</v>
      </c>
      <c r="K894" s="1" t="str">
        <f aca="false">IF(AND(ISNUMBER(H894),ISNUMBER(I894),ISNUMBER(J894)),"✓",COUNTIF(H894:J894,"&gt;-999")&amp;"/3")</f>
        <v>✓</v>
      </c>
    </row>
    <row r="895" customFormat="false" ht="15" hidden="false" customHeight="true" outlineLevel="0" collapsed="false">
      <c r="A895" s="1" t="s">
        <v>45</v>
      </c>
      <c r="B895" s="1" t="s">
        <v>40</v>
      </c>
      <c r="C895" s="1" t="s">
        <v>41</v>
      </c>
      <c r="D895" s="1" t="s">
        <v>26</v>
      </c>
      <c r="E895" s="1" t="s">
        <v>27</v>
      </c>
      <c r="F895" s="1" t="n">
        <f aca="false">IFERROR('dens_visc_gamma+mibk'!C22,"")</f>
        <v>30</v>
      </c>
      <c r="G895" s="1" t="n">
        <f aca="false">IFERROR('dens_visc_gamma+mibk'!A25,"")</f>
        <v>0.196115589060213</v>
      </c>
      <c r="H895" s="1" t="n">
        <f aca="false">IFERROR('dens_visc_gamma+mibk'!C25,"")</f>
        <v>0.83373</v>
      </c>
      <c r="I895" s="1" t="n">
        <f aca="false">IFERROR('dens_visc_gamma+mibk'!H25,"")</f>
        <v>-0.315956236415161</v>
      </c>
      <c r="J895" s="1" t="n">
        <f aca="false">IFERROR('dens_visc_gamma+mibk'!C39,"")</f>
        <v>0.824</v>
      </c>
      <c r="K895" s="1" t="str">
        <f aca="false">IF(AND(ISNUMBER(H895),ISNUMBER(I895),ISNUMBER(J895)),"✓",COUNTIF(H895:J895,"&gt;-999")&amp;"/3")</f>
        <v>✓</v>
      </c>
    </row>
    <row r="896" customFormat="false" ht="15" hidden="false" customHeight="true" outlineLevel="0" collapsed="false">
      <c r="A896" s="1" t="s">
        <v>45</v>
      </c>
      <c r="B896" s="1" t="s">
        <v>40</v>
      </c>
      <c r="C896" s="1" t="s">
        <v>41</v>
      </c>
      <c r="D896" s="1" t="s">
        <v>26</v>
      </c>
      <c r="E896" s="1" t="s">
        <v>27</v>
      </c>
      <c r="F896" s="1" t="n">
        <f aca="false">IFERROR('dens_visc_gamma+mibk'!C22,"")</f>
        <v>30</v>
      </c>
      <c r="G896" s="1" t="n">
        <f aca="false">IFERROR('dens_visc_gamma+mibk'!A26,"")</f>
        <v>0.282191159104411</v>
      </c>
      <c r="H896" s="1" t="n">
        <f aca="false">IFERROR('dens_visc_gamma+mibk'!C26,"")</f>
        <v>0.84972</v>
      </c>
      <c r="I896" s="1" t="n">
        <f aca="false">IFERROR('dens_visc_gamma+mibk'!H26,"")</f>
        <v>-0.407386959994625</v>
      </c>
      <c r="J896" s="1" t="n">
        <f aca="false">IFERROR('dens_visc_gamma+mibk'!C40,"")</f>
        <v>1.005</v>
      </c>
      <c r="K896" s="1" t="str">
        <f aca="false">IF(AND(ISNUMBER(H896),ISNUMBER(I896),ISNUMBER(J896)),"✓",COUNTIF(H896:J896,"&gt;-999")&amp;"/3")</f>
        <v>✓</v>
      </c>
    </row>
    <row r="897" customFormat="false" ht="15" hidden="false" customHeight="true" outlineLevel="0" collapsed="false">
      <c r="A897" s="1" t="s">
        <v>45</v>
      </c>
      <c r="B897" s="1" t="s">
        <v>40</v>
      </c>
      <c r="C897" s="1" t="s">
        <v>41</v>
      </c>
      <c r="D897" s="1" t="s">
        <v>26</v>
      </c>
      <c r="E897" s="1" t="s">
        <v>27</v>
      </c>
      <c r="F897" s="1" t="n">
        <f aca="false">IFERROR('dens_visc_gamma+mibk'!C22,"")</f>
        <v>30</v>
      </c>
      <c r="G897" s="1" t="n">
        <f aca="false">IFERROR('dens_visc_gamma+mibk'!A27,"")</f>
        <v>0.392061549539046</v>
      </c>
      <c r="H897" s="1" t="n">
        <f aca="false">IFERROR('dens_visc_gamma+mibk'!C27,"")</f>
        <v>0.86829</v>
      </c>
      <c r="I897" s="1" t="n">
        <f aca="false">IFERROR('dens_visc_gamma+mibk'!H27,"")</f>
        <v>-0.455033155388833</v>
      </c>
      <c r="J897" s="1" t="n">
        <f aca="false">IFERROR('dens_visc_gamma+mibk'!C41,"")</f>
        <v>1.287</v>
      </c>
      <c r="K897" s="1" t="str">
        <f aca="false">IF(AND(ISNUMBER(H897),ISNUMBER(I897),ISNUMBER(J897)),"✓",COUNTIF(H897:J897,"&gt;-999")&amp;"/3")</f>
        <v>✓</v>
      </c>
    </row>
    <row r="898" customFormat="false" ht="15" hidden="false" customHeight="true" outlineLevel="0" collapsed="false">
      <c r="A898" s="1" t="s">
        <v>45</v>
      </c>
      <c r="B898" s="1" t="s">
        <v>40</v>
      </c>
      <c r="C898" s="1" t="s">
        <v>41</v>
      </c>
      <c r="D898" s="1" t="s">
        <v>26</v>
      </c>
      <c r="E898" s="1" t="s">
        <v>27</v>
      </c>
      <c r="F898" s="1" t="n">
        <f aca="false">IFERROR('dens_visc_gamma+mibk'!C22,"")</f>
        <v>30</v>
      </c>
      <c r="G898" s="1" t="n">
        <f aca="false">IFERROR('dens_visc_gamma+mibk'!A28,"")</f>
        <v>0.497197795443102</v>
      </c>
      <c r="H898" s="1" t="n">
        <f aca="false">IFERROR('dens_visc_gamma+mibk'!C28,"")</f>
        <v>0.88445</v>
      </c>
      <c r="I898" s="1" t="n">
        <f aca="false">IFERROR('dens_visc_gamma+mibk'!H28,"")</f>
        <v>-0.452881897391734</v>
      </c>
      <c r="J898" s="1" t="n">
        <f aca="false">IFERROR('dens_visc_gamma+mibk'!C42,"")</f>
        <v>1.626</v>
      </c>
      <c r="K898" s="1" t="str">
        <f aca="false">IF(AND(ISNUMBER(H898),ISNUMBER(I898),ISNUMBER(J898)),"✓",COUNTIF(H898:J898,"&gt;-999")&amp;"/3")</f>
        <v>✓</v>
      </c>
    </row>
    <row r="899" customFormat="false" ht="15" hidden="false" customHeight="true" outlineLevel="0" collapsed="false">
      <c r="A899" s="1" t="s">
        <v>45</v>
      </c>
      <c r="B899" s="1" t="s">
        <v>40</v>
      </c>
      <c r="C899" s="1" t="s">
        <v>41</v>
      </c>
      <c r="D899" s="1" t="s">
        <v>26</v>
      </c>
      <c r="E899" s="1" t="s">
        <v>27</v>
      </c>
      <c r="F899" s="1" t="n">
        <f aca="false">IFERROR('dens_visc_gamma+mibk'!C22,"")</f>
        <v>30</v>
      </c>
      <c r="G899" s="1" t="n">
        <f aca="false">IFERROR('dens_visc_gamma+mibk'!A29,"")</f>
        <v>0.596702034327938</v>
      </c>
      <c r="H899" s="1" t="n">
        <f aca="false">IFERROR('dens_visc_gamma+mibk'!C29,"")</f>
        <v>0.89847</v>
      </c>
      <c r="I899" s="1" t="n">
        <f aca="false">IFERROR('dens_visc_gamma+mibk'!H29,"")</f>
        <v>-0.413828598575833</v>
      </c>
      <c r="J899" s="1" t="n">
        <f aca="false">IFERROR('dens_visc_gamma+mibk'!C43,"")</f>
        <v>2.024</v>
      </c>
      <c r="K899" s="1" t="str">
        <f aca="false">IF(AND(ISNUMBER(H899),ISNUMBER(I899),ISNUMBER(J899)),"✓",COUNTIF(H899:J899,"&gt;-999")&amp;"/3")</f>
        <v>✓</v>
      </c>
    </row>
    <row r="900" customFormat="false" ht="15" hidden="false" customHeight="true" outlineLevel="0" collapsed="false">
      <c r="A900" s="1" t="s">
        <v>45</v>
      </c>
      <c r="B900" s="1" t="s">
        <v>40</v>
      </c>
      <c r="C900" s="1" t="s">
        <v>41</v>
      </c>
      <c r="D900" s="1" t="s">
        <v>26</v>
      </c>
      <c r="E900" s="1" t="s">
        <v>27</v>
      </c>
      <c r="F900" s="1" t="n">
        <f aca="false">IFERROR('dens_visc_gamma+mibk'!C22,"")</f>
        <v>30</v>
      </c>
      <c r="G900" s="1" t="n">
        <f aca="false">IFERROR('dens_visc_gamma+mibk'!A30,"")</f>
        <v>0.690940088548683</v>
      </c>
      <c r="H900" s="1" t="n">
        <f aca="false">IFERROR('dens_visc_gamma+mibk'!C30,"")</f>
        <v>0.91068</v>
      </c>
      <c r="I900" s="1" t="n">
        <f aca="false">IFERROR('dens_visc_gamma+mibk'!H30,"")</f>
        <v>-0.338283716991469</v>
      </c>
      <c r="J900" s="1" t="n">
        <f aca="false">IFERROR('dens_visc_gamma+mibk'!C44,"")</f>
        <v>2.487</v>
      </c>
      <c r="K900" s="1" t="str">
        <f aca="false">IF(AND(ISNUMBER(H900),ISNUMBER(I900),ISNUMBER(J900)),"✓",COUNTIF(H900:J900,"&gt;-999")&amp;"/3")</f>
        <v>✓</v>
      </c>
    </row>
    <row r="901" customFormat="false" ht="15" hidden="false" customHeight="true" outlineLevel="0" collapsed="false">
      <c r="A901" s="1" t="s">
        <v>45</v>
      </c>
      <c r="B901" s="1" t="s">
        <v>40</v>
      </c>
      <c r="C901" s="1" t="s">
        <v>41</v>
      </c>
      <c r="D901" s="1" t="s">
        <v>26</v>
      </c>
      <c r="E901" s="1" t="s">
        <v>27</v>
      </c>
      <c r="F901" s="1" t="n">
        <f aca="false">IFERROR('dens_visc_gamma+mibk'!C22,"")</f>
        <v>30</v>
      </c>
      <c r="G901" s="1" t="n">
        <f aca="false">IFERROR('dens_visc_gamma+mibk'!A31,"")</f>
        <v>0.794429374894137</v>
      </c>
      <c r="H901" s="1" t="n">
        <f aca="false">IFERROR('dens_visc_gamma+mibk'!C31,"")</f>
        <v>0.92314</v>
      </c>
      <c r="I901" s="1" t="n">
        <f aca="false">IFERROR('dens_visc_gamma+mibk'!H31,"")</f>
        <v>-0.238330347763167</v>
      </c>
      <c r="J901" s="1" t="n">
        <f aca="false">IFERROR('dens_visc_gamma+mibk'!C45,"")</f>
        <v>3.12</v>
      </c>
      <c r="K901" s="1" t="str">
        <f aca="false">IF(AND(ISNUMBER(H901),ISNUMBER(I901),ISNUMBER(J901)),"✓",COUNTIF(H901:J901,"&gt;-999")&amp;"/3")</f>
        <v>✓</v>
      </c>
    </row>
    <row r="902" customFormat="false" ht="15" hidden="false" customHeight="true" outlineLevel="0" collapsed="false">
      <c r="A902" s="1" t="s">
        <v>45</v>
      </c>
      <c r="B902" s="1" t="s">
        <v>40</v>
      </c>
      <c r="C902" s="1" t="s">
        <v>41</v>
      </c>
      <c r="D902" s="1" t="s">
        <v>26</v>
      </c>
      <c r="E902" s="1" t="s">
        <v>27</v>
      </c>
      <c r="F902" s="1" t="n">
        <f aca="false">IFERROR('dens_visc_gamma+mibk'!C22,"")</f>
        <v>30</v>
      </c>
      <c r="G902" s="1" t="n">
        <f aca="false">IFERROR('dens_visc_gamma+mibk'!A32,"")</f>
        <v>0.895874322615171</v>
      </c>
      <c r="H902" s="1" t="n">
        <f aca="false">IFERROR('dens_visc_gamma+mibk'!C32,"")</f>
        <v>0.93439</v>
      </c>
      <c r="I902" s="1" t="n">
        <f aca="false">IFERROR('dens_visc_gamma+mibk'!H32,"")</f>
        <v>-0.106875499332943</v>
      </c>
      <c r="J902" s="1" t="n">
        <f aca="false">IFERROR('dens_visc_gamma+mibk'!C46,"")</f>
        <v>3.882</v>
      </c>
      <c r="K902" s="1" t="str">
        <f aca="false">IF(AND(ISNUMBER(H902),ISNUMBER(I902),ISNUMBER(J902)),"✓",COUNTIF(H902:J902,"&gt;-999")&amp;"/3")</f>
        <v>✓</v>
      </c>
    </row>
    <row r="903" customFormat="false" ht="15" hidden="false" customHeight="true" outlineLevel="0" collapsed="false">
      <c r="A903" s="1" t="s">
        <v>45</v>
      </c>
      <c r="B903" s="1" t="s">
        <v>40</v>
      </c>
      <c r="C903" s="1" t="s">
        <v>41</v>
      </c>
      <c r="D903" s="1" t="s">
        <v>26</v>
      </c>
      <c r="E903" s="1" t="s">
        <v>27</v>
      </c>
      <c r="F903" s="1" t="n">
        <f aca="false">IFERROR('dens_visc_gamma+mibk'!C22,"")</f>
        <v>30</v>
      </c>
      <c r="G903" s="1" t="n">
        <f aca="false">IFERROR('dens_visc_gamma+mibk'!A33,"")</f>
        <v>1</v>
      </c>
      <c r="H903" s="1" t="n">
        <f aca="false">IFERROR('dens_visc_gamma+mibk'!C33,"")</f>
        <v>0.94536</v>
      </c>
      <c r="I903" s="1" t="n">
        <f aca="false">IFERROR('dens_visc_gamma+mibk'!H33,"")</f>
        <v>0</v>
      </c>
      <c r="J903" s="1" t="n">
        <f aca="false">IFERROR('dens_visc_gamma+mibk'!C47,"")</f>
        <v>4.821</v>
      </c>
      <c r="K903" s="1" t="str">
        <f aca="false">IF(AND(ISNUMBER(H903),ISNUMBER(I903),ISNUMBER(J903)),"✓",COUNTIF(H903:J903,"&gt;-999")&amp;"/3")</f>
        <v>✓</v>
      </c>
    </row>
    <row r="904" customFormat="false" ht="15" hidden="false" customHeight="true" outlineLevel="0" collapsed="false">
      <c r="A904" s="1" t="s">
        <v>45</v>
      </c>
      <c r="B904" s="1" t="s">
        <v>40</v>
      </c>
      <c r="C904" s="1" t="s">
        <v>41</v>
      </c>
      <c r="D904" s="1" t="s">
        <v>26</v>
      </c>
      <c r="E904" s="1" t="s">
        <v>27</v>
      </c>
      <c r="F904" s="1" t="n">
        <f aca="false">IFERROR('dens_visc_gamma+mibk'!D22,"")</f>
        <v>40</v>
      </c>
      <c r="G904" s="1" t="n">
        <f aca="false">IFERROR('dens_visc_gamma+mibk'!A23,"")</f>
        <v>0</v>
      </c>
      <c r="H904" s="4" t="n">
        <f aca="false">IFERROR('dens_visc_gamma+mibk'!D23,"")</f>
        <v>0.78314</v>
      </c>
      <c r="I904" s="1" t="n">
        <f aca="false">IFERROR('dens_visc_gamma+mibk'!I23,"")</f>
        <v>0</v>
      </c>
      <c r="J904" s="5" t="n">
        <f aca="false">IFERROR('dens_visc_gamma+mibk'!D37,"")</f>
        <v>0.46729</v>
      </c>
      <c r="K904" s="1" t="str">
        <f aca="false">IF(AND(ISNUMBER(H904),ISNUMBER(I904),ISNUMBER(J904)),"✓",COUNTIF(H904:J904,"&gt;-999")&amp;"/3")</f>
        <v>✓</v>
      </c>
    </row>
    <row r="905" customFormat="false" ht="15" hidden="false" customHeight="true" outlineLevel="0" collapsed="false">
      <c r="A905" s="1" t="s">
        <v>45</v>
      </c>
      <c r="B905" s="1" t="s">
        <v>40</v>
      </c>
      <c r="C905" s="1" t="s">
        <v>41</v>
      </c>
      <c r="D905" s="1" t="s">
        <v>26</v>
      </c>
      <c r="E905" s="1" t="s">
        <v>27</v>
      </c>
      <c r="F905" s="1" t="n">
        <f aca="false">IFERROR('dens_visc_gamma+mibk'!D22,"")</f>
        <v>40</v>
      </c>
      <c r="G905" s="1" t="n">
        <f aca="false">IFERROR('dens_visc_gamma+mibk'!A24,"")</f>
        <v>0.0990219951658388</v>
      </c>
      <c r="H905" s="1" t="n">
        <f aca="false">IFERROR('dens_visc_gamma+mibk'!D24,"")</f>
        <v>0.80508</v>
      </c>
      <c r="I905" s="1" t="n">
        <f aca="false">IFERROR('dens_visc_gamma+mibk'!I24,"")</f>
        <v>-0.177911384004602</v>
      </c>
      <c r="J905" s="1" t="n">
        <f aca="false">IFERROR('dens_visc_gamma+mibk'!D38,"")</f>
        <v>0.586</v>
      </c>
      <c r="K905" s="1" t="str">
        <f aca="false">IF(AND(ISNUMBER(H905),ISNUMBER(I905),ISNUMBER(J905)),"✓",COUNTIF(H905:J905,"&gt;-999")&amp;"/3")</f>
        <v>✓</v>
      </c>
    </row>
    <row r="906" customFormat="false" ht="15" hidden="false" customHeight="true" outlineLevel="0" collapsed="false">
      <c r="A906" s="1" t="s">
        <v>45</v>
      </c>
      <c r="B906" s="1" t="s">
        <v>40</v>
      </c>
      <c r="C906" s="1" t="s">
        <v>41</v>
      </c>
      <c r="D906" s="1" t="s">
        <v>26</v>
      </c>
      <c r="E906" s="1" t="s">
        <v>27</v>
      </c>
      <c r="F906" s="1" t="n">
        <f aca="false">IFERROR('dens_visc_gamma+mibk'!D22,"")</f>
        <v>40</v>
      </c>
      <c r="G906" s="1" t="n">
        <f aca="false">IFERROR('dens_visc_gamma+mibk'!A25,"")</f>
        <v>0.196115589060213</v>
      </c>
      <c r="H906" s="1" t="n">
        <f aca="false">IFERROR('dens_visc_gamma+mibk'!D25,"")</f>
        <v>0.82505</v>
      </c>
      <c r="I906" s="1" t="n">
        <f aca="false">IFERROR('dens_visc_gamma+mibk'!I25,"")</f>
        <v>-0.359392215460417</v>
      </c>
      <c r="J906" s="1" t="n">
        <f aca="false">IFERROR('dens_visc_gamma+mibk'!D39,"")</f>
        <v>0.721</v>
      </c>
      <c r="K906" s="1" t="str">
        <f aca="false">IF(AND(ISNUMBER(H906),ISNUMBER(I906),ISNUMBER(J906)),"✓",COUNTIF(H906:J906,"&gt;-999")&amp;"/3")</f>
        <v>✓</v>
      </c>
    </row>
    <row r="907" customFormat="false" ht="15" hidden="false" customHeight="true" outlineLevel="0" collapsed="false">
      <c r="A907" s="1" t="s">
        <v>45</v>
      </c>
      <c r="B907" s="1" t="s">
        <v>40</v>
      </c>
      <c r="C907" s="1" t="s">
        <v>41</v>
      </c>
      <c r="D907" s="1" t="s">
        <v>26</v>
      </c>
      <c r="E907" s="1" t="s">
        <v>27</v>
      </c>
      <c r="F907" s="1" t="n">
        <f aca="false">IFERROR('dens_visc_gamma+mibk'!D22,"")</f>
        <v>40</v>
      </c>
      <c r="G907" s="1" t="n">
        <f aca="false">IFERROR('dens_visc_gamma+mibk'!A26,"")</f>
        <v>0.282191159104411</v>
      </c>
      <c r="H907" s="1" t="n">
        <f aca="false">IFERROR('dens_visc_gamma+mibk'!D26,"")</f>
        <v>0.84122</v>
      </c>
      <c r="I907" s="1" t="n">
        <f aca="false">IFERROR('dens_visc_gamma+mibk'!I26,"")</f>
        <v>-0.460060922485013</v>
      </c>
      <c r="J907" s="1" t="n">
        <f aca="false">IFERROR('dens_visc_gamma+mibk'!D40,"")</f>
        <v>0.869</v>
      </c>
      <c r="K907" s="1" t="str">
        <f aca="false">IF(AND(ISNUMBER(H907),ISNUMBER(I907),ISNUMBER(J907)),"✓",COUNTIF(H907:J907,"&gt;-999")&amp;"/3")</f>
        <v>✓</v>
      </c>
    </row>
    <row r="908" customFormat="false" ht="15" hidden="false" customHeight="true" outlineLevel="0" collapsed="false">
      <c r="A908" s="1" t="s">
        <v>45</v>
      </c>
      <c r="B908" s="1" t="s">
        <v>40</v>
      </c>
      <c r="C908" s="1" t="s">
        <v>41</v>
      </c>
      <c r="D908" s="1" t="s">
        <v>26</v>
      </c>
      <c r="E908" s="1" t="s">
        <v>27</v>
      </c>
      <c r="F908" s="1" t="n">
        <f aca="false">IFERROR('dens_visc_gamma+mibk'!D22,"")</f>
        <v>40</v>
      </c>
      <c r="G908" s="1" t="n">
        <f aca="false">IFERROR('dens_visc_gamma+mibk'!A27,"")</f>
        <v>0.392061549539046</v>
      </c>
      <c r="H908" s="1" t="n">
        <f aca="false">IFERROR('dens_visc_gamma+mibk'!D27,"")</f>
        <v>0.85999</v>
      </c>
      <c r="I908" s="1" t="n">
        <f aca="false">IFERROR('dens_visc_gamma+mibk'!I27,"")</f>
        <v>-0.512825434351953</v>
      </c>
      <c r="J908" s="1" t="n">
        <f aca="false">IFERROR('dens_visc_gamma+mibk'!D41,"")</f>
        <v>1.097</v>
      </c>
      <c r="K908" s="1" t="str">
        <f aca="false">IF(AND(ISNUMBER(H908),ISNUMBER(I908),ISNUMBER(J908)),"✓",COUNTIF(H908:J908,"&gt;-999")&amp;"/3")</f>
        <v>✓</v>
      </c>
    </row>
    <row r="909" customFormat="false" ht="15" hidden="false" customHeight="true" outlineLevel="0" collapsed="false">
      <c r="A909" s="1" t="s">
        <v>45</v>
      </c>
      <c r="B909" s="1" t="s">
        <v>40</v>
      </c>
      <c r="C909" s="1" t="s">
        <v>41</v>
      </c>
      <c r="D909" s="1" t="s">
        <v>26</v>
      </c>
      <c r="E909" s="1" t="s">
        <v>27</v>
      </c>
      <c r="F909" s="1" t="n">
        <f aca="false">IFERROR('dens_visc_gamma+mibk'!D22,"")</f>
        <v>40</v>
      </c>
      <c r="G909" s="1" t="n">
        <f aca="false">IFERROR('dens_visc_gamma+mibk'!A28,"")</f>
        <v>0.497197795443102</v>
      </c>
      <c r="H909" s="1" t="n">
        <f aca="false">IFERROR('dens_visc_gamma+mibk'!D28,"")</f>
        <v>0.87632</v>
      </c>
      <c r="I909" s="1" t="n">
        <f aca="false">IFERROR('dens_visc_gamma+mibk'!I28,"")</f>
        <v>-0.510977643872963</v>
      </c>
      <c r="J909" s="1" t="n">
        <f aca="false">IFERROR('dens_visc_gamma+mibk'!D42,"")</f>
        <v>1.364</v>
      </c>
      <c r="K909" s="1" t="str">
        <f aca="false">IF(AND(ISNUMBER(H909),ISNUMBER(I909),ISNUMBER(J909)),"✓",COUNTIF(H909:J909,"&gt;-999")&amp;"/3")</f>
        <v>✓</v>
      </c>
    </row>
    <row r="910" customFormat="false" ht="15" hidden="false" customHeight="true" outlineLevel="0" collapsed="false">
      <c r="A910" s="1" t="s">
        <v>45</v>
      </c>
      <c r="B910" s="1" t="s">
        <v>40</v>
      </c>
      <c r="C910" s="1" t="s">
        <v>41</v>
      </c>
      <c r="D910" s="1" t="s">
        <v>26</v>
      </c>
      <c r="E910" s="1" t="s">
        <v>27</v>
      </c>
      <c r="F910" s="1" t="n">
        <f aca="false">IFERROR('dens_visc_gamma+mibk'!D22,"")</f>
        <v>40</v>
      </c>
      <c r="G910" s="1" t="n">
        <f aca="false">IFERROR('dens_visc_gamma+mibk'!A29,"")</f>
        <v>0.596702034327938</v>
      </c>
      <c r="H910" s="1" t="n">
        <f aca="false">IFERROR('dens_visc_gamma+mibk'!D29,"")</f>
        <v>0.89046</v>
      </c>
      <c r="I910" s="1" t="n">
        <f aca="false">IFERROR('dens_visc_gamma+mibk'!I29,"")</f>
        <v>-0.464433505318226</v>
      </c>
      <c r="J910" s="1" t="n">
        <f aca="false">IFERROR('dens_visc_gamma+mibk'!D43,"")</f>
        <v>1.671</v>
      </c>
      <c r="K910" s="1" t="str">
        <f aca="false">IF(AND(ISNUMBER(H910),ISNUMBER(I910),ISNUMBER(J910)),"✓",COUNTIF(H910:J910,"&gt;-999")&amp;"/3")</f>
        <v>✓</v>
      </c>
    </row>
    <row r="911" customFormat="false" ht="15" hidden="false" customHeight="true" outlineLevel="0" collapsed="false">
      <c r="A911" s="1" t="s">
        <v>45</v>
      </c>
      <c r="B911" s="1" t="s">
        <v>40</v>
      </c>
      <c r="C911" s="1" t="s">
        <v>41</v>
      </c>
      <c r="D911" s="1" t="s">
        <v>26</v>
      </c>
      <c r="E911" s="1" t="s">
        <v>27</v>
      </c>
      <c r="F911" s="1" t="n">
        <f aca="false">IFERROR('dens_visc_gamma+mibk'!D22,"")</f>
        <v>40</v>
      </c>
      <c r="G911" s="1" t="n">
        <f aca="false">IFERROR('dens_visc_gamma+mibk'!A30,"")</f>
        <v>0.690940088548683</v>
      </c>
      <c r="H911" s="1" t="n">
        <f aca="false">IFERROR('dens_visc_gamma+mibk'!D30,"")</f>
        <v>0.90279</v>
      </c>
      <c r="I911" s="1" t="n">
        <f aca="false">IFERROR('dens_visc_gamma+mibk'!I30,"")</f>
        <v>-0.382400199275025</v>
      </c>
      <c r="J911" s="1" t="n">
        <f aca="false">IFERROR('dens_visc_gamma+mibk'!D44,"")</f>
        <v>2.02</v>
      </c>
      <c r="K911" s="1" t="str">
        <f aca="false">IF(AND(ISNUMBER(H911),ISNUMBER(I911),ISNUMBER(J911)),"✓",COUNTIF(H911:J911,"&gt;-999")&amp;"/3")</f>
        <v>✓</v>
      </c>
    </row>
    <row r="912" customFormat="false" ht="15" hidden="false" customHeight="true" outlineLevel="0" collapsed="false">
      <c r="A912" s="1" t="s">
        <v>45</v>
      </c>
      <c r="B912" s="1" t="s">
        <v>40</v>
      </c>
      <c r="C912" s="1" t="s">
        <v>41</v>
      </c>
      <c r="D912" s="1" t="s">
        <v>26</v>
      </c>
      <c r="E912" s="1" t="s">
        <v>27</v>
      </c>
      <c r="F912" s="1" t="n">
        <f aca="false">IFERROR('dens_visc_gamma+mibk'!D22,"")</f>
        <v>40</v>
      </c>
      <c r="G912" s="1" t="n">
        <f aca="false">IFERROR('dens_visc_gamma+mibk'!A31,"")</f>
        <v>0.794429374894137</v>
      </c>
      <c r="H912" s="1" t="n">
        <f aca="false">IFERROR('dens_visc_gamma+mibk'!D31,"")</f>
        <v>0.91534</v>
      </c>
      <c r="I912" s="1" t="n">
        <f aca="false">IFERROR('dens_visc_gamma+mibk'!I31,"")</f>
        <v>-0.267612694281468</v>
      </c>
      <c r="J912" s="1" t="n">
        <f aca="false">IFERROR('dens_visc_gamma+mibk'!D45,"")</f>
        <v>2.484</v>
      </c>
      <c r="K912" s="1" t="str">
        <f aca="false">IF(AND(ISNUMBER(H912),ISNUMBER(I912),ISNUMBER(J912)),"✓",COUNTIF(H912:J912,"&gt;-999")&amp;"/3")</f>
        <v>✓</v>
      </c>
    </row>
    <row r="913" customFormat="false" ht="15" hidden="false" customHeight="true" outlineLevel="0" collapsed="false">
      <c r="A913" s="1" t="s">
        <v>45</v>
      </c>
      <c r="B913" s="1" t="s">
        <v>40</v>
      </c>
      <c r="C913" s="1" t="s">
        <v>41</v>
      </c>
      <c r="D913" s="1" t="s">
        <v>26</v>
      </c>
      <c r="E913" s="1" t="s">
        <v>27</v>
      </c>
      <c r="F913" s="1" t="n">
        <f aca="false">IFERROR('dens_visc_gamma+mibk'!D22,"")</f>
        <v>40</v>
      </c>
      <c r="G913" s="1" t="n">
        <f aca="false">IFERROR('dens_visc_gamma+mibk'!A32,"")</f>
        <v>0.895874322615171</v>
      </c>
      <c r="H913" s="1" t="n">
        <f aca="false">IFERROR('dens_visc_gamma+mibk'!D32,"")</f>
        <v>0.9267</v>
      </c>
      <c r="I913" s="1" t="n">
        <f aca="false">IFERROR('dens_visc_gamma+mibk'!I32,"")</f>
        <v>-0.125358774981066</v>
      </c>
      <c r="J913" s="1" t="n">
        <f aca="false">IFERROR('dens_visc_gamma+mibk'!D46,"")</f>
        <v>3.03</v>
      </c>
      <c r="K913" s="1" t="str">
        <f aca="false">IF(AND(ISNUMBER(H913),ISNUMBER(I913),ISNUMBER(J913)),"✓",COUNTIF(H913:J913,"&gt;-999")&amp;"/3")</f>
        <v>✓</v>
      </c>
    </row>
    <row r="914" customFormat="false" ht="15" hidden="false" customHeight="true" outlineLevel="0" collapsed="false">
      <c r="A914" s="1" t="s">
        <v>45</v>
      </c>
      <c r="B914" s="1" t="s">
        <v>40</v>
      </c>
      <c r="C914" s="1" t="s">
        <v>41</v>
      </c>
      <c r="D914" s="1" t="s">
        <v>26</v>
      </c>
      <c r="E914" s="1" t="s">
        <v>27</v>
      </c>
      <c r="F914" s="1" t="n">
        <f aca="false">IFERROR('dens_visc_gamma+mibk'!D22,"")</f>
        <v>40</v>
      </c>
      <c r="G914" s="1" t="n">
        <f aca="false">IFERROR('dens_visc_gamma+mibk'!A33,"")</f>
        <v>1</v>
      </c>
      <c r="H914" s="1" t="n">
        <f aca="false">IFERROR('dens_visc_gamma+mibk'!D33,"")</f>
        <v>0.93774</v>
      </c>
      <c r="I914" s="1" t="n">
        <f aca="false">IFERROR('dens_visc_gamma+mibk'!I33,"")</f>
        <v>0</v>
      </c>
      <c r="J914" s="1" t="n">
        <f aca="false">IFERROR('dens_visc_gamma+mibk'!D47,"")</f>
        <v>3.691</v>
      </c>
      <c r="K914" s="1" t="str">
        <f aca="false">IF(AND(ISNUMBER(H914),ISNUMBER(I914),ISNUMBER(J914)),"✓",COUNTIF(H914:J914,"&gt;-999")&amp;"/3")</f>
        <v>✓</v>
      </c>
    </row>
    <row r="915" customFormat="false" ht="15" hidden="false" customHeight="true" outlineLevel="0" collapsed="false">
      <c r="A915" s="1" t="s">
        <v>45</v>
      </c>
      <c r="B915" s="1" t="s">
        <v>40</v>
      </c>
      <c r="C915" s="1" t="s">
        <v>41</v>
      </c>
      <c r="D915" s="1" t="s">
        <v>26</v>
      </c>
      <c r="E915" s="1" t="s">
        <v>27</v>
      </c>
      <c r="F915" s="1" t="n">
        <f aca="false">IFERROR('dens_visc_gamma+mibk'!E22,"")</f>
        <v>50</v>
      </c>
      <c r="G915" s="1" t="n">
        <f aca="false">IFERROR('dens_visc_gamma+mibk'!A23,"")</f>
        <v>0</v>
      </c>
      <c r="H915" s="4" t="n">
        <f aca="false">IFERROR('dens_visc_gamma+mibk'!E23,"")</f>
        <v>0.77383</v>
      </c>
      <c r="I915" s="1" t="n">
        <f aca="false">IFERROR('dens_visc_gamma+mibk'!J23,"")</f>
        <v>0</v>
      </c>
      <c r="J915" s="5" t="n">
        <f aca="false">IFERROR('dens_visc_gamma+mibk'!E37,"")</f>
        <v>0.42305</v>
      </c>
      <c r="K915" s="1" t="str">
        <f aca="false">IF(AND(ISNUMBER(H915),ISNUMBER(I915),ISNUMBER(J915)),"✓",COUNTIF(H915:J915,"&gt;-999")&amp;"/3")</f>
        <v>✓</v>
      </c>
    </row>
    <row r="916" customFormat="false" ht="15" hidden="false" customHeight="true" outlineLevel="0" collapsed="false">
      <c r="A916" s="1" t="s">
        <v>45</v>
      </c>
      <c r="B916" s="1" t="s">
        <v>40</v>
      </c>
      <c r="C916" s="1" t="s">
        <v>41</v>
      </c>
      <c r="D916" s="1" t="s">
        <v>26</v>
      </c>
      <c r="E916" s="1" t="s">
        <v>27</v>
      </c>
      <c r="F916" s="1" t="n">
        <f aca="false">IFERROR('dens_visc_gamma+mibk'!E22,"")</f>
        <v>50</v>
      </c>
      <c r="G916" s="1" t="n">
        <f aca="false">IFERROR('dens_visc_gamma+mibk'!A24,"")</f>
        <v>0.0990219951658388</v>
      </c>
      <c r="H916" s="1" t="n">
        <f aca="false">IFERROR('dens_visc_gamma+mibk'!E24,"")</f>
        <v>0.79604</v>
      </c>
      <c r="I916" s="1" t="n">
        <f aca="false">IFERROR('dens_visc_gamma+mibk'!J24,"")</f>
        <v>-0.200624126411157</v>
      </c>
      <c r="J916" s="1" t="n">
        <f aca="false">IFERROR('dens_visc_gamma+mibk'!E38,"")</f>
        <v>0.517</v>
      </c>
      <c r="K916" s="1" t="str">
        <f aca="false">IF(AND(ISNUMBER(H916),ISNUMBER(I916),ISNUMBER(J916)),"✓",COUNTIF(H916:J916,"&gt;-999")&amp;"/3")</f>
        <v>✓</v>
      </c>
    </row>
    <row r="917" customFormat="false" ht="15" hidden="false" customHeight="true" outlineLevel="0" collapsed="false">
      <c r="A917" s="1" t="s">
        <v>45</v>
      </c>
      <c r="B917" s="1" t="s">
        <v>40</v>
      </c>
      <c r="C917" s="1" t="s">
        <v>41</v>
      </c>
      <c r="D917" s="1" t="s">
        <v>26</v>
      </c>
      <c r="E917" s="1" t="s">
        <v>27</v>
      </c>
      <c r="F917" s="1" t="n">
        <f aca="false">IFERROR('dens_visc_gamma+mibk'!E22,"")</f>
        <v>50</v>
      </c>
      <c r="G917" s="1" t="n">
        <f aca="false">IFERROR('dens_visc_gamma+mibk'!A25,"")</f>
        <v>0.196115589060213</v>
      </c>
      <c r="H917" s="1" t="n">
        <f aca="false">IFERROR('dens_visc_gamma+mibk'!E25,"")</f>
        <v>0.81631</v>
      </c>
      <c r="I917" s="1" t="n">
        <f aca="false">IFERROR('dens_visc_gamma+mibk'!J25,"")</f>
        <v>-0.409494483841115</v>
      </c>
      <c r="J917" s="1" t="n">
        <f aca="false">IFERROR('dens_visc_gamma+mibk'!E39,"")</f>
        <v>0.639</v>
      </c>
      <c r="K917" s="1" t="str">
        <f aca="false">IF(AND(ISNUMBER(H917),ISNUMBER(I917),ISNUMBER(J917)),"✓",COUNTIF(H917:J917,"&gt;-999")&amp;"/3")</f>
        <v>✓</v>
      </c>
    </row>
    <row r="918" customFormat="false" ht="15" hidden="false" customHeight="true" outlineLevel="0" collapsed="false">
      <c r="A918" s="1" t="s">
        <v>45</v>
      </c>
      <c r="B918" s="1" t="s">
        <v>40</v>
      </c>
      <c r="C918" s="1" t="s">
        <v>41</v>
      </c>
      <c r="D918" s="1" t="s">
        <v>26</v>
      </c>
      <c r="E918" s="1" t="s">
        <v>27</v>
      </c>
      <c r="F918" s="1" t="n">
        <f aca="false">IFERROR('dens_visc_gamma+mibk'!E22,"")</f>
        <v>50</v>
      </c>
      <c r="G918" s="1" t="n">
        <f aca="false">IFERROR('dens_visc_gamma+mibk'!A26,"")</f>
        <v>0.282191159104411</v>
      </c>
      <c r="H918" s="1" t="n">
        <f aca="false">IFERROR('dens_visc_gamma+mibk'!E26,"")</f>
        <v>0.83267</v>
      </c>
      <c r="I918" s="1" t="n">
        <f aca="false">IFERROR('dens_visc_gamma+mibk'!J26,"")</f>
        <v>-0.519727969641281</v>
      </c>
      <c r="J918" s="1" t="n">
        <f aca="false">IFERROR('dens_visc_gamma+mibk'!E40,"")</f>
        <v>0.762</v>
      </c>
      <c r="K918" s="1" t="str">
        <f aca="false">IF(AND(ISNUMBER(H918),ISNUMBER(I918),ISNUMBER(J918)),"✓",COUNTIF(H918:J918,"&gt;-999")&amp;"/3")</f>
        <v>✓</v>
      </c>
    </row>
    <row r="919" customFormat="false" ht="15" hidden="false" customHeight="true" outlineLevel="0" collapsed="false">
      <c r="A919" s="1" t="s">
        <v>45</v>
      </c>
      <c r="B919" s="1" t="s">
        <v>40</v>
      </c>
      <c r="C919" s="1" t="s">
        <v>41</v>
      </c>
      <c r="D919" s="1" t="s">
        <v>26</v>
      </c>
      <c r="E919" s="1" t="s">
        <v>27</v>
      </c>
      <c r="F919" s="1" t="n">
        <f aca="false">IFERROR('dens_visc_gamma+mibk'!E22,"")</f>
        <v>50</v>
      </c>
      <c r="G919" s="1" t="n">
        <f aca="false">IFERROR('dens_visc_gamma+mibk'!A27,"")</f>
        <v>0.392061549539046</v>
      </c>
      <c r="H919" s="1" t="n">
        <f aca="false">IFERROR('dens_visc_gamma+mibk'!E27,"")</f>
        <v>0.85164</v>
      </c>
      <c r="I919" s="1" t="n">
        <f aca="false">IFERROR('dens_visc_gamma+mibk'!J27,"")</f>
        <v>-0.57544335268534</v>
      </c>
      <c r="J919" s="1" t="n">
        <f aca="false">IFERROR('dens_visc_gamma+mibk'!E41,"")</f>
        <v>0.951</v>
      </c>
      <c r="K919" s="1" t="str">
        <f aca="false">IF(AND(ISNUMBER(H919),ISNUMBER(I919),ISNUMBER(J919)),"✓",COUNTIF(H919:J919,"&gt;-999")&amp;"/3")</f>
        <v>✓</v>
      </c>
    </row>
    <row r="920" customFormat="false" ht="15" hidden="false" customHeight="true" outlineLevel="0" collapsed="false">
      <c r="A920" s="1" t="s">
        <v>45</v>
      </c>
      <c r="B920" s="1" t="s">
        <v>40</v>
      </c>
      <c r="C920" s="1" t="s">
        <v>41</v>
      </c>
      <c r="D920" s="1" t="s">
        <v>26</v>
      </c>
      <c r="E920" s="1" t="s">
        <v>27</v>
      </c>
      <c r="F920" s="1" t="n">
        <f aca="false">IFERROR('dens_visc_gamma+mibk'!E22,"")</f>
        <v>50</v>
      </c>
      <c r="G920" s="1" t="n">
        <f aca="false">IFERROR('dens_visc_gamma+mibk'!A28,"")</f>
        <v>0.497197795443102</v>
      </c>
      <c r="H920" s="1" t="n">
        <f aca="false">IFERROR('dens_visc_gamma+mibk'!E28,"")</f>
        <v>0.86814</v>
      </c>
      <c r="I920" s="1" t="n">
        <f aca="false">IFERROR('dens_visc_gamma+mibk'!J28,"")</f>
        <v>-0.571538862517116</v>
      </c>
      <c r="J920" s="1" t="n">
        <f aca="false">IFERROR('dens_visc_gamma+mibk'!E42,"")</f>
        <v>1.165</v>
      </c>
      <c r="K920" s="1" t="str">
        <f aca="false">IF(AND(ISNUMBER(H920),ISNUMBER(I920),ISNUMBER(J920)),"✓",COUNTIF(H920:J920,"&gt;-999")&amp;"/3")</f>
        <v>✓</v>
      </c>
    </row>
    <row r="921" customFormat="false" ht="15" hidden="false" customHeight="true" outlineLevel="0" collapsed="false">
      <c r="A921" s="1" t="s">
        <v>45</v>
      </c>
      <c r="B921" s="1" t="s">
        <v>40</v>
      </c>
      <c r="C921" s="1" t="s">
        <v>41</v>
      </c>
      <c r="D921" s="1" t="s">
        <v>26</v>
      </c>
      <c r="E921" s="1" t="s">
        <v>27</v>
      </c>
      <c r="F921" s="1" t="n">
        <f aca="false">IFERROR('dens_visc_gamma+mibk'!E22,"")</f>
        <v>50</v>
      </c>
      <c r="G921" s="1" t="n">
        <f aca="false">IFERROR('dens_visc_gamma+mibk'!A29,"")</f>
        <v>0.596702034327938</v>
      </c>
      <c r="H921" s="1" t="n">
        <f aca="false">IFERROR('dens_visc_gamma+mibk'!E29,"")</f>
        <v>0.88243</v>
      </c>
      <c r="I921" s="1" t="n">
        <f aca="false">IFERROR('dens_visc_gamma+mibk'!J29,"")</f>
        <v>-0.520376809657819</v>
      </c>
      <c r="J921" s="1" t="n">
        <f aca="false">IFERROR('dens_visc_gamma+mibk'!E43,"")</f>
        <v>1.407</v>
      </c>
      <c r="K921" s="1" t="str">
        <f aca="false">IF(AND(ISNUMBER(H921),ISNUMBER(I921),ISNUMBER(J921)),"✓",COUNTIF(H921:J921,"&gt;-999")&amp;"/3")</f>
        <v>✓</v>
      </c>
    </row>
    <row r="922" customFormat="false" ht="15" hidden="false" customHeight="true" outlineLevel="0" collapsed="false">
      <c r="A922" s="1" t="s">
        <v>45</v>
      </c>
      <c r="B922" s="1" t="s">
        <v>40</v>
      </c>
      <c r="C922" s="1" t="s">
        <v>41</v>
      </c>
      <c r="D922" s="1" t="s">
        <v>26</v>
      </c>
      <c r="E922" s="1" t="s">
        <v>27</v>
      </c>
      <c r="F922" s="1" t="n">
        <f aca="false">IFERROR('dens_visc_gamma+mibk'!E22,"")</f>
        <v>50</v>
      </c>
      <c r="G922" s="1" t="n">
        <f aca="false">IFERROR('dens_visc_gamma+mibk'!A30,"")</f>
        <v>0.690940088548683</v>
      </c>
      <c r="H922" s="1" t="n">
        <f aca="false">IFERROR('dens_visc_gamma+mibk'!E30,"")</f>
        <v>0.89487</v>
      </c>
      <c r="I922" s="1" t="n">
        <f aca="false">IFERROR('dens_visc_gamma+mibk'!J30,"")</f>
        <v>-0.427610553895704</v>
      </c>
      <c r="J922" s="1" t="n">
        <f aca="false">IFERROR('dens_visc_gamma+mibk'!E44,"")</f>
        <v>1.677</v>
      </c>
      <c r="K922" s="1" t="str">
        <f aca="false">IF(AND(ISNUMBER(H922),ISNUMBER(I922),ISNUMBER(J922)),"✓",COUNTIF(H922:J922,"&gt;-999")&amp;"/3")</f>
        <v>✓</v>
      </c>
    </row>
    <row r="923" customFormat="false" ht="15" hidden="false" customHeight="true" outlineLevel="0" collapsed="false">
      <c r="A923" s="1" t="s">
        <v>45</v>
      </c>
      <c r="B923" s="1" t="s">
        <v>40</v>
      </c>
      <c r="C923" s="1" t="s">
        <v>41</v>
      </c>
      <c r="D923" s="1" t="s">
        <v>26</v>
      </c>
      <c r="E923" s="1" t="s">
        <v>27</v>
      </c>
      <c r="F923" s="1" t="n">
        <f aca="false">IFERROR('dens_visc_gamma+mibk'!E22,"")</f>
        <v>50</v>
      </c>
      <c r="G923" s="1" t="n">
        <f aca="false">IFERROR('dens_visc_gamma+mibk'!A31,"")</f>
        <v>0.794429374894137</v>
      </c>
      <c r="H923" s="1" t="n">
        <f aca="false">IFERROR('dens_visc_gamma+mibk'!E31,"")</f>
        <v>0.9075</v>
      </c>
      <c r="I923" s="1" t="n">
        <f aca="false">IFERROR('dens_visc_gamma+mibk'!J31,"")</f>
        <v>-0.29312310389858</v>
      </c>
      <c r="J923" s="1" t="n">
        <f aca="false">IFERROR('dens_visc_gamma+mibk'!E45,"")</f>
        <v>2.03</v>
      </c>
      <c r="K923" s="1" t="str">
        <f aca="false">IF(AND(ISNUMBER(H923),ISNUMBER(I923),ISNUMBER(J923)),"✓",COUNTIF(H923:J923,"&gt;-999")&amp;"/3")</f>
        <v>✓</v>
      </c>
    </row>
    <row r="924" customFormat="false" ht="15" hidden="false" customHeight="true" outlineLevel="0" collapsed="false">
      <c r="A924" s="1" t="s">
        <v>45</v>
      </c>
      <c r="B924" s="1" t="s">
        <v>40</v>
      </c>
      <c r="C924" s="1" t="s">
        <v>41</v>
      </c>
      <c r="D924" s="1" t="s">
        <v>26</v>
      </c>
      <c r="E924" s="1" t="s">
        <v>27</v>
      </c>
      <c r="F924" s="1" t="n">
        <f aca="false">IFERROR('dens_visc_gamma+mibk'!E22,"")</f>
        <v>50</v>
      </c>
      <c r="G924" s="1" t="n">
        <f aca="false">IFERROR('dens_visc_gamma+mibk'!A32,"")</f>
        <v>0.895874322615171</v>
      </c>
      <c r="H924" s="1" t="n">
        <f aca="false">IFERROR('dens_visc_gamma+mibk'!E32,"")</f>
        <v>0.91899</v>
      </c>
      <c r="I924" s="1" t="n">
        <f aca="false">IFERROR('dens_visc_gamma+mibk'!J32,"")</f>
        <v>-0.141074101408123</v>
      </c>
      <c r="J924" s="1" t="n">
        <f aca="false">IFERROR('dens_visc_gamma+mibk'!E46,"")</f>
        <v>2.436</v>
      </c>
      <c r="K924" s="1" t="str">
        <f aca="false">IF(AND(ISNUMBER(H924),ISNUMBER(I924),ISNUMBER(J924)),"✓",COUNTIF(H924:J924,"&gt;-999")&amp;"/3")</f>
        <v>✓</v>
      </c>
    </row>
    <row r="925" customFormat="false" ht="15" hidden="false" customHeight="true" outlineLevel="0" collapsed="false">
      <c r="A925" s="1" t="s">
        <v>45</v>
      </c>
      <c r="B925" s="1" t="s">
        <v>40</v>
      </c>
      <c r="C925" s="1" t="s">
        <v>41</v>
      </c>
      <c r="D925" s="1" t="s">
        <v>26</v>
      </c>
      <c r="E925" s="1" t="s">
        <v>27</v>
      </c>
      <c r="F925" s="1" t="n">
        <f aca="false">IFERROR('dens_visc_gamma+mibk'!E22,"")</f>
        <v>50</v>
      </c>
      <c r="G925" s="1" t="n">
        <f aca="false">IFERROR('dens_visc_gamma+mibk'!A33,"")</f>
        <v>1</v>
      </c>
      <c r="H925" s="1" t="n">
        <f aca="false">IFERROR('dens_visc_gamma+mibk'!E33,"")</f>
        <v>0.93013</v>
      </c>
      <c r="I925" s="1" t="n">
        <f aca="false">IFERROR('dens_visc_gamma+mibk'!J33,"")</f>
        <v>0</v>
      </c>
      <c r="J925" s="1" t="n">
        <f aca="false">IFERROR('dens_visc_gamma+mibk'!E47,"")</f>
        <v>2.914</v>
      </c>
      <c r="K925" s="1" t="str">
        <f aca="false">IF(AND(ISNUMBER(H925),ISNUMBER(I925),ISNUMBER(J925)),"✓",COUNTIF(H925:J925,"&gt;-999")&amp;"/3")</f>
        <v>✓</v>
      </c>
    </row>
    <row r="926" customFormat="false" ht="15" hidden="false" customHeight="true" outlineLevel="0" collapsed="false">
      <c r="A926" s="1" t="s">
        <v>45</v>
      </c>
      <c r="B926" s="1" t="s">
        <v>40</v>
      </c>
      <c r="C926" s="1" t="s">
        <v>41</v>
      </c>
      <c r="D926" s="1" t="s">
        <v>26</v>
      </c>
      <c r="E926" s="1" t="s">
        <v>27</v>
      </c>
      <c r="F926" s="1" t="n">
        <f aca="false">IFERROR('dens_visc_gamma+mibk'!F22,"")</f>
        <v>60</v>
      </c>
      <c r="G926" s="1" t="n">
        <f aca="false">IFERROR('dens_visc_gamma+mibk'!A23,"")</f>
        <v>0</v>
      </c>
      <c r="H926" s="4" t="n">
        <f aca="false">IFERROR('dens_visc_gamma+mibk'!F23,"")</f>
        <v>0.76444</v>
      </c>
      <c r="I926" s="1" t="n">
        <f aca="false">IFERROR('dens_visc_gamma+mibk'!K23,"")</f>
        <v>0</v>
      </c>
      <c r="J926" s="5" t="n">
        <f aca="false">IFERROR('dens_visc_gamma+mibk'!F37,"")</f>
        <v>0.38771</v>
      </c>
      <c r="K926" s="1" t="str">
        <f aca="false">IF(AND(ISNUMBER(H926),ISNUMBER(I926),ISNUMBER(J926)),"✓",COUNTIF(H926:J926,"&gt;-999")&amp;"/3")</f>
        <v>✓</v>
      </c>
    </row>
    <row r="927" customFormat="false" ht="15" hidden="false" customHeight="true" outlineLevel="0" collapsed="false">
      <c r="A927" s="1" t="s">
        <v>45</v>
      </c>
      <c r="B927" s="1" t="s">
        <v>40</v>
      </c>
      <c r="C927" s="1" t="s">
        <v>41</v>
      </c>
      <c r="D927" s="1" t="s">
        <v>26</v>
      </c>
      <c r="E927" s="1" t="s">
        <v>27</v>
      </c>
      <c r="F927" s="1" t="n">
        <f aca="false">IFERROR('dens_visc_gamma+mibk'!F22,"")</f>
        <v>60</v>
      </c>
      <c r="G927" s="1" t="n">
        <f aca="false">IFERROR('dens_visc_gamma+mibk'!A24,"")</f>
        <v>0.0990219951658388</v>
      </c>
      <c r="H927" s="1" t="n">
        <f aca="false">IFERROR('dens_visc_gamma+mibk'!F24,"")</f>
        <v>0.78701</v>
      </c>
      <c r="I927" s="1" t="n">
        <f aca="false">IFERROR('dens_visc_gamma+mibk'!K24,"")</f>
        <v>-0.239300145186178</v>
      </c>
      <c r="J927" s="1" t="n">
        <f aca="false">IFERROR('dens_visc_gamma+mibk'!F38,"")</f>
        <v>0.465</v>
      </c>
      <c r="K927" s="1" t="str">
        <f aca="false">IF(AND(ISNUMBER(H927),ISNUMBER(I927),ISNUMBER(J927)),"✓",COUNTIF(H927:J927,"&gt;-999")&amp;"/3")</f>
        <v>✓</v>
      </c>
    </row>
    <row r="928" customFormat="false" ht="15" hidden="false" customHeight="true" outlineLevel="0" collapsed="false">
      <c r="A928" s="1" t="s">
        <v>45</v>
      </c>
      <c r="B928" s="1" t="s">
        <v>40</v>
      </c>
      <c r="C928" s="1" t="s">
        <v>41</v>
      </c>
      <c r="D928" s="1" t="s">
        <v>26</v>
      </c>
      <c r="E928" s="1" t="s">
        <v>27</v>
      </c>
      <c r="F928" s="1" t="n">
        <f aca="false">IFERROR('dens_visc_gamma+mibk'!F22,"")</f>
        <v>60</v>
      </c>
      <c r="G928" s="1" t="n">
        <f aca="false">IFERROR('dens_visc_gamma+mibk'!A25,"")</f>
        <v>0.196115589060213</v>
      </c>
      <c r="H928" s="1" t="n">
        <f aca="false">IFERROR('dens_visc_gamma+mibk'!F25,"")</f>
        <v>0.80749</v>
      </c>
      <c r="I928" s="1" t="n">
        <f aca="false">IFERROR('dens_visc_gamma+mibk'!K25,"")</f>
        <v>-0.460366348904785</v>
      </c>
      <c r="J928" s="1" t="n">
        <f aca="false">IFERROR('dens_visc_gamma+mibk'!F39,"")</f>
        <v>0.571</v>
      </c>
      <c r="K928" s="1" t="str">
        <f aca="false">IF(AND(ISNUMBER(H928),ISNUMBER(I928),ISNUMBER(J928)),"✓",COUNTIF(H928:J928,"&gt;-999")&amp;"/3")</f>
        <v>✓</v>
      </c>
    </row>
    <row r="929" customFormat="false" ht="15" hidden="false" customHeight="true" outlineLevel="0" collapsed="false">
      <c r="A929" s="1" t="s">
        <v>45</v>
      </c>
      <c r="B929" s="1" t="s">
        <v>40</v>
      </c>
      <c r="C929" s="1" t="s">
        <v>41</v>
      </c>
      <c r="D929" s="1" t="s">
        <v>26</v>
      </c>
      <c r="E929" s="1" t="s">
        <v>27</v>
      </c>
      <c r="F929" s="1" t="n">
        <f aca="false">IFERROR('dens_visc_gamma+mibk'!F22,"")</f>
        <v>60</v>
      </c>
      <c r="G929" s="1" t="n">
        <f aca="false">IFERROR('dens_visc_gamma+mibk'!A26,"")</f>
        <v>0.282191159104411</v>
      </c>
      <c r="H929" s="1" t="n">
        <f aca="false">IFERROR('dens_visc_gamma+mibk'!F26,"")</f>
        <v>0.82404</v>
      </c>
      <c r="I929" s="1" t="n">
        <f aca="false">IFERROR('dens_visc_gamma+mibk'!K26,"")</f>
        <v>-0.579675272903927</v>
      </c>
      <c r="J929" s="1" t="n">
        <f aca="false">IFERROR('dens_visc_gamma+mibk'!F40,"")</f>
        <v>0.674</v>
      </c>
      <c r="K929" s="1" t="str">
        <f aca="false">IF(AND(ISNUMBER(H929),ISNUMBER(I929),ISNUMBER(J929)),"✓",COUNTIF(H929:J929,"&gt;-999")&amp;"/3")</f>
        <v>✓</v>
      </c>
    </row>
    <row r="930" customFormat="false" ht="15" hidden="false" customHeight="true" outlineLevel="0" collapsed="false">
      <c r="A930" s="1" t="s">
        <v>45</v>
      </c>
      <c r="B930" s="1" t="s">
        <v>40</v>
      </c>
      <c r="C930" s="1" t="s">
        <v>41</v>
      </c>
      <c r="D930" s="1" t="s">
        <v>26</v>
      </c>
      <c r="E930" s="1" t="s">
        <v>27</v>
      </c>
      <c r="F930" s="1" t="n">
        <f aca="false">IFERROR('dens_visc_gamma+mibk'!F22,"")</f>
        <v>60</v>
      </c>
      <c r="G930" s="1" t="n">
        <f aca="false">IFERROR('dens_visc_gamma+mibk'!A27,"")</f>
        <v>0.392061549539046</v>
      </c>
      <c r="H930" s="1" t="n">
        <f aca="false">IFERROR('dens_visc_gamma+mibk'!F27,"")</f>
        <v>0.84324</v>
      </c>
      <c r="I930" s="1" t="n">
        <f aca="false">IFERROR('dens_visc_gamma+mibk'!K27,"")</f>
        <v>-0.642563374466874</v>
      </c>
      <c r="J930" s="1" t="n">
        <f aca="false">IFERROR('dens_visc_gamma+mibk'!F41,"")</f>
        <v>0.833</v>
      </c>
      <c r="K930" s="1" t="str">
        <f aca="false">IF(AND(ISNUMBER(H930),ISNUMBER(I930),ISNUMBER(J930)),"✓",COUNTIF(H930:J930,"&gt;-999")&amp;"/3")</f>
        <v>✓</v>
      </c>
    </row>
    <row r="931" customFormat="false" ht="15" hidden="false" customHeight="true" outlineLevel="0" collapsed="false">
      <c r="A931" s="1" t="s">
        <v>45</v>
      </c>
      <c r="B931" s="1" t="s">
        <v>40</v>
      </c>
      <c r="C931" s="1" t="s">
        <v>41</v>
      </c>
      <c r="D931" s="1" t="s">
        <v>26</v>
      </c>
      <c r="E931" s="1" t="s">
        <v>27</v>
      </c>
      <c r="F931" s="1" t="n">
        <f aca="false">IFERROR('dens_visc_gamma+mibk'!F22,"")</f>
        <v>60</v>
      </c>
      <c r="G931" s="1" t="n">
        <f aca="false">IFERROR('dens_visc_gamma+mibk'!A28,"")</f>
        <v>0.497197795443102</v>
      </c>
      <c r="H931" s="1" t="n">
        <f aca="false">IFERROR('dens_visc_gamma+mibk'!F28,"")</f>
        <v>0.85992</v>
      </c>
      <c r="I931" s="1" t="n">
        <f aca="false">IFERROR('dens_visc_gamma+mibk'!K28,"")</f>
        <v>-0.637091445752816</v>
      </c>
      <c r="J931" s="1" t="n">
        <f aca="false">IFERROR('dens_visc_gamma+mibk'!F42,"")</f>
        <v>1.01</v>
      </c>
      <c r="K931" s="1" t="str">
        <f aca="false">IF(AND(ISNUMBER(H931),ISNUMBER(I931),ISNUMBER(J931)),"✓",COUNTIF(H931:J931,"&gt;-999")&amp;"/3")</f>
        <v>✓</v>
      </c>
    </row>
    <row r="932" customFormat="false" ht="15" hidden="false" customHeight="true" outlineLevel="0" collapsed="false">
      <c r="A932" s="1" t="s">
        <v>45</v>
      </c>
      <c r="B932" s="1" t="s">
        <v>40</v>
      </c>
      <c r="C932" s="1" t="s">
        <v>41</v>
      </c>
      <c r="D932" s="1" t="s">
        <v>26</v>
      </c>
      <c r="E932" s="1" t="s">
        <v>27</v>
      </c>
      <c r="F932" s="1" t="n">
        <f aca="false">IFERROR('dens_visc_gamma+mibk'!F22,"")</f>
        <v>60</v>
      </c>
      <c r="G932" s="1" t="n">
        <f aca="false">IFERROR('dens_visc_gamma+mibk'!A29,"")</f>
        <v>0.596702034327938</v>
      </c>
      <c r="H932" s="1" t="n">
        <f aca="false">IFERROR('dens_visc_gamma+mibk'!F29,"")</f>
        <v>0.87436</v>
      </c>
      <c r="I932" s="1" t="n">
        <f aca="false">IFERROR('dens_visc_gamma+mibk'!K29,"")</f>
        <v>-0.579895929045819</v>
      </c>
      <c r="J932" s="1" t="n">
        <f aca="false">IFERROR('dens_visc_gamma+mibk'!F43,"")</f>
        <v>1.205</v>
      </c>
      <c r="K932" s="1" t="str">
        <f aca="false">IF(AND(ISNUMBER(H932),ISNUMBER(I932),ISNUMBER(J932)),"✓",COUNTIF(H932:J932,"&gt;-999")&amp;"/3")</f>
        <v>✓</v>
      </c>
    </row>
    <row r="933" customFormat="false" ht="15" hidden="false" customHeight="true" outlineLevel="0" collapsed="false">
      <c r="A933" s="1" t="s">
        <v>45</v>
      </c>
      <c r="B933" s="1" t="s">
        <v>40</v>
      </c>
      <c r="C933" s="1" t="s">
        <v>41</v>
      </c>
      <c r="D933" s="1" t="s">
        <v>26</v>
      </c>
      <c r="E933" s="1" t="s">
        <v>27</v>
      </c>
      <c r="F933" s="1" t="n">
        <f aca="false">IFERROR('dens_visc_gamma+mibk'!F22,"")</f>
        <v>60</v>
      </c>
      <c r="G933" s="1" t="n">
        <f aca="false">IFERROR('dens_visc_gamma+mibk'!A30,"")</f>
        <v>0.690940088548683</v>
      </c>
      <c r="H933" s="1" t="n">
        <f aca="false">IFERROR('dens_visc_gamma+mibk'!F30,"")</f>
        <v>0.88692</v>
      </c>
      <c r="I933" s="1" t="n">
        <f aca="false">IFERROR('dens_visc_gamma+mibk'!K30,"")</f>
        <v>-0.476656393806366</v>
      </c>
      <c r="J933" s="1" t="n">
        <f aca="false">IFERROR('dens_visc_gamma+mibk'!F44,"")</f>
        <v>1.419</v>
      </c>
      <c r="K933" s="1" t="str">
        <f aca="false">IF(AND(ISNUMBER(H933),ISNUMBER(I933),ISNUMBER(J933)),"✓",COUNTIF(H933:J933,"&gt;-999")&amp;"/3")</f>
        <v>✓</v>
      </c>
    </row>
    <row r="934" customFormat="false" ht="15" hidden="false" customHeight="true" outlineLevel="0" collapsed="false">
      <c r="A934" s="1" t="s">
        <v>45</v>
      </c>
      <c r="B934" s="1" t="s">
        <v>40</v>
      </c>
      <c r="C934" s="1" t="s">
        <v>41</v>
      </c>
      <c r="D934" s="1" t="s">
        <v>26</v>
      </c>
      <c r="E934" s="1" t="s">
        <v>27</v>
      </c>
      <c r="F934" s="1" t="n">
        <f aca="false">IFERROR('dens_visc_gamma+mibk'!F22,"")</f>
        <v>60</v>
      </c>
      <c r="G934" s="1" t="n">
        <f aca="false">IFERROR('dens_visc_gamma+mibk'!A31,"")</f>
        <v>0.794429374894137</v>
      </c>
      <c r="H934" s="1" t="n">
        <f aca="false">IFERROR('dens_visc_gamma+mibk'!F31,"")</f>
        <v>0.89968</v>
      </c>
      <c r="I934" s="1" t="n">
        <f aca="false">IFERROR('dens_visc_gamma+mibk'!K31,"")</f>
        <v>-0.330018766865379</v>
      </c>
      <c r="J934" s="1" t="n">
        <f aca="false">IFERROR('dens_visc_gamma+mibk'!F45,"")</f>
        <v>1.694</v>
      </c>
      <c r="K934" s="1" t="str">
        <f aca="false">IF(AND(ISNUMBER(H934),ISNUMBER(I934),ISNUMBER(J934)),"✓",COUNTIF(H934:J934,"&gt;-999")&amp;"/3")</f>
        <v>✓</v>
      </c>
    </row>
    <row r="935" customFormat="false" ht="15" hidden="false" customHeight="true" outlineLevel="0" collapsed="false">
      <c r="A935" s="1" t="s">
        <v>45</v>
      </c>
      <c r="B935" s="1" t="s">
        <v>40</v>
      </c>
      <c r="C935" s="1" t="s">
        <v>41</v>
      </c>
      <c r="D935" s="1" t="s">
        <v>26</v>
      </c>
      <c r="E935" s="1" t="s">
        <v>27</v>
      </c>
      <c r="F935" s="1" t="n">
        <f aca="false">IFERROR('dens_visc_gamma+mibk'!F22,"")</f>
        <v>60</v>
      </c>
      <c r="G935" s="1" t="n">
        <f aca="false">IFERROR('dens_visc_gamma+mibk'!A32,"")</f>
        <v>0.895874322615171</v>
      </c>
      <c r="H935" s="1" t="n">
        <f aca="false">IFERROR('dens_visc_gamma+mibk'!F32,"")</f>
        <v>0.91126</v>
      </c>
      <c r="I935" s="1" t="n">
        <f aca="false">IFERROR('dens_visc_gamma+mibk'!K32,"")</f>
        <v>-0.158771012380186</v>
      </c>
      <c r="J935" s="1" t="n">
        <f aca="false">IFERROR('dens_visc_gamma+mibk'!F46,"")</f>
        <v>2.006</v>
      </c>
      <c r="K935" s="1" t="str">
        <f aca="false">IF(AND(ISNUMBER(H935),ISNUMBER(I935),ISNUMBER(J935)),"✓",COUNTIF(H935:J935,"&gt;-999")&amp;"/3")</f>
        <v>✓</v>
      </c>
    </row>
    <row r="936" customFormat="false" ht="15" hidden="false" customHeight="true" outlineLevel="0" collapsed="false">
      <c r="A936" s="1" t="s">
        <v>45</v>
      </c>
      <c r="B936" s="1" t="s">
        <v>40</v>
      </c>
      <c r="C936" s="1" t="s">
        <v>41</v>
      </c>
      <c r="D936" s="1" t="s">
        <v>26</v>
      </c>
      <c r="E936" s="1" t="s">
        <v>27</v>
      </c>
      <c r="F936" s="1" t="n">
        <f aca="false">IFERROR('dens_visc_gamma+mibk'!F22,"")</f>
        <v>60</v>
      </c>
      <c r="G936" s="1" t="n">
        <f aca="false">IFERROR('dens_visc_gamma+mibk'!A33,"")</f>
        <v>1</v>
      </c>
      <c r="H936" s="1" t="n">
        <f aca="false">IFERROR('dens_visc_gamma+mibk'!F33,"")</f>
        <v>0.9225</v>
      </c>
      <c r="I936" s="1" t="n">
        <f aca="false">IFERROR('dens_visc_gamma+mibk'!K33,"")</f>
        <v>0</v>
      </c>
      <c r="J936" s="1" t="n">
        <f aca="false">IFERROR('dens_visc_gamma+mibk'!F47,"")</f>
        <v>2.362</v>
      </c>
      <c r="K936" s="1" t="str">
        <f aca="false">IF(AND(ISNUMBER(H936),ISNUMBER(I936),ISNUMBER(J936)),"✓",COUNTIF(H936:J936,"&gt;-999")&amp;"/3")</f>
        <v>✓</v>
      </c>
    </row>
    <row r="937" customFormat="false" ht="15" hidden="false" customHeight="true" outlineLevel="0" collapsed="false">
      <c r="A937" s="1" t="s">
        <v>46</v>
      </c>
      <c r="B937" s="1" t="s">
        <v>40</v>
      </c>
      <c r="C937" s="1" t="s">
        <v>41</v>
      </c>
      <c r="D937" s="1" t="s">
        <v>29</v>
      </c>
      <c r="E937" s="1" t="s">
        <v>30</v>
      </c>
      <c r="F937" s="1" t="n">
        <f aca="false">IFERROR('dens_visc_gamma+2octanone'!B22,"")</f>
        <v>20</v>
      </c>
      <c r="G937" s="1" t="n">
        <f aca="false">IFERROR('dens_visc_gamma+2octanone'!A23,"")</f>
        <v>0</v>
      </c>
      <c r="H937" s="1" t="n">
        <f aca="false">IFERROR('dens_visc_gamma+2octanone'!B23,"")</f>
        <v>0.81906</v>
      </c>
      <c r="I937" s="1" t="n">
        <f aca="false">IFERROR('dens_visc_gamma+2octanone'!G23,"")</f>
        <v>0</v>
      </c>
      <c r="J937" s="1" t="n">
        <f aca="false">IFERROR('dens_visc_gamma+2octanone'!B37,"")</f>
        <v>1.01</v>
      </c>
      <c r="K937" s="1" t="str">
        <f aca="false">IF(AND(ISNUMBER(H937),ISNUMBER(I937),ISNUMBER(J937)),"✓",COUNTIF(H937:J937,"&gt;-999")&amp;"/3")</f>
        <v>✓</v>
      </c>
    </row>
    <row r="938" customFormat="false" ht="15" hidden="false" customHeight="true" outlineLevel="0" collapsed="false">
      <c r="A938" s="1" t="s">
        <v>46</v>
      </c>
      <c r="B938" s="1" t="s">
        <v>40</v>
      </c>
      <c r="C938" s="1" t="s">
        <v>41</v>
      </c>
      <c r="D938" s="1" t="s">
        <v>29</v>
      </c>
      <c r="E938" s="1" t="s">
        <v>30</v>
      </c>
      <c r="F938" s="1" t="n">
        <f aca="false">IFERROR('dens_visc_gamma+2octanone'!B22,"")</f>
        <v>20</v>
      </c>
      <c r="G938" s="1" t="n">
        <f aca="false">IFERROR('dens_visc_gamma+2octanone'!A24,"")</f>
        <v>0.0985369142533046</v>
      </c>
      <c r="H938" s="1" t="n">
        <f aca="false">IFERROR('dens_visc_gamma+2octanone'!B24,"")</f>
        <v>0.83426</v>
      </c>
      <c r="I938" s="1" t="n">
        <f aca="false">IFERROR('dens_visc_gamma+2octanone'!G24,"")</f>
        <v>-0.066975964679898</v>
      </c>
      <c r="J938" s="1" t="n">
        <f aca="false">IFERROR('dens_visc_gamma+2octanone'!B38,"")</f>
        <v>1.23</v>
      </c>
      <c r="K938" s="1" t="str">
        <f aca="false">IF(AND(ISNUMBER(H938),ISNUMBER(I938),ISNUMBER(J938)),"✓",COUNTIF(H938:J938,"&gt;-999")&amp;"/3")</f>
        <v>✓</v>
      </c>
    </row>
    <row r="939" customFormat="false" ht="15" hidden="false" customHeight="true" outlineLevel="0" collapsed="false">
      <c r="A939" s="1" t="s">
        <v>46</v>
      </c>
      <c r="B939" s="1" t="s">
        <v>40</v>
      </c>
      <c r="C939" s="1" t="s">
        <v>41</v>
      </c>
      <c r="D939" s="1" t="s">
        <v>29</v>
      </c>
      <c r="E939" s="1" t="s">
        <v>30</v>
      </c>
      <c r="F939" s="1" t="n">
        <f aca="false">IFERROR('dens_visc_gamma+2octanone'!B22,"")</f>
        <v>20</v>
      </c>
      <c r="G939" s="1" t="n">
        <f aca="false">IFERROR('dens_visc_gamma+2octanone'!A25,"")</f>
        <v>0.199336208745303</v>
      </c>
      <c r="H939" s="1" t="n">
        <f aca="false">IFERROR('dens_visc_gamma+2octanone'!B25,"")</f>
        <v>0.8493</v>
      </c>
      <c r="I939" s="1" t="n">
        <f aca="false">IFERROR('dens_visc_gamma+2octanone'!G25,"")</f>
        <v>-0.117392123530124</v>
      </c>
      <c r="J939" s="1" t="n">
        <f aca="false">IFERROR('dens_visc_gamma+2octanone'!B39,"")</f>
        <v>1.479</v>
      </c>
      <c r="K939" s="1" t="str">
        <f aca="false">IF(AND(ISNUMBER(H939),ISNUMBER(I939),ISNUMBER(J939)),"✓",COUNTIF(H939:J939,"&gt;-999")&amp;"/3")</f>
        <v>✓</v>
      </c>
    </row>
    <row r="940" customFormat="false" ht="15" hidden="false" customHeight="true" outlineLevel="0" collapsed="false">
      <c r="A940" s="1" t="s">
        <v>46</v>
      </c>
      <c r="B940" s="1" t="s">
        <v>40</v>
      </c>
      <c r="C940" s="1" t="s">
        <v>41</v>
      </c>
      <c r="D940" s="1" t="s">
        <v>29</v>
      </c>
      <c r="E940" s="1" t="s">
        <v>30</v>
      </c>
      <c r="F940" s="1" t="n">
        <f aca="false">IFERROR('dens_visc_gamma+2octanone'!B22,"")</f>
        <v>20</v>
      </c>
      <c r="G940" s="1" t="n">
        <f aca="false">IFERROR('dens_visc_gamma+2octanone'!A26,"")</f>
        <v>0.297828465070332</v>
      </c>
      <c r="H940" s="1" t="n">
        <f aca="false">IFERROR('dens_visc_gamma+2octanone'!B26,"")</f>
        <v>0.86363</v>
      </c>
      <c r="I940" s="1" t="n">
        <f aca="false">IFERROR('dens_visc_gamma+2octanone'!G26,"")</f>
        <v>-0.170982624804765</v>
      </c>
      <c r="J940" s="1" t="n">
        <f aca="false">IFERROR('dens_visc_gamma+2octanone'!B40,"")</f>
        <v>1.716</v>
      </c>
      <c r="K940" s="1" t="str">
        <f aca="false">IF(AND(ISNUMBER(H940),ISNUMBER(I940),ISNUMBER(J940)),"✓",COUNTIF(H940:J940,"&gt;-999")&amp;"/3")</f>
        <v>✓</v>
      </c>
    </row>
    <row r="941" customFormat="false" ht="15" hidden="false" customHeight="true" outlineLevel="0" collapsed="false">
      <c r="A941" s="1" t="s">
        <v>46</v>
      </c>
      <c r="B941" s="1" t="s">
        <v>40</v>
      </c>
      <c r="C941" s="1" t="s">
        <v>41</v>
      </c>
      <c r="D941" s="1" t="s">
        <v>29</v>
      </c>
      <c r="E941" s="1" t="s">
        <v>30</v>
      </c>
      <c r="F941" s="1" t="n">
        <f aca="false">IFERROR('dens_visc_gamma+2octanone'!B22,"")</f>
        <v>20</v>
      </c>
      <c r="G941" s="1" t="n">
        <f aca="false">IFERROR('dens_visc_gamma+2octanone'!A27,"")</f>
        <v>0.392961388975423</v>
      </c>
      <c r="H941" s="1" t="n">
        <f aca="false">IFERROR('dens_visc_gamma+2octanone'!B27,"")</f>
        <v>0.87686</v>
      </c>
      <c r="I941" s="1" t="n">
        <f aca="false">IFERROR('dens_visc_gamma+2octanone'!G27,"")</f>
        <v>-0.173692860079228</v>
      </c>
      <c r="J941" s="1" t="n">
        <f aca="false">IFERROR('dens_visc_gamma+2octanone'!B41,"")</f>
        <v>2.032</v>
      </c>
      <c r="K941" s="1" t="str">
        <f aca="false">IF(AND(ISNUMBER(H941),ISNUMBER(I941),ISNUMBER(J941)),"✓",COUNTIF(H941:J941,"&gt;-999")&amp;"/3")</f>
        <v>✓</v>
      </c>
    </row>
    <row r="942" customFormat="false" ht="15" hidden="false" customHeight="true" outlineLevel="0" collapsed="false">
      <c r="A942" s="1" t="s">
        <v>46</v>
      </c>
      <c r="B942" s="1" t="s">
        <v>40</v>
      </c>
      <c r="C942" s="1" t="s">
        <v>41</v>
      </c>
      <c r="D942" s="1" t="s">
        <v>29</v>
      </c>
      <c r="E942" s="1" t="s">
        <v>30</v>
      </c>
      <c r="F942" s="1" t="n">
        <f aca="false">IFERROR('dens_visc_gamma+2octanone'!B22,"")</f>
        <v>20</v>
      </c>
      <c r="G942" s="1" t="n">
        <f aca="false">IFERROR('dens_visc_gamma+2octanone'!A28,"")</f>
        <v>0.496556902424305</v>
      </c>
      <c r="H942" s="1" t="n">
        <f aca="false">IFERROR('dens_visc_gamma+2octanone'!B28,"")</f>
        <v>0.89087</v>
      </c>
      <c r="I942" s="1" t="n">
        <f aca="false">IFERROR('dens_visc_gamma+2octanone'!G28,"")</f>
        <v>-0.173116469647653</v>
      </c>
      <c r="J942" s="1" t="n">
        <f aca="false">IFERROR('dens_visc_gamma+2octanone'!B42,"")</f>
        <v>2.44</v>
      </c>
      <c r="K942" s="1" t="str">
        <f aca="false">IF(AND(ISNUMBER(H942),ISNUMBER(I942),ISNUMBER(J942)),"✓",COUNTIF(H942:J942,"&gt;-999")&amp;"/3")</f>
        <v>✓</v>
      </c>
    </row>
    <row r="943" customFormat="false" ht="15" hidden="false" customHeight="true" outlineLevel="0" collapsed="false">
      <c r="A943" s="1" t="s">
        <v>46</v>
      </c>
      <c r="B943" s="1" t="s">
        <v>40</v>
      </c>
      <c r="C943" s="1" t="s">
        <v>41</v>
      </c>
      <c r="D943" s="1" t="s">
        <v>29</v>
      </c>
      <c r="E943" s="1" t="s">
        <v>30</v>
      </c>
      <c r="F943" s="1" t="n">
        <f aca="false">IFERROR('dens_visc_gamma+2octanone'!B22,"")</f>
        <v>20</v>
      </c>
      <c r="G943" s="1" t="n">
        <f aca="false">IFERROR('dens_visc_gamma+2octanone'!A29,"")</f>
        <v>0.596914769035954</v>
      </c>
      <c r="H943" s="1" t="n">
        <f aca="false">IFERROR('dens_visc_gamma+2octanone'!B29,"")</f>
        <v>0.90402</v>
      </c>
      <c r="I943" s="1" t="n">
        <f aca="false">IFERROR('dens_visc_gamma+2octanone'!G29,"")</f>
        <v>-0.161147882032736</v>
      </c>
      <c r="J943" s="1" t="n">
        <f aca="false">IFERROR('dens_visc_gamma+2octanone'!B43,"")</f>
        <v>2.945</v>
      </c>
      <c r="K943" s="1" t="str">
        <f aca="false">IF(AND(ISNUMBER(H943),ISNUMBER(I943),ISNUMBER(J943)),"✓",COUNTIF(H943:J943,"&gt;-999")&amp;"/3")</f>
        <v>✓</v>
      </c>
    </row>
    <row r="944" customFormat="false" ht="15" hidden="false" customHeight="true" outlineLevel="0" collapsed="false">
      <c r="A944" s="1" t="s">
        <v>46</v>
      </c>
      <c r="B944" s="1" t="s">
        <v>40</v>
      </c>
      <c r="C944" s="1" t="s">
        <v>41</v>
      </c>
      <c r="D944" s="1" t="s">
        <v>29</v>
      </c>
      <c r="E944" s="1" t="s">
        <v>30</v>
      </c>
      <c r="F944" s="1" t="n">
        <f aca="false">IFERROR('dens_visc_gamma+2octanone'!B22,"")</f>
        <v>20</v>
      </c>
      <c r="G944" s="1" t="n">
        <f aca="false">IFERROR('dens_visc_gamma+2octanone'!A30,"")</f>
        <v>0.693645746213383</v>
      </c>
      <c r="H944" s="1" t="n">
        <f aca="false">IFERROR('dens_visc_gamma+2octanone'!B30,"")</f>
        <v>0.91634</v>
      </c>
      <c r="I944" s="1" t="n">
        <f aca="false">IFERROR('dens_visc_gamma+2octanone'!G30,"")</f>
        <v>-0.143774337496808</v>
      </c>
      <c r="J944" s="1" t="n">
        <f aca="false">IFERROR('dens_visc_gamma+2octanone'!B44,"")</f>
        <v>3.543</v>
      </c>
      <c r="K944" s="1" t="str">
        <f aca="false">IF(AND(ISNUMBER(H944),ISNUMBER(I944),ISNUMBER(J944)),"✓",COUNTIF(H944:J944,"&gt;-999")&amp;"/3")</f>
        <v>✓</v>
      </c>
    </row>
    <row r="945" customFormat="false" ht="15" hidden="false" customHeight="true" outlineLevel="0" collapsed="false">
      <c r="A945" s="1" t="s">
        <v>46</v>
      </c>
      <c r="B945" s="1" t="s">
        <v>40</v>
      </c>
      <c r="C945" s="1" t="s">
        <v>41</v>
      </c>
      <c r="D945" s="1" t="s">
        <v>29</v>
      </c>
      <c r="E945" s="1" t="s">
        <v>30</v>
      </c>
      <c r="F945" s="1" t="n">
        <f aca="false">IFERROR('dens_visc_gamma+2octanone'!B22,"")</f>
        <v>20</v>
      </c>
      <c r="G945" s="1" t="n">
        <f aca="false">IFERROR('dens_visc_gamma+2octanone'!A31,"")</f>
        <v>0.791589499778559</v>
      </c>
      <c r="H945" s="1" t="n">
        <f aca="false">IFERROR('dens_visc_gamma+2octanone'!B31,"")</f>
        <v>0.92833</v>
      </c>
      <c r="I945" s="1" t="n">
        <f aca="false">IFERROR('dens_visc_gamma+2octanone'!G31,"")</f>
        <v>-0.0937745785738002</v>
      </c>
      <c r="J945" s="1" t="n">
        <f aca="false">IFERROR('dens_visc_gamma+2octanone'!B45,"")</f>
        <v>4.302</v>
      </c>
      <c r="K945" s="1" t="str">
        <f aca="false">IF(AND(ISNUMBER(H945),ISNUMBER(I945),ISNUMBER(J945)),"✓",COUNTIF(H945:J945,"&gt;-999")&amp;"/3")</f>
        <v>✓</v>
      </c>
    </row>
    <row r="946" customFormat="false" ht="15" hidden="false" customHeight="true" outlineLevel="0" collapsed="false">
      <c r="A946" s="1" t="s">
        <v>46</v>
      </c>
      <c r="B946" s="1" t="s">
        <v>40</v>
      </c>
      <c r="C946" s="1" t="s">
        <v>41</v>
      </c>
      <c r="D946" s="1" t="s">
        <v>29</v>
      </c>
      <c r="E946" s="1" t="s">
        <v>30</v>
      </c>
      <c r="F946" s="1" t="n">
        <f aca="false">IFERROR('dens_visc_gamma+2octanone'!B22,"")</f>
        <v>20</v>
      </c>
      <c r="G946" s="1" t="n">
        <f aca="false">IFERROR('dens_visc_gamma+2octanone'!A32,"")</f>
        <v>0.897951971652888</v>
      </c>
      <c r="H946" s="1" t="n">
        <f aca="false">IFERROR('dens_visc_gamma+2octanone'!B32,"")</f>
        <v>0.94095</v>
      </c>
      <c r="I946" s="1" t="n">
        <f aca="false">IFERROR('dens_visc_gamma+2octanone'!G32,"")</f>
        <v>-0.0283955554602926</v>
      </c>
      <c r="J946" s="1" t="n">
        <f aca="false">IFERROR('dens_visc_gamma+2octanone'!B46,"")</f>
        <v>5.343</v>
      </c>
      <c r="K946" s="1" t="str">
        <f aca="false">IF(AND(ISNUMBER(H946),ISNUMBER(I946),ISNUMBER(J946)),"✓",COUNTIF(H946:J946,"&gt;-999")&amp;"/3")</f>
        <v>✓</v>
      </c>
    </row>
    <row r="947" customFormat="false" ht="15" hidden="false" customHeight="true" outlineLevel="0" collapsed="false">
      <c r="A947" s="1" t="s">
        <v>46</v>
      </c>
      <c r="B947" s="1" t="s">
        <v>40</v>
      </c>
      <c r="C947" s="1" t="s">
        <v>41</v>
      </c>
      <c r="D947" s="1" t="s">
        <v>29</v>
      </c>
      <c r="E947" s="1" t="s">
        <v>30</v>
      </c>
      <c r="F947" s="1" t="n">
        <f aca="false">IFERROR('dens_visc_gamma+2octanone'!B22,"")</f>
        <v>20</v>
      </c>
      <c r="G947" s="1" t="n">
        <f aca="false">IFERROR('dens_visc_gamma+2octanone'!A33,"")</f>
        <v>1</v>
      </c>
      <c r="H947" s="1" t="n">
        <f aca="false">IFERROR('dens_visc_gamma+2octanone'!B33,"")</f>
        <v>0.95292</v>
      </c>
      <c r="I947" s="1" t="n">
        <f aca="false">IFERROR('dens_visc_gamma+2octanone'!G33,"")</f>
        <v>0</v>
      </c>
      <c r="J947" s="1" t="n">
        <f aca="false">IFERROR('dens_visc_gamma+2octanone'!B47,"")</f>
        <v>6.574</v>
      </c>
      <c r="K947" s="1" t="str">
        <f aca="false">IF(AND(ISNUMBER(H947),ISNUMBER(I947),ISNUMBER(J947)),"✓",COUNTIF(H947:J947,"&gt;-999")&amp;"/3")</f>
        <v>✓</v>
      </c>
    </row>
    <row r="948" customFormat="false" ht="15" hidden="false" customHeight="true" outlineLevel="0" collapsed="false">
      <c r="A948" s="1" t="s">
        <v>46</v>
      </c>
      <c r="B948" s="1" t="s">
        <v>40</v>
      </c>
      <c r="C948" s="1" t="s">
        <v>41</v>
      </c>
      <c r="D948" s="1" t="s">
        <v>29</v>
      </c>
      <c r="E948" s="1" t="s">
        <v>30</v>
      </c>
      <c r="F948" s="1" t="n">
        <f aca="false">IFERROR('dens_visc_gamma+2octanone'!C22,"")</f>
        <v>30</v>
      </c>
      <c r="G948" s="1" t="n">
        <f aca="false">IFERROR('dens_visc_gamma+2octanone'!A23,"")</f>
        <v>0</v>
      </c>
      <c r="H948" s="1" t="n">
        <f aca="false">IFERROR('dens_visc_gamma+2octanone'!C23,"")</f>
        <v>0.81089</v>
      </c>
      <c r="I948" s="1" t="n">
        <f aca="false">IFERROR('dens_visc_gamma+2octanone'!H23,"")</f>
        <v>0</v>
      </c>
      <c r="J948" s="1" t="n">
        <f aca="false">IFERROR('dens_visc_gamma+2octanone'!C37,"")</f>
        <v>0.869</v>
      </c>
      <c r="K948" s="1" t="str">
        <f aca="false">IF(AND(ISNUMBER(H948),ISNUMBER(I948),ISNUMBER(J948)),"✓",COUNTIF(H948:J948,"&gt;-999")&amp;"/3")</f>
        <v>✓</v>
      </c>
    </row>
    <row r="949" customFormat="false" ht="15" hidden="false" customHeight="true" outlineLevel="0" collapsed="false">
      <c r="A949" s="1" t="s">
        <v>46</v>
      </c>
      <c r="B949" s="1" t="s">
        <v>40</v>
      </c>
      <c r="C949" s="1" t="s">
        <v>41</v>
      </c>
      <c r="D949" s="1" t="s">
        <v>29</v>
      </c>
      <c r="E949" s="1" t="s">
        <v>30</v>
      </c>
      <c r="F949" s="1" t="n">
        <f aca="false">IFERROR('dens_visc_gamma+2octanone'!C22,"")</f>
        <v>30</v>
      </c>
      <c r="G949" s="1" t="n">
        <f aca="false">IFERROR('dens_visc_gamma+2octanone'!A24,"")</f>
        <v>0.0985369142533046</v>
      </c>
      <c r="H949" s="1" t="n">
        <f aca="false">IFERROR('dens_visc_gamma+2octanone'!C24,"")</f>
        <v>0.82612</v>
      </c>
      <c r="I949" s="1" t="n">
        <f aca="false">IFERROR('dens_visc_gamma+2octanone'!H24,"")</f>
        <v>-0.0662900881988549</v>
      </c>
      <c r="J949" s="1" t="n">
        <f aca="false">IFERROR('dens_visc_gamma+2octanone'!C38,"")</f>
        <v>1.045</v>
      </c>
      <c r="K949" s="1" t="str">
        <f aca="false">IF(AND(ISNUMBER(H949),ISNUMBER(I949),ISNUMBER(J949)),"✓",COUNTIF(H949:J949,"&gt;-999")&amp;"/3")</f>
        <v>✓</v>
      </c>
    </row>
    <row r="950" customFormat="false" ht="15" hidden="false" customHeight="true" outlineLevel="0" collapsed="false">
      <c r="A950" s="1" t="s">
        <v>46</v>
      </c>
      <c r="B950" s="1" t="s">
        <v>40</v>
      </c>
      <c r="C950" s="1" t="s">
        <v>41</v>
      </c>
      <c r="D950" s="1" t="s">
        <v>29</v>
      </c>
      <c r="E950" s="1" t="s">
        <v>30</v>
      </c>
      <c r="F950" s="1" t="n">
        <f aca="false">IFERROR('dens_visc_gamma+2octanone'!C22,"")</f>
        <v>30</v>
      </c>
      <c r="G950" s="1" t="n">
        <f aca="false">IFERROR('dens_visc_gamma+2octanone'!A25,"")</f>
        <v>0.199336208745303</v>
      </c>
      <c r="H950" s="1" t="n">
        <f aca="false">IFERROR('dens_visc_gamma+2octanone'!C25,"")</f>
        <v>0.84129</v>
      </c>
      <c r="I950" s="1" t="n">
        <f aca="false">IFERROR('dens_visc_gamma+2octanone'!H25,"")</f>
        <v>-0.133694826538374</v>
      </c>
      <c r="J950" s="1" t="n">
        <f aca="false">IFERROR('dens_visc_gamma+2octanone'!C39,"")</f>
        <v>1.22</v>
      </c>
      <c r="K950" s="1" t="str">
        <f aca="false">IF(AND(ISNUMBER(H950),ISNUMBER(I950),ISNUMBER(J950)),"✓",COUNTIF(H950:J950,"&gt;-999")&amp;"/3")</f>
        <v>✓</v>
      </c>
    </row>
    <row r="951" customFormat="false" ht="15" hidden="false" customHeight="true" outlineLevel="0" collapsed="false">
      <c r="A951" s="1" t="s">
        <v>46</v>
      </c>
      <c r="B951" s="1" t="s">
        <v>40</v>
      </c>
      <c r="C951" s="1" t="s">
        <v>41</v>
      </c>
      <c r="D951" s="1" t="s">
        <v>29</v>
      </c>
      <c r="E951" s="1" t="s">
        <v>30</v>
      </c>
      <c r="F951" s="1" t="n">
        <f aca="false">IFERROR('dens_visc_gamma+2octanone'!C22,"")</f>
        <v>30</v>
      </c>
      <c r="G951" s="1" t="n">
        <f aca="false">IFERROR('dens_visc_gamma+2octanone'!A26,"")</f>
        <v>0.297828465070332</v>
      </c>
      <c r="H951" s="1" t="n">
        <f aca="false">IFERROR('dens_visc_gamma+2octanone'!C26,"")</f>
        <v>0.85559</v>
      </c>
      <c r="I951" s="1" t="n">
        <f aca="false">IFERROR('dens_visc_gamma+2octanone'!H26,"")</f>
        <v>-0.172647765254396</v>
      </c>
      <c r="J951" s="1" t="n">
        <f aca="false">IFERROR('dens_visc_gamma+2octanone'!C40,"")</f>
        <v>1.421</v>
      </c>
      <c r="K951" s="1" t="str">
        <f aca="false">IF(AND(ISNUMBER(H951),ISNUMBER(I951),ISNUMBER(J951)),"✓",COUNTIF(H951:J951,"&gt;-999")&amp;"/3")</f>
        <v>✓</v>
      </c>
    </row>
    <row r="952" customFormat="false" ht="15" hidden="false" customHeight="true" outlineLevel="0" collapsed="false">
      <c r="A952" s="1" t="s">
        <v>46</v>
      </c>
      <c r="B952" s="1" t="s">
        <v>40</v>
      </c>
      <c r="C952" s="1" t="s">
        <v>41</v>
      </c>
      <c r="D952" s="1" t="s">
        <v>29</v>
      </c>
      <c r="E952" s="1" t="s">
        <v>30</v>
      </c>
      <c r="F952" s="1" t="n">
        <f aca="false">IFERROR('dens_visc_gamma+2octanone'!C22,"")</f>
        <v>30</v>
      </c>
      <c r="G952" s="1" t="n">
        <f aca="false">IFERROR('dens_visc_gamma+2octanone'!A27,"")</f>
        <v>0.392961388975423</v>
      </c>
      <c r="H952" s="1" t="n">
        <f aca="false">IFERROR('dens_visc_gamma+2octanone'!C27,"")</f>
        <v>0.86898</v>
      </c>
      <c r="I952" s="1" t="n">
        <f aca="false">IFERROR('dens_visc_gamma+2octanone'!H27,"")</f>
        <v>-0.195775928493305</v>
      </c>
      <c r="J952" s="1" t="n">
        <f aca="false">IFERROR('dens_visc_gamma+2octanone'!C41,"")</f>
        <v>1.661</v>
      </c>
      <c r="K952" s="1" t="str">
        <f aca="false">IF(AND(ISNUMBER(H952),ISNUMBER(I952),ISNUMBER(J952)),"✓",COUNTIF(H952:J952,"&gt;-999")&amp;"/3")</f>
        <v>✓</v>
      </c>
    </row>
    <row r="953" customFormat="false" ht="15" hidden="false" customHeight="true" outlineLevel="0" collapsed="false">
      <c r="A953" s="1" t="s">
        <v>46</v>
      </c>
      <c r="B953" s="1" t="s">
        <v>40</v>
      </c>
      <c r="C953" s="1" t="s">
        <v>41</v>
      </c>
      <c r="D953" s="1" t="s">
        <v>29</v>
      </c>
      <c r="E953" s="1" t="s">
        <v>30</v>
      </c>
      <c r="F953" s="1" t="n">
        <f aca="false">IFERROR('dens_visc_gamma+2octanone'!C22,"")</f>
        <v>30</v>
      </c>
      <c r="G953" s="1" t="n">
        <f aca="false">IFERROR('dens_visc_gamma+2octanone'!A28,"")</f>
        <v>0.496556902424305</v>
      </c>
      <c r="H953" s="1" t="n">
        <f aca="false">IFERROR('dens_visc_gamma+2octanone'!C28,"")</f>
        <v>0.88305</v>
      </c>
      <c r="I953" s="1" t="n">
        <f aca="false">IFERROR('dens_visc_gamma+2octanone'!H28,"")</f>
        <v>-0.194585370142136</v>
      </c>
      <c r="J953" s="1" t="n">
        <f aca="false">IFERROR('dens_visc_gamma+2octanone'!C42,"")</f>
        <v>1.968</v>
      </c>
      <c r="K953" s="1" t="str">
        <f aca="false">IF(AND(ISNUMBER(H953),ISNUMBER(I953),ISNUMBER(J953)),"✓",COUNTIF(H953:J953,"&gt;-999")&amp;"/3")</f>
        <v>✓</v>
      </c>
    </row>
    <row r="954" customFormat="false" ht="15" hidden="false" customHeight="true" outlineLevel="0" collapsed="false">
      <c r="A954" s="1" t="s">
        <v>46</v>
      </c>
      <c r="B954" s="1" t="s">
        <v>40</v>
      </c>
      <c r="C954" s="1" t="s">
        <v>41</v>
      </c>
      <c r="D954" s="1" t="s">
        <v>29</v>
      </c>
      <c r="E954" s="1" t="s">
        <v>30</v>
      </c>
      <c r="F954" s="1" t="n">
        <f aca="false">IFERROR('dens_visc_gamma+2octanone'!C22,"")</f>
        <v>30</v>
      </c>
      <c r="G954" s="1" t="n">
        <f aca="false">IFERROR('dens_visc_gamma+2octanone'!A29,"")</f>
        <v>0.596914769035954</v>
      </c>
      <c r="H954" s="1" t="n">
        <f aca="false">IFERROR('dens_visc_gamma+2octanone'!C29,"")</f>
        <v>0.89621</v>
      </c>
      <c r="I954" s="1" t="n">
        <f aca="false">IFERROR('dens_visc_gamma+2octanone'!H29,"")</f>
        <v>-0.171897586569173</v>
      </c>
      <c r="J954" s="1" t="n">
        <f aca="false">IFERROR('dens_visc_gamma+2octanone'!C43,"")</f>
        <v>2.336</v>
      </c>
      <c r="K954" s="1" t="str">
        <f aca="false">IF(AND(ISNUMBER(H954),ISNUMBER(I954),ISNUMBER(J954)),"✓",COUNTIF(H954:J954,"&gt;-999")&amp;"/3")</f>
        <v>✓</v>
      </c>
    </row>
    <row r="955" customFormat="false" ht="15" hidden="false" customHeight="true" outlineLevel="0" collapsed="false">
      <c r="A955" s="1" t="s">
        <v>46</v>
      </c>
      <c r="B955" s="1" t="s">
        <v>40</v>
      </c>
      <c r="C955" s="1" t="s">
        <v>41</v>
      </c>
      <c r="D955" s="1" t="s">
        <v>29</v>
      </c>
      <c r="E955" s="1" t="s">
        <v>30</v>
      </c>
      <c r="F955" s="1" t="n">
        <f aca="false">IFERROR('dens_visc_gamma+2octanone'!C22,"")</f>
        <v>30</v>
      </c>
      <c r="G955" s="1" t="n">
        <f aca="false">IFERROR('dens_visc_gamma+2octanone'!A30,"")</f>
        <v>0.693645746213383</v>
      </c>
      <c r="H955" s="1" t="n">
        <f aca="false">IFERROR('dens_visc_gamma+2octanone'!C30,"")</f>
        <v>0.90857</v>
      </c>
      <c r="I955" s="1" t="n">
        <f aca="false">IFERROR('dens_visc_gamma+2octanone'!H30,"")</f>
        <v>-0.149286972224189</v>
      </c>
      <c r="J955" s="1" t="n">
        <f aca="false">IFERROR('dens_visc_gamma+2octanone'!C44,"")</f>
        <v>2.764</v>
      </c>
      <c r="K955" s="1" t="str">
        <f aca="false">IF(AND(ISNUMBER(H955),ISNUMBER(I955),ISNUMBER(J955)),"✓",COUNTIF(H955:J955,"&gt;-999")&amp;"/3")</f>
        <v>✓</v>
      </c>
    </row>
    <row r="956" customFormat="false" ht="15" hidden="false" customHeight="true" outlineLevel="0" collapsed="false">
      <c r="A956" s="1" t="s">
        <v>46</v>
      </c>
      <c r="B956" s="1" t="s">
        <v>40</v>
      </c>
      <c r="C956" s="1" t="s">
        <v>41</v>
      </c>
      <c r="D956" s="1" t="s">
        <v>29</v>
      </c>
      <c r="E956" s="1" t="s">
        <v>30</v>
      </c>
      <c r="F956" s="1" t="n">
        <f aca="false">IFERROR('dens_visc_gamma+2octanone'!C22,"")</f>
        <v>30</v>
      </c>
      <c r="G956" s="1" t="n">
        <f aca="false">IFERROR('dens_visc_gamma+2octanone'!A31,"")</f>
        <v>0.791589499778559</v>
      </c>
      <c r="H956" s="1" t="n">
        <f aca="false">IFERROR('dens_visc_gamma+2octanone'!C31,"")</f>
        <v>0.92069</v>
      </c>
      <c r="I956" s="1" t="n">
        <f aca="false">IFERROR('dens_visc_gamma+2octanone'!H31,"")</f>
        <v>-0.109937888744383</v>
      </c>
      <c r="J956" s="1" t="n">
        <f aca="false">IFERROR('dens_visc_gamma+2octanone'!C45,"")</f>
        <v>3.294</v>
      </c>
      <c r="K956" s="1" t="str">
        <f aca="false">IF(AND(ISNUMBER(H956),ISNUMBER(I956),ISNUMBER(J956)),"✓",COUNTIF(H956:J956,"&gt;-999")&amp;"/3")</f>
        <v>✓</v>
      </c>
    </row>
    <row r="957" customFormat="false" ht="15" hidden="false" customHeight="true" outlineLevel="0" collapsed="false">
      <c r="A957" s="1" t="s">
        <v>46</v>
      </c>
      <c r="B957" s="1" t="s">
        <v>40</v>
      </c>
      <c r="C957" s="1" t="s">
        <v>41</v>
      </c>
      <c r="D957" s="1" t="s">
        <v>29</v>
      </c>
      <c r="E957" s="1" t="s">
        <v>30</v>
      </c>
      <c r="F957" s="1" t="n">
        <f aca="false">IFERROR('dens_visc_gamma+2octanone'!C22,"")</f>
        <v>30</v>
      </c>
      <c r="G957" s="1" t="n">
        <f aca="false">IFERROR('dens_visc_gamma+2octanone'!A32,"")</f>
        <v>0.897951971652888</v>
      </c>
      <c r="H957" s="1" t="n">
        <f aca="false">IFERROR('dens_visc_gamma+2octanone'!C32,"")</f>
        <v>0.93332</v>
      </c>
      <c r="I957" s="1" t="n">
        <f aca="false">IFERROR('dens_visc_gamma+2octanone'!H32,"")</f>
        <v>-0.0303991942210189</v>
      </c>
      <c r="J957" s="1" t="n">
        <f aca="false">IFERROR('dens_visc_gamma+2octanone'!C46,"")</f>
        <v>4.004</v>
      </c>
      <c r="K957" s="1" t="str">
        <f aca="false">IF(AND(ISNUMBER(H957),ISNUMBER(I957),ISNUMBER(J957)),"✓",COUNTIF(H957:J957,"&gt;-999")&amp;"/3")</f>
        <v>✓</v>
      </c>
    </row>
    <row r="958" customFormat="false" ht="15" hidden="false" customHeight="true" outlineLevel="0" collapsed="false">
      <c r="A958" s="1" t="s">
        <v>46</v>
      </c>
      <c r="B958" s="1" t="s">
        <v>40</v>
      </c>
      <c r="C958" s="1" t="s">
        <v>41</v>
      </c>
      <c r="D958" s="1" t="s">
        <v>29</v>
      </c>
      <c r="E958" s="1" t="s">
        <v>30</v>
      </c>
      <c r="F958" s="1" t="n">
        <f aca="false">IFERROR('dens_visc_gamma+2octanone'!C22,"")</f>
        <v>30</v>
      </c>
      <c r="G958" s="1" t="n">
        <f aca="false">IFERROR('dens_visc_gamma+2octanone'!A33,"")</f>
        <v>1</v>
      </c>
      <c r="H958" s="1" t="n">
        <f aca="false">IFERROR('dens_visc_gamma+2octanone'!C33,"")</f>
        <v>0.94536</v>
      </c>
      <c r="I958" s="1" t="n">
        <f aca="false">IFERROR('dens_visc_gamma+2octanone'!H33,"")</f>
        <v>0</v>
      </c>
      <c r="J958" s="1" t="n">
        <f aca="false">IFERROR('dens_visc_gamma+2octanone'!C47,"")</f>
        <v>4.821</v>
      </c>
      <c r="K958" s="1" t="str">
        <f aca="false">IF(AND(ISNUMBER(H958),ISNUMBER(I958),ISNUMBER(J958)),"✓",COUNTIF(H958:J958,"&gt;-999")&amp;"/3")</f>
        <v>✓</v>
      </c>
    </row>
    <row r="959" customFormat="false" ht="15" hidden="false" customHeight="true" outlineLevel="0" collapsed="false">
      <c r="A959" s="1" t="s">
        <v>46</v>
      </c>
      <c r="B959" s="1" t="s">
        <v>40</v>
      </c>
      <c r="C959" s="1" t="s">
        <v>41</v>
      </c>
      <c r="D959" s="1" t="s">
        <v>29</v>
      </c>
      <c r="E959" s="1" t="s">
        <v>30</v>
      </c>
      <c r="F959" s="1" t="n">
        <f aca="false">IFERROR('dens_visc_gamma+2octanone'!D22,"")</f>
        <v>40</v>
      </c>
      <c r="G959" s="1" t="n">
        <f aca="false">IFERROR('dens_visc_gamma+2octanone'!A23,"")</f>
        <v>0</v>
      </c>
      <c r="H959" s="1" t="n">
        <f aca="false">IFERROR('dens_visc_gamma+2octanone'!D23,"")</f>
        <v>0.80264</v>
      </c>
      <c r="I959" s="1" t="n">
        <f aca="false">IFERROR('dens_visc_gamma+2octanone'!I23,"")</f>
        <v>0</v>
      </c>
      <c r="J959" s="1" t="n">
        <f aca="false">IFERROR('dens_visc_gamma+2octanone'!D37,"")</f>
        <v>0.758</v>
      </c>
      <c r="K959" s="1" t="str">
        <f aca="false">IF(AND(ISNUMBER(H959),ISNUMBER(I959),ISNUMBER(J959)),"✓",COUNTIF(H959:J959,"&gt;-999")&amp;"/3")</f>
        <v>✓</v>
      </c>
    </row>
    <row r="960" customFormat="false" ht="15" hidden="false" customHeight="true" outlineLevel="0" collapsed="false">
      <c r="A960" s="1" t="s">
        <v>46</v>
      </c>
      <c r="B960" s="1" t="s">
        <v>40</v>
      </c>
      <c r="C960" s="1" t="s">
        <v>41</v>
      </c>
      <c r="D960" s="1" t="s">
        <v>29</v>
      </c>
      <c r="E960" s="1" t="s">
        <v>30</v>
      </c>
      <c r="F960" s="1" t="n">
        <f aca="false">IFERROR('dens_visc_gamma+2octanone'!D22,"")</f>
        <v>40</v>
      </c>
      <c r="G960" s="1" t="n">
        <f aca="false">IFERROR('dens_visc_gamma+2octanone'!A24,"")</f>
        <v>0.0985369142533046</v>
      </c>
      <c r="H960" s="1" t="n">
        <f aca="false">IFERROR('dens_visc_gamma+2octanone'!D24,"")</f>
        <v>0.81796</v>
      </c>
      <c r="I960" s="1" t="n">
        <f aca="false">IFERROR('dens_visc_gamma+2octanone'!I24,"")</f>
        <v>-0.0772416586306122</v>
      </c>
      <c r="J960" s="1" t="n">
        <f aca="false">IFERROR('dens_visc_gamma+2octanone'!D38,"")</f>
        <v>0.902</v>
      </c>
      <c r="K960" s="1" t="str">
        <f aca="false">IF(AND(ISNUMBER(H960),ISNUMBER(I960),ISNUMBER(J960)),"✓",COUNTIF(H960:J960,"&gt;-999")&amp;"/3")</f>
        <v>✓</v>
      </c>
    </row>
    <row r="961" customFormat="false" ht="15" hidden="false" customHeight="true" outlineLevel="0" collapsed="false">
      <c r="A961" s="1" t="s">
        <v>46</v>
      </c>
      <c r="B961" s="1" t="s">
        <v>40</v>
      </c>
      <c r="C961" s="1" t="s">
        <v>41</v>
      </c>
      <c r="D961" s="1" t="s">
        <v>29</v>
      </c>
      <c r="E961" s="1" t="s">
        <v>30</v>
      </c>
      <c r="F961" s="1" t="n">
        <f aca="false">IFERROR('dens_visc_gamma+2octanone'!D22,"")</f>
        <v>40</v>
      </c>
      <c r="G961" s="1" t="n">
        <f aca="false">IFERROR('dens_visc_gamma+2octanone'!A25,"")</f>
        <v>0.199336208745303</v>
      </c>
      <c r="H961" s="1" t="n">
        <f aca="false">IFERROR('dens_visc_gamma+2octanone'!D25,"")</f>
        <v>0.83321</v>
      </c>
      <c r="I961" s="1" t="n">
        <f aca="false">IFERROR('dens_visc_gamma+2octanone'!I25,"")</f>
        <v>-0.15214532741993</v>
      </c>
      <c r="J961" s="1" t="n">
        <f aca="false">IFERROR('dens_visc_gamma+2octanone'!D39,"")</f>
        <v>1.042</v>
      </c>
      <c r="K961" s="1" t="str">
        <f aca="false">IF(AND(ISNUMBER(H961),ISNUMBER(I961),ISNUMBER(J961)),"✓",COUNTIF(H961:J961,"&gt;-999")&amp;"/3")</f>
        <v>✓</v>
      </c>
    </row>
    <row r="962" customFormat="false" ht="15" hidden="false" customHeight="true" outlineLevel="0" collapsed="false">
      <c r="A962" s="1" t="s">
        <v>46</v>
      </c>
      <c r="B962" s="1" t="s">
        <v>40</v>
      </c>
      <c r="C962" s="1" t="s">
        <v>41</v>
      </c>
      <c r="D962" s="1" t="s">
        <v>29</v>
      </c>
      <c r="E962" s="1" t="s">
        <v>30</v>
      </c>
      <c r="F962" s="1" t="n">
        <f aca="false">IFERROR('dens_visc_gamma+2octanone'!D22,"")</f>
        <v>40</v>
      </c>
      <c r="G962" s="1" t="n">
        <f aca="false">IFERROR('dens_visc_gamma+2octanone'!A26,"")</f>
        <v>0.297828465070332</v>
      </c>
      <c r="H962" s="1" t="n">
        <f aca="false">IFERROR('dens_visc_gamma+2octanone'!D26,"")</f>
        <v>0.84758</v>
      </c>
      <c r="I962" s="1" t="n">
        <f aca="false">IFERROR('dens_visc_gamma+2octanone'!I26,"")</f>
        <v>-0.19517879686984</v>
      </c>
      <c r="J962" s="1" t="n">
        <f aca="false">IFERROR('dens_visc_gamma+2octanone'!D40,"")</f>
        <v>1.201</v>
      </c>
      <c r="K962" s="1" t="str">
        <f aca="false">IF(AND(ISNUMBER(H962),ISNUMBER(I962),ISNUMBER(J962)),"✓",COUNTIF(H962:J962,"&gt;-999")&amp;"/3")</f>
        <v>✓</v>
      </c>
    </row>
    <row r="963" customFormat="false" ht="15" hidden="false" customHeight="true" outlineLevel="0" collapsed="false">
      <c r="A963" s="1" t="s">
        <v>46</v>
      </c>
      <c r="B963" s="1" t="s">
        <v>40</v>
      </c>
      <c r="C963" s="1" t="s">
        <v>41</v>
      </c>
      <c r="D963" s="1" t="s">
        <v>29</v>
      </c>
      <c r="E963" s="1" t="s">
        <v>30</v>
      </c>
      <c r="F963" s="1" t="n">
        <f aca="false">IFERROR('dens_visc_gamma+2octanone'!D22,"")</f>
        <v>40</v>
      </c>
      <c r="G963" s="1" t="n">
        <f aca="false">IFERROR('dens_visc_gamma+2octanone'!A27,"")</f>
        <v>0.392961388975423</v>
      </c>
      <c r="H963" s="1" t="n">
        <f aca="false">IFERROR('dens_visc_gamma+2octanone'!D27,"")</f>
        <v>0.86103</v>
      </c>
      <c r="I963" s="1" t="n">
        <f aca="false">IFERROR('dens_visc_gamma+2octanone'!I27,"")</f>
        <v>-0.219569678763492</v>
      </c>
      <c r="J963" s="1" t="n">
        <f aca="false">IFERROR('dens_visc_gamma+2octanone'!D41,"")</f>
        <v>1.389</v>
      </c>
      <c r="K963" s="1" t="str">
        <f aca="false">IF(AND(ISNUMBER(H963),ISNUMBER(I963),ISNUMBER(J963)),"✓",COUNTIF(H963:J963,"&gt;-999")&amp;"/3")</f>
        <v>✓</v>
      </c>
    </row>
    <row r="964" customFormat="false" ht="15" hidden="false" customHeight="true" outlineLevel="0" collapsed="false">
      <c r="A964" s="1" t="s">
        <v>46</v>
      </c>
      <c r="B964" s="1" t="s">
        <v>40</v>
      </c>
      <c r="C964" s="1" t="s">
        <v>41</v>
      </c>
      <c r="D964" s="1" t="s">
        <v>29</v>
      </c>
      <c r="E964" s="1" t="s">
        <v>30</v>
      </c>
      <c r="F964" s="1" t="n">
        <f aca="false">IFERROR('dens_visc_gamma+2octanone'!D22,"")</f>
        <v>40</v>
      </c>
      <c r="G964" s="1" t="n">
        <f aca="false">IFERROR('dens_visc_gamma+2octanone'!A28,"")</f>
        <v>0.496556902424305</v>
      </c>
      <c r="H964" s="1" t="n">
        <f aca="false">IFERROR('dens_visc_gamma+2octanone'!D28,"")</f>
        <v>0.87517</v>
      </c>
      <c r="I964" s="1" t="n">
        <f aca="false">IFERROR('dens_visc_gamma+2octanone'!I28,"")</f>
        <v>-0.21927700193288</v>
      </c>
      <c r="J964" s="1" t="n">
        <f aca="false">IFERROR('dens_visc_gamma+2octanone'!D42,"")</f>
        <v>1.625</v>
      </c>
      <c r="K964" s="1" t="str">
        <f aca="false">IF(AND(ISNUMBER(H964),ISNUMBER(I964),ISNUMBER(J964)),"✓",COUNTIF(H964:J964,"&gt;-999")&amp;"/3")</f>
        <v>✓</v>
      </c>
    </row>
    <row r="965" customFormat="false" ht="15" hidden="false" customHeight="true" outlineLevel="0" collapsed="false">
      <c r="A965" s="1" t="s">
        <v>46</v>
      </c>
      <c r="B965" s="1" t="s">
        <v>40</v>
      </c>
      <c r="C965" s="1" t="s">
        <v>41</v>
      </c>
      <c r="D965" s="1" t="s">
        <v>29</v>
      </c>
      <c r="E965" s="1" t="s">
        <v>30</v>
      </c>
      <c r="F965" s="1" t="n">
        <f aca="false">IFERROR('dens_visc_gamma+2octanone'!D22,"")</f>
        <v>40</v>
      </c>
      <c r="G965" s="1" t="n">
        <f aca="false">IFERROR('dens_visc_gamma+2octanone'!A29,"")</f>
        <v>0.596914769035954</v>
      </c>
      <c r="H965" s="1" t="n">
        <f aca="false">IFERROR('dens_visc_gamma+2octanone'!D29,"")</f>
        <v>0.88839</v>
      </c>
      <c r="I965" s="1" t="n">
        <f aca="false">IFERROR('dens_visc_gamma+2octanone'!I29,"")</f>
        <v>-0.194763006543212</v>
      </c>
      <c r="J965" s="1" t="n">
        <f aca="false">IFERROR('dens_visc_gamma+2octanone'!D43,"")</f>
        <v>1.902</v>
      </c>
      <c r="K965" s="1" t="str">
        <f aca="false">IF(AND(ISNUMBER(H965),ISNUMBER(I965),ISNUMBER(J965)),"✓",COUNTIF(H965:J965,"&gt;-999")&amp;"/3")</f>
        <v>✓</v>
      </c>
    </row>
    <row r="966" customFormat="false" ht="15" hidden="false" customHeight="true" outlineLevel="0" collapsed="false">
      <c r="A966" s="1" t="s">
        <v>46</v>
      </c>
      <c r="B966" s="1" t="s">
        <v>40</v>
      </c>
      <c r="C966" s="1" t="s">
        <v>41</v>
      </c>
      <c r="D966" s="1" t="s">
        <v>29</v>
      </c>
      <c r="E966" s="1" t="s">
        <v>30</v>
      </c>
      <c r="F966" s="1" t="n">
        <f aca="false">IFERROR('dens_visc_gamma+2octanone'!D22,"")</f>
        <v>40</v>
      </c>
      <c r="G966" s="1" t="n">
        <f aca="false">IFERROR('dens_visc_gamma+2octanone'!A30,"")</f>
        <v>0.693645746213383</v>
      </c>
      <c r="H966" s="1" t="n">
        <f aca="false">IFERROR('dens_visc_gamma+2octanone'!D30,"")</f>
        <v>0.9008</v>
      </c>
      <c r="I966" s="1" t="n">
        <f aca="false">IFERROR('dens_visc_gamma+2octanone'!I30,"")</f>
        <v>-0.168210435918581</v>
      </c>
      <c r="J966" s="1" t="n">
        <f aca="false">IFERROR('dens_visc_gamma+2octanone'!D44,"")</f>
        <v>2.221</v>
      </c>
      <c r="K966" s="1" t="str">
        <f aca="false">IF(AND(ISNUMBER(H966),ISNUMBER(I966),ISNUMBER(J966)),"✓",COUNTIF(H966:J966,"&gt;-999")&amp;"/3")</f>
        <v>✓</v>
      </c>
    </row>
    <row r="967" customFormat="false" ht="15" hidden="false" customHeight="true" outlineLevel="0" collapsed="false">
      <c r="A967" s="1" t="s">
        <v>46</v>
      </c>
      <c r="B967" s="1" t="s">
        <v>40</v>
      </c>
      <c r="C967" s="1" t="s">
        <v>41</v>
      </c>
      <c r="D967" s="1" t="s">
        <v>29</v>
      </c>
      <c r="E967" s="1" t="s">
        <v>30</v>
      </c>
      <c r="F967" s="1" t="n">
        <f aca="false">IFERROR('dens_visc_gamma+2octanone'!D22,"")</f>
        <v>40</v>
      </c>
      <c r="G967" s="1" t="n">
        <f aca="false">IFERROR('dens_visc_gamma+2octanone'!A31,"")</f>
        <v>0.791589499778559</v>
      </c>
      <c r="H967" s="1" t="n">
        <f aca="false">IFERROR('dens_visc_gamma+2octanone'!D31,"")</f>
        <v>0.91298</v>
      </c>
      <c r="I967" s="1" t="n">
        <f aca="false">IFERROR('dens_visc_gamma+2octanone'!I31,"")</f>
        <v>-0.125821194659778</v>
      </c>
      <c r="J967" s="1" t="n">
        <f aca="false">IFERROR('dens_visc_gamma+2octanone'!D45,"")</f>
        <v>2.608</v>
      </c>
      <c r="K967" s="1" t="str">
        <f aca="false">IF(AND(ISNUMBER(H967),ISNUMBER(I967),ISNUMBER(J967)),"✓",COUNTIF(H967:J967,"&gt;-999")&amp;"/3")</f>
        <v>✓</v>
      </c>
    </row>
    <row r="968" customFormat="false" ht="15" hidden="false" customHeight="true" outlineLevel="0" collapsed="false">
      <c r="A968" s="1" t="s">
        <v>46</v>
      </c>
      <c r="B968" s="1" t="s">
        <v>40</v>
      </c>
      <c r="C968" s="1" t="s">
        <v>41</v>
      </c>
      <c r="D968" s="1" t="s">
        <v>29</v>
      </c>
      <c r="E968" s="1" t="s">
        <v>30</v>
      </c>
      <c r="F968" s="1" t="n">
        <f aca="false">IFERROR('dens_visc_gamma+2octanone'!D22,"")</f>
        <v>40</v>
      </c>
      <c r="G968" s="1" t="n">
        <f aca="false">IFERROR('dens_visc_gamma+2octanone'!A32,"")</f>
        <v>0.897951971652888</v>
      </c>
      <c r="H968" s="1" t="n">
        <f aca="false">IFERROR('dens_visc_gamma+2octanone'!D32,"")</f>
        <v>0.92567</v>
      </c>
      <c r="I968" s="1" t="n">
        <f aca="false">IFERROR('dens_visc_gamma+2octanone'!I32,"")</f>
        <v>-0.0407755293801984</v>
      </c>
      <c r="J968" s="1" t="n">
        <f aca="false">IFERROR('dens_visc_gamma+2octanone'!D46,"")</f>
        <v>3.114</v>
      </c>
      <c r="K968" s="1" t="str">
        <f aca="false">IF(AND(ISNUMBER(H968),ISNUMBER(I968),ISNUMBER(J968)),"✓",COUNTIF(H968:J968,"&gt;-999")&amp;"/3")</f>
        <v>✓</v>
      </c>
    </row>
    <row r="969" customFormat="false" ht="15" hidden="false" customHeight="true" outlineLevel="0" collapsed="false">
      <c r="A969" s="1" t="s">
        <v>46</v>
      </c>
      <c r="B969" s="1" t="s">
        <v>40</v>
      </c>
      <c r="C969" s="1" t="s">
        <v>41</v>
      </c>
      <c r="D969" s="1" t="s">
        <v>29</v>
      </c>
      <c r="E969" s="1" t="s">
        <v>30</v>
      </c>
      <c r="F969" s="1" t="n">
        <f aca="false">IFERROR('dens_visc_gamma+2octanone'!D22,"")</f>
        <v>40</v>
      </c>
      <c r="G969" s="1" t="n">
        <f aca="false">IFERROR('dens_visc_gamma+2octanone'!A33,"")</f>
        <v>1</v>
      </c>
      <c r="H969" s="1" t="n">
        <f aca="false">IFERROR('dens_visc_gamma+2octanone'!D33,"")</f>
        <v>0.93774</v>
      </c>
      <c r="I969" s="1" t="n">
        <f aca="false">IFERROR('dens_visc_gamma+2octanone'!I33,"")</f>
        <v>0</v>
      </c>
      <c r="J969" s="1" t="n">
        <f aca="false">IFERROR('dens_visc_gamma+2octanone'!D47,"")</f>
        <v>3.691</v>
      </c>
      <c r="K969" s="1" t="str">
        <f aca="false">IF(AND(ISNUMBER(H969),ISNUMBER(I969),ISNUMBER(J969)),"✓",COUNTIF(H969:J969,"&gt;-999")&amp;"/3")</f>
        <v>✓</v>
      </c>
    </row>
    <row r="970" customFormat="false" ht="15" hidden="false" customHeight="true" outlineLevel="0" collapsed="false">
      <c r="A970" s="1" t="s">
        <v>46</v>
      </c>
      <c r="B970" s="1" t="s">
        <v>40</v>
      </c>
      <c r="C970" s="1" t="s">
        <v>41</v>
      </c>
      <c r="D970" s="1" t="s">
        <v>29</v>
      </c>
      <c r="E970" s="1" t="s">
        <v>30</v>
      </c>
      <c r="F970" s="1" t="n">
        <f aca="false">IFERROR('dens_visc_gamma+2octanone'!E22,"")</f>
        <v>50</v>
      </c>
      <c r="G970" s="1" t="n">
        <f aca="false">IFERROR('dens_visc_gamma+2octanone'!A23,"")</f>
        <v>0</v>
      </c>
      <c r="H970" s="1" t="n">
        <f aca="false">IFERROR('dens_visc_gamma+2octanone'!E23,"")</f>
        <v>0.79435</v>
      </c>
      <c r="I970" s="1" t="n">
        <f aca="false">IFERROR('dens_visc_gamma+2octanone'!J23,"")</f>
        <v>0</v>
      </c>
      <c r="J970" s="1" t="n">
        <f aca="false">IFERROR('dens_visc_gamma+2octanone'!E37,"")</f>
        <v>0.668</v>
      </c>
      <c r="K970" s="1" t="str">
        <f aca="false">IF(AND(ISNUMBER(H970),ISNUMBER(I970),ISNUMBER(J970)),"✓",COUNTIF(H970:J970,"&gt;-999")&amp;"/3")</f>
        <v>✓</v>
      </c>
    </row>
    <row r="971" customFormat="false" ht="15" hidden="false" customHeight="true" outlineLevel="0" collapsed="false">
      <c r="A971" s="1" t="s">
        <v>46</v>
      </c>
      <c r="B971" s="1" t="s">
        <v>40</v>
      </c>
      <c r="C971" s="1" t="s">
        <v>41</v>
      </c>
      <c r="D971" s="1" t="s">
        <v>29</v>
      </c>
      <c r="E971" s="1" t="s">
        <v>30</v>
      </c>
      <c r="F971" s="1" t="n">
        <f aca="false">IFERROR('dens_visc_gamma+2octanone'!E22,"")</f>
        <v>50</v>
      </c>
      <c r="G971" s="1" t="n">
        <f aca="false">IFERROR('dens_visc_gamma+2octanone'!A24,"")</f>
        <v>0.0985369142533046</v>
      </c>
      <c r="H971" s="1" t="n">
        <f aca="false">IFERROR('dens_visc_gamma+2octanone'!E24,"")</f>
        <v>0.80974</v>
      </c>
      <c r="I971" s="1" t="n">
        <f aca="false">IFERROR('dens_visc_gamma+2octanone'!J24,"")</f>
        <v>-0.0837972020999587</v>
      </c>
      <c r="J971" s="1" t="n">
        <f aca="false">IFERROR('dens_visc_gamma+2octanone'!E38,"")</f>
        <v>0.787</v>
      </c>
      <c r="K971" s="1" t="str">
        <f aca="false">IF(AND(ISNUMBER(H971),ISNUMBER(I971),ISNUMBER(J971)),"✓",COUNTIF(H971:J971,"&gt;-999")&amp;"/3")</f>
        <v>✓</v>
      </c>
    </row>
    <row r="972" customFormat="false" ht="15" hidden="false" customHeight="true" outlineLevel="0" collapsed="false">
      <c r="A972" s="1" t="s">
        <v>46</v>
      </c>
      <c r="B972" s="1" t="s">
        <v>40</v>
      </c>
      <c r="C972" s="1" t="s">
        <v>41</v>
      </c>
      <c r="D972" s="1" t="s">
        <v>29</v>
      </c>
      <c r="E972" s="1" t="s">
        <v>30</v>
      </c>
      <c r="F972" s="1" t="n">
        <f aca="false">IFERROR('dens_visc_gamma+2octanone'!E22,"")</f>
        <v>50</v>
      </c>
      <c r="G972" s="1" t="n">
        <f aca="false">IFERROR('dens_visc_gamma+2octanone'!A25,"")</f>
        <v>0.199336208745303</v>
      </c>
      <c r="H972" s="1" t="n">
        <f aca="false">IFERROR('dens_visc_gamma+2octanone'!E25,"")</f>
        <v>0.82508</v>
      </c>
      <c r="I972" s="1" t="n">
        <f aca="false">IFERROR('dens_visc_gamma+2octanone'!J25,"")</f>
        <v>-0.167650002908658</v>
      </c>
      <c r="J972" s="1" t="n">
        <f aca="false">IFERROR('dens_visc_gamma+2octanone'!E39,"")</f>
        <v>0.903</v>
      </c>
      <c r="K972" s="1" t="str">
        <f aca="false">IF(AND(ISNUMBER(H972),ISNUMBER(I972),ISNUMBER(J972)),"✓",COUNTIF(H972:J972,"&gt;-999")&amp;"/3")</f>
        <v>✓</v>
      </c>
    </row>
    <row r="973" customFormat="false" ht="15" hidden="false" customHeight="true" outlineLevel="0" collapsed="false">
      <c r="A973" s="1" t="s">
        <v>46</v>
      </c>
      <c r="B973" s="1" t="s">
        <v>40</v>
      </c>
      <c r="C973" s="1" t="s">
        <v>41</v>
      </c>
      <c r="D973" s="1" t="s">
        <v>29</v>
      </c>
      <c r="E973" s="1" t="s">
        <v>30</v>
      </c>
      <c r="F973" s="1" t="n">
        <f aca="false">IFERROR('dens_visc_gamma+2octanone'!E22,"")</f>
        <v>50</v>
      </c>
      <c r="G973" s="1" t="n">
        <f aca="false">IFERROR('dens_visc_gamma+2octanone'!A26,"")</f>
        <v>0.297828465070332</v>
      </c>
      <c r="H973" s="1" t="n">
        <f aca="false">IFERROR('dens_visc_gamma+2octanone'!E26,"")</f>
        <v>0.83953</v>
      </c>
      <c r="I973" s="1" t="n">
        <f aca="false">IFERROR('dens_visc_gamma+2octanone'!J26,"")</f>
        <v>-0.21602656377911</v>
      </c>
      <c r="J973" s="1" t="n">
        <f aca="false">IFERROR('dens_visc_gamma+2octanone'!E40,"")</f>
        <v>1.032</v>
      </c>
      <c r="K973" s="1" t="str">
        <f aca="false">IF(AND(ISNUMBER(H973),ISNUMBER(I973),ISNUMBER(J973)),"✓",COUNTIF(H973:J973,"&gt;-999")&amp;"/3")</f>
        <v>✓</v>
      </c>
    </row>
    <row r="974" customFormat="false" ht="15" hidden="false" customHeight="true" outlineLevel="0" collapsed="false">
      <c r="A974" s="1" t="s">
        <v>46</v>
      </c>
      <c r="B974" s="1" t="s">
        <v>40</v>
      </c>
      <c r="C974" s="1" t="s">
        <v>41</v>
      </c>
      <c r="D974" s="1" t="s">
        <v>29</v>
      </c>
      <c r="E974" s="1" t="s">
        <v>30</v>
      </c>
      <c r="F974" s="1" t="n">
        <f aca="false">IFERROR('dens_visc_gamma+2octanone'!E22,"")</f>
        <v>50</v>
      </c>
      <c r="G974" s="1" t="n">
        <f aca="false">IFERROR('dens_visc_gamma+2octanone'!A27,"")</f>
        <v>0.392961388975423</v>
      </c>
      <c r="H974" s="1" t="n">
        <f aca="false">IFERROR('dens_visc_gamma+2octanone'!E27,"")</f>
        <v>0.85306</v>
      </c>
      <c r="I974" s="1" t="n">
        <f aca="false">IFERROR('dens_visc_gamma+2octanone'!J27,"")</f>
        <v>-0.244797244553979</v>
      </c>
      <c r="J974" s="1" t="n">
        <f aca="false">IFERROR('dens_visc_gamma+2octanone'!E41,"")</f>
        <v>1.182</v>
      </c>
      <c r="K974" s="1" t="str">
        <f aca="false">IF(AND(ISNUMBER(H974),ISNUMBER(I974),ISNUMBER(J974)),"✓",COUNTIF(H974:J974,"&gt;-999")&amp;"/3")</f>
        <v>✓</v>
      </c>
    </row>
    <row r="975" customFormat="false" ht="15" hidden="false" customHeight="true" outlineLevel="0" collapsed="false">
      <c r="A975" s="1" t="s">
        <v>46</v>
      </c>
      <c r="B975" s="1" t="s">
        <v>40</v>
      </c>
      <c r="C975" s="1" t="s">
        <v>41</v>
      </c>
      <c r="D975" s="1" t="s">
        <v>29</v>
      </c>
      <c r="E975" s="1" t="s">
        <v>30</v>
      </c>
      <c r="F975" s="1" t="n">
        <f aca="false">IFERROR('dens_visc_gamma+2octanone'!E22,"")</f>
        <v>50</v>
      </c>
      <c r="G975" s="1" t="n">
        <f aca="false">IFERROR('dens_visc_gamma+2octanone'!A28,"")</f>
        <v>0.496556902424305</v>
      </c>
      <c r="H975" s="1" t="n">
        <f aca="false">IFERROR('dens_visc_gamma+2octanone'!E28,"")</f>
        <v>0.86727</v>
      </c>
      <c r="I975" s="1" t="n">
        <f aca="false">IFERROR('dens_visc_gamma+2octanone'!J28,"")</f>
        <v>-0.244395854111872</v>
      </c>
      <c r="J975" s="1" t="n">
        <f aca="false">IFERROR('dens_visc_gamma+2octanone'!E42,"")</f>
        <v>1.369</v>
      </c>
      <c r="K975" s="1" t="str">
        <f aca="false">IF(AND(ISNUMBER(H975),ISNUMBER(I975),ISNUMBER(J975)),"✓",COUNTIF(H975:J975,"&gt;-999")&amp;"/3")</f>
        <v>✓</v>
      </c>
    </row>
    <row r="976" customFormat="false" ht="15" hidden="false" customHeight="true" outlineLevel="0" collapsed="false">
      <c r="A976" s="1" t="s">
        <v>46</v>
      </c>
      <c r="B976" s="1" t="s">
        <v>40</v>
      </c>
      <c r="C976" s="1" t="s">
        <v>41</v>
      </c>
      <c r="D976" s="1" t="s">
        <v>29</v>
      </c>
      <c r="E976" s="1" t="s">
        <v>30</v>
      </c>
      <c r="F976" s="1" t="n">
        <f aca="false">IFERROR('dens_visc_gamma+2octanone'!E22,"")</f>
        <v>50</v>
      </c>
      <c r="G976" s="1" t="n">
        <f aca="false">IFERROR('dens_visc_gamma+2octanone'!A29,"")</f>
        <v>0.596914769035954</v>
      </c>
      <c r="H976" s="1" t="n">
        <f aca="false">IFERROR('dens_visc_gamma+2octanone'!E29,"")</f>
        <v>0.88055</v>
      </c>
      <c r="I976" s="1" t="n">
        <f aca="false">IFERROR('dens_visc_gamma+2octanone'!J29,"")</f>
        <v>-0.216950739495076</v>
      </c>
      <c r="J976" s="1" t="n">
        <f aca="false">IFERROR('dens_visc_gamma+2octanone'!E43,"")</f>
        <v>1.584</v>
      </c>
      <c r="K976" s="1" t="str">
        <f aca="false">IF(AND(ISNUMBER(H976),ISNUMBER(I976),ISNUMBER(J976)),"✓",COUNTIF(H976:J976,"&gt;-999")&amp;"/3")</f>
        <v>✓</v>
      </c>
    </row>
    <row r="977" customFormat="false" ht="15" hidden="false" customHeight="true" outlineLevel="0" collapsed="false">
      <c r="A977" s="1" t="s">
        <v>46</v>
      </c>
      <c r="B977" s="1" t="s">
        <v>40</v>
      </c>
      <c r="C977" s="1" t="s">
        <v>41</v>
      </c>
      <c r="D977" s="1" t="s">
        <v>29</v>
      </c>
      <c r="E977" s="1" t="s">
        <v>30</v>
      </c>
      <c r="F977" s="1" t="n">
        <f aca="false">IFERROR('dens_visc_gamma+2octanone'!E22,"")</f>
        <v>50</v>
      </c>
      <c r="G977" s="1" t="n">
        <f aca="false">IFERROR('dens_visc_gamma+2octanone'!A30,"")</f>
        <v>0.693645746213383</v>
      </c>
      <c r="H977" s="1" t="n">
        <f aca="false">IFERROR('dens_visc_gamma+2octanone'!E30,"")</f>
        <v>0.893</v>
      </c>
      <c r="I977" s="1" t="n">
        <f aca="false">IFERROR('dens_visc_gamma+2octanone'!J30,"")</f>
        <v>-0.183313516123633</v>
      </c>
      <c r="J977" s="1" t="n">
        <f aca="false">IFERROR('dens_visc_gamma+2octanone'!E44,"")</f>
        <v>1.829</v>
      </c>
      <c r="K977" s="1" t="str">
        <f aca="false">IF(AND(ISNUMBER(H977),ISNUMBER(I977),ISNUMBER(J977)),"✓",COUNTIF(H977:J977,"&gt;-999")&amp;"/3")</f>
        <v>✓</v>
      </c>
    </row>
    <row r="978" customFormat="false" ht="15" hidden="false" customHeight="true" outlineLevel="0" collapsed="false">
      <c r="A978" s="1" t="s">
        <v>46</v>
      </c>
      <c r="B978" s="1" t="s">
        <v>40</v>
      </c>
      <c r="C978" s="1" t="s">
        <v>41</v>
      </c>
      <c r="D978" s="1" t="s">
        <v>29</v>
      </c>
      <c r="E978" s="1" t="s">
        <v>30</v>
      </c>
      <c r="F978" s="1" t="n">
        <f aca="false">IFERROR('dens_visc_gamma+2octanone'!E22,"")</f>
        <v>50</v>
      </c>
      <c r="G978" s="1" t="n">
        <f aca="false">IFERROR('dens_visc_gamma+2octanone'!A31,"")</f>
        <v>0.791589499778559</v>
      </c>
      <c r="H978" s="1" t="n">
        <f aca="false">IFERROR('dens_visc_gamma+2octanone'!E31,"")</f>
        <v>0.90525</v>
      </c>
      <c r="I978" s="1" t="n">
        <f aca="false">IFERROR('dens_visc_gamma+2octanone'!J31,"")</f>
        <v>-0.138684265036972</v>
      </c>
      <c r="J978" s="1" t="n">
        <f aca="false">IFERROR('dens_visc_gamma+2octanone'!E45,"")</f>
        <v>2.121</v>
      </c>
      <c r="K978" s="1" t="str">
        <f aca="false">IF(AND(ISNUMBER(H978),ISNUMBER(I978),ISNUMBER(J978)),"✓",COUNTIF(H978:J978,"&gt;-999")&amp;"/3")</f>
        <v>✓</v>
      </c>
    </row>
    <row r="979" customFormat="false" ht="15" hidden="false" customHeight="true" outlineLevel="0" collapsed="false">
      <c r="A979" s="1" t="s">
        <v>46</v>
      </c>
      <c r="B979" s="1" t="s">
        <v>40</v>
      </c>
      <c r="C979" s="1" t="s">
        <v>41</v>
      </c>
      <c r="D979" s="1" t="s">
        <v>29</v>
      </c>
      <c r="E979" s="1" t="s">
        <v>30</v>
      </c>
      <c r="F979" s="1" t="n">
        <f aca="false">IFERROR('dens_visc_gamma+2octanone'!E22,"")</f>
        <v>50</v>
      </c>
      <c r="G979" s="1" t="n">
        <f aca="false">IFERROR('dens_visc_gamma+2octanone'!A32,"")</f>
        <v>0.897951971652888</v>
      </c>
      <c r="H979" s="1" t="n">
        <f aca="false">IFERROR('dens_visc_gamma+2octanone'!E32,"")</f>
        <v>0.91801</v>
      </c>
      <c r="I979" s="1" t="n">
        <f aca="false">IFERROR('dens_visc_gamma+2octanone'!J32,"")</f>
        <v>-0.0487288130642583</v>
      </c>
      <c r="J979" s="1" t="n">
        <f aca="false">IFERROR('dens_visc_gamma+2octanone'!E46,"")</f>
        <v>2.497</v>
      </c>
      <c r="K979" s="1" t="str">
        <f aca="false">IF(AND(ISNUMBER(H979),ISNUMBER(I979),ISNUMBER(J979)),"✓",COUNTIF(H979:J979,"&gt;-999")&amp;"/3")</f>
        <v>✓</v>
      </c>
    </row>
    <row r="980" customFormat="false" ht="15" hidden="false" customHeight="true" outlineLevel="0" collapsed="false">
      <c r="A980" s="1" t="s">
        <v>46</v>
      </c>
      <c r="B980" s="1" t="s">
        <v>40</v>
      </c>
      <c r="C980" s="1" t="s">
        <v>41</v>
      </c>
      <c r="D980" s="1" t="s">
        <v>29</v>
      </c>
      <c r="E980" s="1" t="s">
        <v>30</v>
      </c>
      <c r="F980" s="1" t="n">
        <f aca="false">IFERROR('dens_visc_gamma+2octanone'!E22,"")</f>
        <v>50</v>
      </c>
      <c r="G980" s="1" t="n">
        <f aca="false">IFERROR('dens_visc_gamma+2octanone'!A33,"")</f>
        <v>1</v>
      </c>
      <c r="H980" s="1" t="n">
        <f aca="false">IFERROR('dens_visc_gamma+2octanone'!E33,"")</f>
        <v>0.93013</v>
      </c>
      <c r="I980" s="1" t="n">
        <f aca="false">IFERROR('dens_visc_gamma+2octanone'!J33,"")</f>
        <v>0</v>
      </c>
      <c r="J980" s="1" t="n">
        <f aca="false">IFERROR('dens_visc_gamma+2octanone'!E47,"")</f>
        <v>2.914</v>
      </c>
      <c r="K980" s="1" t="str">
        <f aca="false">IF(AND(ISNUMBER(H980),ISNUMBER(I980),ISNUMBER(J980)),"✓",COUNTIF(H980:J980,"&gt;-999")&amp;"/3")</f>
        <v>✓</v>
      </c>
    </row>
    <row r="981" customFormat="false" ht="15" hidden="false" customHeight="true" outlineLevel="0" collapsed="false">
      <c r="A981" s="1" t="s">
        <v>46</v>
      </c>
      <c r="B981" s="1" t="s">
        <v>40</v>
      </c>
      <c r="C981" s="1" t="s">
        <v>41</v>
      </c>
      <c r="D981" s="1" t="s">
        <v>29</v>
      </c>
      <c r="E981" s="1" t="s">
        <v>30</v>
      </c>
      <c r="F981" s="1" t="n">
        <f aca="false">IFERROR('dens_visc_gamma+2octanone'!F22,"")</f>
        <v>60</v>
      </c>
      <c r="G981" s="1" t="n">
        <f aca="false">IFERROR('dens_visc_gamma+2octanone'!A23,"")</f>
        <v>0</v>
      </c>
      <c r="H981" s="1" t="n">
        <f aca="false">IFERROR('dens_visc_gamma+2octanone'!F23,"")</f>
        <v>0.78598</v>
      </c>
      <c r="I981" s="1" t="n">
        <f aca="false">IFERROR('dens_visc_gamma+2octanone'!K23,"")</f>
        <v>0</v>
      </c>
      <c r="J981" s="1" t="n">
        <f aca="false">IFERROR('dens_visc_gamma+2octanone'!F37,"")</f>
        <v>0.595</v>
      </c>
      <c r="K981" s="1" t="str">
        <f aca="false">IF(AND(ISNUMBER(H981),ISNUMBER(I981),ISNUMBER(J981)),"✓",COUNTIF(H981:J981,"&gt;-999")&amp;"/3")</f>
        <v>✓</v>
      </c>
    </row>
    <row r="982" customFormat="false" ht="15" hidden="false" customHeight="true" outlineLevel="0" collapsed="false">
      <c r="A982" s="1" t="s">
        <v>46</v>
      </c>
      <c r="B982" s="1" t="s">
        <v>40</v>
      </c>
      <c r="C982" s="1" t="s">
        <v>41</v>
      </c>
      <c r="D982" s="1" t="s">
        <v>29</v>
      </c>
      <c r="E982" s="1" t="s">
        <v>30</v>
      </c>
      <c r="F982" s="1" t="n">
        <f aca="false">IFERROR('dens_visc_gamma+2octanone'!F22,"")</f>
        <v>60</v>
      </c>
      <c r="G982" s="1" t="n">
        <f aca="false">IFERROR('dens_visc_gamma+2octanone'!A24,"")</f>
        <v>0.0985369142533046</v>
      </c>
      <c r="H982" s="1" t="n">
        <f aca="false">IFERROR('dens_visc_gamma+2octanone'!F24,"")</f>
        <v>0.80148</v>
      </c>
      <c r="I982" s="1" t="n">
        <f aca="false">IFERROR('dens_visc_gamma+2octanone'!K24,"")</f>
        <v>-0.0978924462474424</v>
      </c>
      <c r="J982" s="1" t="n">
        <f aca="false">IFERROR('dens_visc_gamma+2octanone'!F38,"")</f>
        <v>0.695</v>
      </c>
      <c r="K982" s="1" t="str">
        <f aca="false">IF(AND(ISNUMBER(H982),ISNUMBER(I982),ISNUMBER(J982)),"✓",COUNTIF(H982:J982,"&gt;-999")&amp;"/3")</f>
        <v>✓</v>
      </c>
    </row>
    <row r="983" customFormat="false" ht="15" hidden="false" customHeight="true" outlineLevel="0" collapsed="false">
      <c r="A983" s="1" t="s">
        <v>46</v>
      </c>
      <c r="B983" s="1" t="s">
        <v>40</v>
      </c>
      <c r="C983" s="1" t="s">
        <v>41</v>
      </c>
      <c r="D983" s="1" t="s">
        <v>29</v>
      </c>
      <c r="E983" s="1" t="s">
        <v>30</v>
      </c>
      <c r="F983" s="1" t="n">
        <f aca="false">IFERROR('dens_visc_gamma+2octanone'!F22,"")</f>
        <v>60</v>
      </c>
      <c r="G983" s="1" t="n">
        <f aca="false">IFERROR('dens_visc_gamma+2octanone'!A25,"")</f>
        <v>0.199336208745303</v>
      </c>
      <c r="H983" s="1" t="n">
        <f aca="false">IFERROR('dens_visc_gamma+2octanone'!F25,"")</f>
        <v>0.81691</v>
      </c>
      <c r="I983" s="1" t="n">
        <f aca="false">IFERROR('dens_visc_gamma+2octanone'!K25,"")</f>
        <v>-0.189945361427277</v>
      </c>
      <c r="J983" s="1" t="n">
        <f aca="false">IFERROR('dens_visc_gamma+2octanone'!F39,"")</f>
        <v>0.792</v>
      </c>
      <c r="K983" s="1" t="str">
        <f aca="false">IF(AND(ISNUMBER(H983),ISNUMBER(I983),ISNUMBER(J983)),"✓",COUNTIF(H983:J983,"&gt;-999")&amp;"/3")</f>
        <v>✓</v>
      </c>
    </row>
    <row r="984" customFormat="false" ht="15" hidden="false" customHeight="true" outlineLevel="0" collapsed="false">
      <c r="A984" s="1" t="s">
        <v>46</v>
      </c>
      <c r="B984" s="1" t="s">
        <v>40</v>
      </c>
      <c r="C984" s="1" t="s">
        <v>41</v>
      </c>
      <c r="D984" s="1" t="s">
        <v>29</v>
      </c>
      <c r="E984" s="1" t="s">
        <v>30</v>
      </c>
      <c r="F984" s="1" t="n">
        <f aca="false">IFERROR('dens_visc_gamma+2octanone'!F22,"")</f>
        <v>60</v>
      </c>
      <c r="G984" s="1" t="n">
        <f aca="false">IFERROR('dens_visc_gamma+2octanone'!A26,"")</f>
        <v>0.297828465070332</v>
      </c>
      <c r="H984" s="1" t="n">
        <f aca="false">IFERROR('dens_visc_gamma+2octanone'!F26,"")</f>
        <v>0.83143</v>
      </c>
      <c r="I984" s="1" t="n">
        <f aca="false">IFERROR('dens_visc_gamma+2octanone'!K26,"")</f>
        <v>-0.240705277038217</v>
      </c>
      <c r="J984" s="1" t="n">
        <f aca="false">IFERROR('dens_visc_gamma+2octanone'!F40,"")</f>
        <v>0.899</v>
      </c>
      <c r="K984" s="1" t="str">
        <f aca="false">IF(AND(ISNUMBER(H984),ISNUMBER(I984),ISNUMBER(J984)),"✓",COUNTIF(H984:J984,"&gt;-999")&amp;"/3")</f>
        <v>✓</v>
      </c>
    </row>
    <row r="985" customFormat="false" ht="15" hidden="false" customHeight="true" outlineLevel="0" collapsed="false">
      <c r="A985" s="1" t="s">
        <v>46</v>
      </c>
      <c r="B985" s="1" t="s">
        <v>40</v>
      </c>
      <c r="C985" s="1" t="s">
        <v>41</v>
      </c>
      <c r="D985" s="1" t="s">
        <v>29</v>
      </c>
      <c r="E985" s="1" t="s">
        <v>30</v>
      </c>
      <c r="F985" s="1" t="n">
        <f aca="false">IFERROR('dens_visc_gamma+2octanone'!F22,"")</f>
        <v>60</v>
      </c>
      <c r="G985" s="1" t="n">
        <f aca="false">IFERROR('dens_visc_gamma+2octanone'!A27,"")</f>
        <v>0.392961388975423</v>
      </c>
      <c r="H985" s="1" t="n">
        <f aca="false">IFERROR('dens_visc_gamma+2octanone'!F27,"")</f>
        <v>0.84504</v>
      </c>
      <c r="I985" s="1" t="n">
        <f aca="false">IFERROR('dens_visc_gamma+2octanone'!K27,"")</f>
        <v>-0.27289500031381</v>
      </c>
      <c r="J985" s="1" t="n">
        <f aca="false">IFERROR('dens_visc_gamma+2octanone'!F41,"")</f>
        <v>1.022</v>
      </c>
      <c r="K985" s="1" t="str">
        <f aca="false">IF(AND(ISNUMBER(H985),ISNUMBER(I985),ISNUMBER(J985)),"✓",COUNTIF(H985:J985,"&gt;-999")&amp;"/3")</f>
        <v>✓</v>
      </c>
    </row>
    <row r="986" customFormat="false" ht="15" hidden="false" customHeight="true" outlineLevel="0" collapsed="false">
      <c r="A986" s="1" t="s">
        <v>46</v>
      </c>
      <c r="B986" s="1" t="s">
        <v>40</v>
      </c>
      <c r="C986" s="1" t="s">
        <v>41</v>
      </c>
      <c r="D986" s="1" t="s">
        <v>29</v>
      </c>
      <c r="E986" s="1" t="s">
        <v>30</v>
      </c>
      <c r="F986" s="1" t="n">
        <f aca="false">IFERROR('dens_visc_gamma+2octanone'!F22,"")</f>
        <v>60</v>
      </c>
      <c r="G986" s="1" t="n">
        <f aca="false">IFERROR('dens_visc_gamma+2octanone'!A28,"")</f>
        <v>0.496556902424305</v>
      </c>
      <c r="H986" s="1" t="n">
        <f aca="false">IFERROR('dens_visc_gamma+2octanone'!F28,"")</f>
        <v>0.85933</v>
      </c>
      <c r="I986" s="1" t="n">
        <f aca="false">IFERROR('dens_visc_gamma+2octanone'!K28,"")</f>
        <v>-0.273125731506298</v>
      </c>
      <c r="J986" s="1" t="n">
        <f aca="false">IFERROR('dens_visc_gamma+2octanone'!F42,"")</f>
        <v>1.173</v>
      </c>
      <c r="K986" s="1" t="str">
        <f aca="false">IF(AND(ISNUMBER(H986),ISNUMBER(I986),ISNUMBER(J986)),"✓",COUNTIF(H986:J986,"&gt;-999")&amp;"/3")</f>
        <v>✓</v>
      </c>
    </row>
    <row r="987" customFormat="false" ht="15" hidden="false" customHeight="true" outlineLevel="0" collapsed="false">
      <c r="A987" s="1" t="s">
        <v>46</v>
      </c>
      <c r="B987" s="1" t="s">
        <v>40</v>
      </c>
      <c r="C987" s="1" t="s">
        <v>41</v>
      </c>
      <c r="D987" s="1" t="s">
        <v>29</v>
      </c>
      <c r="E987" s="1" t="s">
        <v>30</v>
      </c>
      <c r="F987" s="1" t="n">
        <f aca="false">IFERROR('dens_visc_gamma+2octanone'!F22,"")</f>
        <v>60</v>
      </c>
      <c r="G987" s="1" t="n">
        <f aca="false">IFERROR('dens_visc_gamma+2octanone'!A29,"")</f>
        <v>0.596914769035954</v>
      </c>
      <c r="H987" s="1" t="n">
        <f aca="false">IFERROR('dens_visc_gamma+2octanone'!F29,"")</f>
        <v>0.87268</v>
      </c>
      <c r="I987" s="1" t="n">
        <f aca="false">IFERROR('dens_visc_gamma+2octanone'!K29,"")</f>
        <v>-0.243376326953495</v>
      </c>
      <c r="J987" s="1" t="n">
        <f aca="false">IFERROR('dens_visc_gamma+2octanone'!F43,"")</f>
        <v>1.344</v>
      </c>
      <c r="K987" s="1" t="str">
        <f aca="false">IF(AND(ISNUMBER(H987),ISNUMBER(I987),ISNUMBER(J987)),"✓",COUNTIF(H987:J987,"&gt;-999")&amp;"/3")</f>
        <v>✓</v>
      </c>
    </row>
    <row r="988" customFormat="false" ht="15" hidden="false" customHeight="true" outlineLevel="0" collapsed="false">
      <c r="A988" s="1" t="s">
        <v>46</v>
      </c>
      <c r="B988" s="1" t="s">
        <v>40</v>
      </c>
      <c r="C988" s="1" t="s">
        <v>41</v>
      </c>
      <c r="D988" s="1" t="s">
        <v>29</v>
      </c>
      <c r="E988" s="1" t="s">
        <v>30</v>
      </c>
      <c r="F988" s="1" t="n">
        <f aca="false">IFERROR('dens_visc_gamma+2octanone'!F22,"")</f>
        <v>60</v>
      </c>
      <c r="G988" s="1" t="n">
        <f aca="false">IFERROR('dens_visc_gamma+2octanone'!A30,"")</f>
        <v>0.693645746213383</v>
      </c>
      <c r="H988" s="1" t="n">
        <f aca="false">IFERROR('dens_visc_gamma+2octanone'!F30,"")</f>
        <v>0.8852</v>
      </c>
      <c r="I988" s="1" t="n">
        <f aca="false">IFERROR('dens_visc_gamma+2octanone'!K30,"")</f>
        <v>-0.207156833168739</v>
      </c>
      <c r="J988" s="1" t="n">
        <f aca="false">IFERROR('dens_visc_gamma+2octanone'!F44,"")</f>
        <v>1.536</v>
      </c>
      <c r="K988" s="1" t="str">
        <f aca="false">IF(AND(ISNUMBER(H988),ISNUMBER(I988),ISNUMBER(J988)),"✓",COUNTIF(H988:J988,"&gt;-999")&amp;"/3")</f>
        <v>✓</v>
      </c>
    </row>
    <row r="989" customFormat="false" ht="15" hidden="false" customHeight="true" outlineLevel="0" collapsed="false">
      <c r="A989" s="1" t="s">
        <v>46</v>
      </c>
      <c r="B989" s="1" t="s">
        <v>40</v>
      </c>
      <c r="C989" s="1" t="s">
        <v>41</v>
      </c>
      <c r="D989" s="1" t="s">
        <v>29</v>
      </c>
      <c r="E989" s="1" t="s">
        <v>30</v>
      </c>
      <c r="F989" s="1" t="n">
        <f aca="false">IFERROR('dens_visc_gamma+2octanone'!F22,"")</f>
        <v>60</v>
      </c>
      <c r="G989" s="1" t="n">
        <f aca="false">IFERROR('dens_visc_gamma+2octanone'!A31,"")</f>
        <v>0.791589499778559</v>
      </c>
      <c r="H989" s="1" t="n">
        <f aca="false">IFERROR('dens_visc_gamma+2octanone'!F31,"")</f>
        <v>0.89751</v>
      </c>
      <c r="I989" s="1" t="n">
        <f aca="false">IFERROR('dens_visc_gamma+2octanone'!K31,"")</f>
        <v>-0.156880090865286</v>
      </c>
      <c r="J989" s="1" t="n">
        <f aca="false">IFERROR('dens_visc_gamma+2octanone'!F45,"")</f>
        <v>1.763</v>
      </c>
      <c r="K989" s="1" t="str">
        <f aca="false">IF(AND(ISNUMBER(H989),ISNUMBER(I989),ISNUMBER(J989)),"✓",COUNTIF(H989:J989,"&gt;-999")&amp;"/3")</f>
        <v>✓</v>
      </c>
    </row>
    <row r="990" customFormat="false" ht="15" hidden="false" customHeight="true" outlineLevel="0" collapsed="false">
      <c r="A990" s="1" t="s">
        <v>46</v>
      </c>
      <c r="B990" s="1" t="s">
        <v>40</v>
      </c>
      <c r="C990" s="1" t="s">
        <v>41</v>
      </c>
      <c r="D990" s="1" t="s">
        <v>29</v>
      </c>
      <c r="E990" s="1" t="s">
        <v>30</v>
      </c>
      <c r="F990" s="1" t="n">
        <f aca="false">IFERROR('dens_visc_gamma+2octanone'!F22,"")</f>
        <v>60</v>
      </c>
      <c r="G990" s="1" t="n">
        <f aca="false">IFERROR('dens_visc_gamma+2octanone'!A32,"")</f>
        <v>0.897951971652888</v>
      </c>
      <c r="H990" s="1" t="n">
        <f aca="false">IFERROR('dens_visc_gamma+2octanone'!F32,"")</f>
        <v>0.91032</v>
      </c>
      <c r="I990" s="1" t="n">
        <f aca="false">IFERROR('dens_visc_gamma+2octanone'!K32,"")</f>
        <v>-0.0563796006775306</v>
      </c>
      <c r="J990" s="1" t="n">
        <f aca="false">IFERROR('dens_visc_gamma+2octanone'!F46,"")</f>
        <v>2.051</v>
      </c>
      <c r="K990" s="1" t="str">
        <f aca="false">IF(AND(ISNUMBER(H990),ISNUMBER(I990),ISNUMBER(J990)),"✓",COUNTIF(H990:J990,"&gt;-999")&amp;"/3")</f>
        <v>✓</v>
      </c>
    </row>
    <row r="991" customFormat="false" ht="15" hidden="false" customHeight="true" outlineLevel="0" collapsed="false">
      <c r="A991" s="1" t="s">
        <v>46</v>
      </c>
      <c r="B991" s="1" t="s">
        <v>40</v>
      </c>
      <c r="C991" s="1" t="s">
        <v>41</v>
      </c>
      <c r="D991" s="1" t="s">
        <v>29</v>
      </c>
      <c r="E991" s="1" t="s">
        <v>30</v>
      </c>
      <c r="F991" s="1" t="n">
        <f aca="false">IFERROR('dens_visc_gamma+2octanone'!F22,"")</f>
        <v>60</v>
      </c>
      <c r="G991" s="1" t="n">
        <f aca="false">IFERROR('dens_visc_gamma+2octanone'!A33,"")</f>
        <v>1</v>
      </c>
      <c r="H991" s="1" t="n">
        <f aca="false">IFERROR('dens_visc_gamma+2octanone'!F33,"")</f>
        <v>0.9225</v>
      </c>
      <c r="I991" s="1" t="n">
        <f aca="false">IFERROR('dens_visc_gamma+2octanone'!K33,"")</f>
        <v>0</v>
      </c>
      <c r="J991" s="1" t="n">
        <f aca="false">IFERROR('dens_visc_gamma+2octanone'!F47,"")</f>
        <v>2.362</v>
      </c>
      <c r="K991" s="1" t="str">
        <f aca="false">IF(AND(ISNUMBER(H991),ISNUMBER(I991),ISNUMBER(J991)),"✓",COUNTIF(H991:J991,"&gt;-999")&amp;"/3")</f>
        <v>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C6" activeCellId="1" sqref="B39:F39 AC6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19"/>
    <col collapsed="false" customWidth="true" hidden="false" outlineLevel="0" max="3" min="3" style="1" width="17.38"/>
    <col collapsed="false" customWidth="true" hidden="false" outlineLevel="0" max="4" min="4" style="1" width="14.38"/>
    <col collapsed="false" customWidth="true" hidden="false" outlineLevel="0" max="5" min="5" style="1" width="12.88"/>
    <col collapsed="false" customWidth="true" hidden="false" outlineLevel="0" max="6" min="6" style="1" width="30"/>
    <col collapsed="false" customWidth="true" hidden="false" outlineLevel="0" max="7" min="7" style="1" width="15.25"/>
    <col collapsed="false" customWidth="true" hidden="false" outlineLevel="0" max="8" min="8" style="1" width="13.12"/>
    <col collapsed="false" customWidth="true" hidden="false" outlineLevel="0" max="9" min="9" style="1" width="13.5"/>
    <col collapsed="false" customWidth="true" hidden="false" outlineLevel="0" max="10" min="10" style="1" width="11.88"/>
    <col collapsed="false" customWidth="true" hidden="false" outlineLevel="0" max="11" min="11" style="1" width="12.25"/>
    <col collapsed="false" customWidth="true" hidden="false" outlineLevel="0" max="12" min="12" style="1" width="9"/>
    <col collapsed="false" customWidth="true" hidden="false" outlineLevel="0" max="13" min="13" style="1" width="14.25"/>
    <col collapsed="false" customWidth="true" hidden="false" outlineLevel="0" max="14" min="14" style="1" width="7.63"/>
    <col collapsed="false" customWidth="true" hidden="false" outlineLevel="0" max="15" min="15" style="1" width="7"/>
    <col collapsed="false" customWidth="true" hidden="false" outlineLevel="0" max="16" min="16" style="1" width="8.76"/>
    <col collapsed="false" customWidth="true" hidden="false" outlineLevel="0" max="18" min="18" style="1" width="11"/>
    <col collapsed="false" customWidth="true" hidden="false" outlineLevel="0" max="19" min="19" style="1" width="11.88"/>
    <col collapsed="false" customWidth="true" hidden="false" outlineLevel="0" max="20" min="20" style="1" width="12.63"/>
    <col collapsed="false" customWidth="true" hidden="false" outlineLevel="0" max="21" min="21" style="1" width="9.88"/>
    <col collapsed="false" customWidth="true" hidden="false" outlineLevel="0" max="22" min="22" style="1" width="14"/>
    <col collapsed="false" customWidth="true" hidden="false" outlineLevel="0" max="23" min="23" style="1" width="11.38"/>
    <col collapsed="false" customWidth="true" hidden="false" outlineLevel="0" max="24" min="24" style="1" width="10.63"/>
    <col collapsed="false" customWidth="true" hidden="false" outlineLevel="0" max="25" min="25" style="1" width="9"/>
  </cols>
  <sheetData>
    <row r="1" customFormat="false" ht="15" hidden="false" customHeight="true" outlineLevel="0" collapsed="false">
      <c r="A1" s="6" t="s">
        <v>47</v>
      </c>
      <c r="B1" s="7"/>
      <c r="C1" s="7"/>
      <c r="D1" s="7"/>
      <c r="E1" s="7"/>
      <c r="F1" s="8"/>
      <c r="G1" s="9" t="s">
        <v>48</v>
      </c>
      <c r="H1" s="10"/>
      <c r="I1" s="10"/>
      <c r="J1" s="10"/>
      <c r="K1" s="10"/>
      <c r="L1" s="11"/>
      <c r="M1" s="12" t="s">
        <v>49</v>
      </c>
      <c r="N1" s="13"/>
      <c r="O1" s="13"/>
      <c r="P1" s="13"/>
      <c r="Q1" s="13"/>
      <c r="R1" s="14"/>
      <c r="S1" s="15" t="s">
        <v>50</v>
      </c>
      <c r="T1" s="16"/>
      <c r="U1" s="17"/>
      <c r="V1" s="18" t="s">
        <v>51</v>
      </c>
      <c r="W1" s="19"/>
      <c r="X1" s="20"/>
    </row>
    <row r="2" customFormat="false" ht="14.25" hidden="false" customHeight="true" outlineLevel="0" collapsed="false">
      <c r="A2" s="21" t="s">
        <v>52</v>
      </c>
      <c r="B2" s="21" t="s">
        <v>53</v>
      </c>
      <c r="C2" s="21" t="s">
        <v>54</v>
      </c>
      <c r="D2" s="21" t="s">
        <v>55</v>
      </c>
      <c r="E2" s="21" t="s">
        <v>56</v>
      </c>
      <c r="F2" s="21" t="s">
        <v>57</v>
      </c>
      <c r="G2" s="21" t="s">
        <v>58</v>
      </c>
      <c r="H2" s="21" t="s">
        <v>59</v>
      </c>
      <c r="I2" s="21" t="s">
        <v>60</v>
      </c>
      <c r="J2" s="21" t="s">
        <v>61</v>
      </c>
      <c r="K2" s="21" t="s">
        <v>62</v>
      </c>
      <c r="L2" s="21" t="s">
        <v>63</v>
      </c>
      <c r="M2" s="21" t="s">
        <v>64</v>
      </c>
      <c r="N2" s="21" t="s">
        <v>65</v>
      </c>
      <c r="O2" s="21" t="s">
        <v>66</v>
      </c>
      <c r="P2" s="21" t="s">
        <v>67</v>
      </c>
      <c r="Q2" s="21" t="s">
        <v>68</v>
      </c>
      <c r="R2" s="21" t="s">
        <v>69</v>
      </c>
      <c r="S2" s="21" t="s">
        <v>70</v>
      </c>
      <c r="T2" s="21" t="s">
        <v>71</v>
      </c>
      <c r="U2" s="21" t="s">
        <v>72</v>
      </c>
      <c r="V2" s="21" t="s">
        <v>73</v>
      </c>
      <c r="W2" s="21" t="s">
        <v>74</v>
      </c>
      <c r="X2" s="21" t="s">
        <v>75</v>
      </c>
      <c r="AA2" s="22" t="s">
        <v>76</v>
      </c>
      <c r="AB2" s="22" t="s">
        <v>64</v>
      </c>
      <c r="AC2" s="22" t="s">
        <v>77</v>
      </c>
    </row>
    <row r="3" customFormat="false" ht="14.25" hidden="false" customHeight="true" outlineLevel="0" collapsed="false">
      <c r="A3" s="23" t="s">
        <v>78</v>
      </c>
      <c r="B3" s="23" t="s">
        <v>79</v>
      </c>
      <c r="C3" s="23" t="s">
        <v>80</v>
      </c>
      <c r="D3" s="23" t="s">
        <v>81</v>
      </c>
      <c r="E3" s="23" t="s">
        <v>82</v>
      </c>
      <c r="F3" s="23" t="s">
        <v>83</v>
      </c>
      <c r="G3" s="23" t="s">
        <v>84</v>
      </c>
      <c r="H3" s="23" t="s">
        <v>85</v>
      </c>
      <c r="I3" s="23" t="s">
        <v>86</v>
      </c>
      <c r="J3" s="23" t="s">
        <v>87</v>
      </c>
      <c r="K3" s="23" t="s">
        <v>88</v>
      </c>
      <c r="L3" s="23" t="s">
        <v>89</v>
      </c>
      <c r="M3" s="23" t="s">
        <v>90</v>
      </c>
      <c r="N3" s="23" t="s">
        <v>91</v>
      </c>
      <c r="O3" s="23" t="s">
        <v>92</v>
      </c>
      <c r="P3" s="23" t="s">
        <v>93</v>
      </c>
      <c r="Q3" s="23" t="s">
        <v>94</v>
      </c>
      <c r="R3" s="23" t="s">
        <v>95</v>
      </c>
      <c r="S3" s="23" t="s">
        <v>92</v>
      </c>
      <c r="T3" s="23" t="s">
        <v>96</v>
      </c>
      <c r="U3" s="23" t="s">
        <v>97</v>
      </c>
      <c r="V3" s="23" t="s">
        <v>98</v>
      </c>
      <c r="W3" s="23" t="s">
        <v>99</v>
      </c>
      <c r="X3" s="23" t="s">
        <v>100</v>
      </c>
      <c r="AA3" s="1" t="s">
        <v>12</v>
      </c>
      <c r="AB3" s="1" t="n">
        <v>192.3</v>
      </c>
      <c r="AC3" s="1" t="n">
        <v>0.978</v>
      </c>
    </row>
    <row r="4" customFormat="false" ht="14.25" hidden="false" customHeight="true" outlineLevel="0" collapsed="false">
      <c r="A4" s="24" t="s">
        <v>12</v>
      </c>
      <c r="B4" s="24" t="s">
        <v>101</v>
      </c>
      <c r="C4" s="25" t="s">
        <v>102</v>
      </c>
      <c r="D4" s="24" t="s">
        <v>103</v>
      </c>
      <c r="E4" s="26" t="s">
        <v>104</v>
      </c>
      <c r="F4" s="24" t="s">
        <v>105</v>
      </c>
      <c r="G4" s="27" t="s">
        <v>106</v>
      </c>
      <c r="H4" s="24" t="s">
        <v>107</v>
      </c>
      <c r="I4" s="24" t="s">
        <v>108</v>
      </c>
      <c r="J4" s="24" t="s">
        <v>109</v>
      </c>
      <c r="K4" s="24" t="n">
        <v>1</v>
      </c>
      <c r="L4" s="24" t="s">
        <v>110</v>
      </c>
      <c r="M4" s="24" t="n">
        <v>192.3</v>
      </c>
      <c r="N4" s="24" t="n">
        <v>266</v>
      </c>
      <c r="O4" s="24" t="s">
        <v>102</v>
      </c>
      <c r="P4" s="24" t="n">
        <v>0.942</v>
      </c>
      <c r="Q4" s="24"/>
      <c r="R4" s="28" t="s">
        <v>102</v>
      </c>
      <c r="S4" s="28" t="s">
        <v>102</v>
      </c>
      <c r="T4" s="28" t="s">
        <v>102</v>
      </c>
      <c r="U4" s="28" t="s">
        <v>102</v>
      </c>
      <c r="V4" s="28" t="s">
        <v>102</v>
      </c>
      <c r="W4" s="28" t="s">
        <v>111</v>
      </c>
      <c r="X4" s="24"/>
      <c r="AA4" s="1" t="s">
        <v>32</v>
      </c>
      <c r="AB4" s="1" t="n">
        <v>122.16</v>
      </c>
      <c r="AC4" s="5" t="n">
        <v>1</v>
      </c>
    </row>
    <row r="5" customFormat="false" ht="14.25" hidden="false" customHeight="true" outlineLevel="0" collapsed="false">
      <c r="A5" s="24" t="s">
        <v>32</v>
      </c>
      <c r="B5" s="24" t="s">
        <v>33</v>
      </c>
      <c r="C5" s="25" t="s">
        <v>102</v>
      </c>
      <c r="D5" s="24" t="s">
        <v>112</v>
      </c>
      <c r="E5" s="29" t="s">
        <v>113</v>
      </c>
      <c r="F5" s="24" t="s">
        <v>114</v>
      </c>
      <c r="G5" s="27" t="s">
        <v>115</v>
      </c>
      <c r="H5" s="24" t="s">
        <v>107</v>
      </c>
      <c r="I5" s="24" t="s">
        <v>116</v>
      </c>
      <c r="J5" s="24" t="s">
        <v>117</v>
      </c>
      <c r="K5" s="24" t="n">
        <v>1</v>
      </c>
      <c r="L5" s="24" t="s">
        <v>110</v>
      </c>
      <c r="M5" s="24" t="n">
        <v>122.16</v>
      </c>
      <c r="N5" s="24" t="n">
        <v>219</v>
      </c>
      <c r="O5" s="24" t="s">
        <v>102</v>
      </c>
      <c r="P5" s="24" t="n">
        <v>1.02</v>
      </c>
      <c r="Q5" s="24"/>
      <c r="R5" s="28" t="s">
        <v>102</v>
      </c>
      <c r="S5" s="28" t="s">
        <v>102</v>
      </c>
      <c r="T5" s="28" t="s">
        <v>102</v>
      </c>
      <c r="U5" s="28" t="s">
        <v>102</v>
      </c>
      <c r="V5" s="28" t="s">
        <v>102</v>
      </c>
      <c r="W5" s="28" t="s">
        <v>111</v>
      </c>
      <c r="X5" s="24"/>
      <c r="AA5" s="1" t="s">
        <v>40</v>
      </c>
      <c r="AB5" s="1" t="n">
        <v>170.25</v>
      </c>
      <c r="AC5" s="1" t="n">
        <v>0.987</v>
      </c>
    </row>
    <row r="6" customFormat="false" ht="14.25" hidden="false" customHeight="true" outlineLevel="0" collapsed="false">
      <c r="A6" s="24" t="s">
        <v>40</v>
      </c>
      <c r="B6" s="24" t="s">
        <v>118</v>
      </c>
      <c r="C6" s="25" t="s">
        <v>102</v>
      </c>
      <c r="D6" s="24" t="s">
        <v>119</v>
      </c>
      <c r="E6" s="29" t="s">
        <v>120</v>
      </c>
      <c r="F6" s="24" t="s">
        <v>121</v>
      </c>
      <c r="G6" s="27" t="s">
        <v>115</v>
      </c>
      <c r="H6" s="24" t="s">
        <v>107</v>
      </c>
      <c r="I6" s="24" t="s">
        <v>122</v>
      </c>
      <c r="J6" s="24" t="s">
        <v>123</v>
      </c>
      <c r="K6" s="24" t="n">
        <v>1</v>
      </c>
      <c r="L6" s="24" t="s">
        <v>110</v>
      </c>
      <c r="M6" s="24" t="n">
        <v>170.25</v>
      </c>
      <c r="N6" s="24" t="n">
        <v>285</v>
      </c>
      <c r="O6" s="24" t="s">
        <v>102</v>
      </c>
      <c r="P6" s="24" t="n">
        <v>0.969</v>
      </c>
      <c r="Q6" s="24"/>
      <c r="R6" s="28" t="s">
        <v>102</v>
      </c>
      <c r="S6" s="28" t="s">
        <v>102</v>
      </c>
      <c r="T6" s="28" t="s">
        <v>102</v>
      </c>
      <c r="U6" s="28" t="s">
        <v>102</v>
      </c>
      <c r="V6" s="28" t="s">
        <v>102</v>
      </c>
      <c r="W6" s="28" t="s">
        <v>111</v>
      </c>
      <c r="X6" s="24"/>
      <c r="AA6" s="1" t="s">
        <v>14</v>
      </c>
      <c r="AB6" s="1" t="n">
        <v>86.13</v>
      </c>
      <c r="AC6" s="1" t="n">
        <v>0.996</v>
      </c>
    </row>
    <row r="7" customFormat="false" ht="14.25" hidden="false" customHeight="true" outlineLevel="0" collapsed="false">
      <c r="A7" s="30" t="s">
        <v>14</v>
      </c>
      <c r="B7" s="30" t="s">
        <v>15</v>
      </c>
      <c r="C7" s="30" t="s">
        <v>124</v>
      </c>
      <c r="D7" s="30" t="s">
        <v>125</v>
      </c>
      <c r="E7" s="30" t="s">
        <v>126</v>
      </c>
      <c r="F7" s="30" t="s">
        <v>127</v>
      </c>
      <c r="G7" s="31" t="s">
        <v>106</v>
      </c>
      <c r="H7" s="30" t="s">
        <v>128</v>
      </c>
      <c r="I7" s="32" t="s">
        <v>129</v>
      </c>
      <c r="J7" s="30" t="s">
        <v>130</v>
      </c>
      <c r="K7" s="31" t="n">
        <v>1</v>
      </c>
      <c r="L7" s="30" t="s">
        <v>110</v>
      </c>
      <c r="M7" s="30" t="n">
        <v>86.13</v>
      </c>
      <c r="N7" s="30" t="n">
        <v>99</v>
      </c>
      <c r="O7" s="30" t="s">
        <v>102</v>
      </c>
      <c r="P7" s="30" t="n">
        <v>0.824</v>
      </c>
      <c r="Q7" s="30"/>
      <c r="R7" s="30" t="s">
        <v>102</v>
      </c>
      <c r="S7" s="30" t="s">
        <v>102</v>
      </c>
      <c r="T7" s="30" t="s">
        <v>102</v>
      </c>
      <c r="U7" s="30" t="s">
        <v>102</v>
      </c>
      <c r="V7" s="30" t="s">
        <v>102</v>
      </c>
      <c r="W7" s="30" t="s">
        <v>111</v>
      </c>
      <c r="X7" s="30"/>
      <c r="AA7" s="1" t="s">
        <v>17</v>
      </c>
      <c r="AB7" s="1" t="n">
        <v>88.15</v>
      </c>
      <c r="AC7" s="5" t="n">
        <v>1</v>
      </c>
    </row>
    <row r="8" customFormat="false" ht="14.25" hidden="false" customHeight="true" outlineLevel="0" collapsed="false">
      <c r="A8" s="33" t="s">
        <v>17</v>
      </c>
      <c r="B8" s="33" t="s">
        <v>18</v>
      </c>
      <c r="C8" s="33" t="s">
        <v>131</v>
      </c>
      <c r="D8" s="33" t="s">
        <v>132</v>
      </c>
      <c r="E8" s="34" t="s">
        <v>133</v>
      </c>
      <c r="F8" s="33" t="s">
        <v>134</v>
      </c>
      <c r="G8" s="35" t="n">
        <v>3.2</v>
      </c>
      <c r="H8" s="33" t="s">
        <v>107</v>
      </c>
      <c r="I8" s="36" t="s">
        <v>135</v>
      </c>
      <c r="J8" s="33" t="s">
        <v>136</v>
      </c>
      <c r="K8" s="35" t="n">
        <v>1</v>
      </c>
      <c r="L8" s="33" t="s">
        <v>110</v>
      </c>
      <c r="M8" s="33" t="n">
        <v>88.15</v>
      </c>
      <c r="N8" s="33" t="n">
        <v>102</v>
      </c>
      <c r="O8" s="33" t="s">
        <v>102</v>
      </c>
      <c r="P8" s="33" t="n">
        <v>0.805</v>
      </c>
      <c r="Q8" s="33"/>
      <c r="R8" s="33" t="s">
        <v>102</v>
      </c>
      <c r="S8" s="33" t="s">
        <v>102</v>
      </c>
      <c r="T8" s="33" t="s">
        <v>102</v>
      </c>
      <c r="U8" s="33" t="s">
        <v>102</v>
      </c>
      <c r="V8" s="33" t="s">
        <v>102</v>
      </c>
      <c r="W8" s="33" t="s">
        <v>111</v>
      </c>
      <c r="X8" s="33"/>
      <c r="AA8" s="1" t="s">
        <v>20</v>
      </c>
      <c r="AB8" s="1" t="n">
        <v>102.17</v>
      </c>
      <c r="AC8" s="1" t="n">
        <v>0.998</v>
      </c>
    </row>
    <row r="9" customFormat="false" ht="14.25" hidden="false" customHeight="true" outlineLevel="0" collapsed="false">
      <c r="A9" s="33" t="s">
        <v>20</v>
      </c>
      <c r="B9" s="33" t="s">
        <v>21</v>
      </c>
      <c r="C9" s="33" t="s">
        <v>102</v>
      </c>
      <c r="D9" s="33" t="s">
        <v>137</v>
      </c>
      <c r="E9" s="33" t="s">
        <v>138</v>
      </c>
      <c r="F9" s="33" t="s">
        <v>139</v>
      </c>
      <c r="G9" s="35" t="s">
        <v>140</v>
      </c>
      <c r="H9" s="33" t="s">
        <v>107</v>
      </c>
      <c r="I9" s="33" t="s">
        <v>141</v>
      </c>
      <c r="J9" s="33" t="s">
        <v>142</v>
      </c>
      <c r="K9" s="35" t="n">
        <v>700</v>
      </c>
      <c r="L9" s="33" t="s">
        <v>143</v>
      </c>
      <c r="M9" s="33" t="n">
        <v>102.17</v>
      </c>
      <c r="N9" s="33" t="n">
        <v>156</v>
      </c>
      <c r="O9" s="33" t="s">
        <v>102</v>
      </c>
      <c r="P9" s="33" t="n">
        <v>0.814</v>
      </c>
      <c r="Q9" s="33"/>
      <c r="R9" s="33" t="s">
        <v>102</v>
      </c>
      <c r="S9" s="33" t="s">
        <v>102</v>
      </c>
      <c r="T9" s="33" t="s">
        <v>102</v>
      </c>
      <c r="U9" s="33" t="s">
        <v>102</v>
      </c>
      <c r="V9" s="33" t="s">
        <v>102</v>
      </c>
      <c r="W9" s="33" t="s">
        <v>111</v>
      </c>
      <c r="X9" s="33"/>
      <c r="AA9" s="1" t="s">
        <v>23</v>
      </c>
      <c r="AB9" s="1" t="n">
        <v>130.23</v>
      </c>
      <c r="AC9" s="1" t="n">
        <v>0.997</v>
      </c>
    </row>
    <row r="10" customFormat="false" ht="14.25" hidden="false" customHeight="true" outlineLevel="0" collapsed="false">
      <c r="A10" s="33" t="s">
        <v>23</v>
      </c>
      <c r="B10" s="33" t="s">
        <v>24</v>
      </c>
      <c r="C10" s="33" t="s">
        <v>102</v>
      </c>
      <c r="D10" s="33" t="s">
        <v>144</v>
      </c>
      <c r="E10" s="33" t="s">
        <v>145</v>
      </c>
      <c r="F10" s="33" t="s">
        <v>146</v>
      </c>
      <c r="G10" s="35" t="n">
        <v>1.2</v>
      </c>
      <c r="H10" s="33" t="s">
        <v>107</v>
      </c>
      <c r="I10" s="33" t="s">
        <v>147</v>
      </c>
      <c r="J10" s="33" t="s">
        <v>148</v>
      </c>
      <c r="K10" s="35" t="s">
        <v>149</v>
      </c>
      <c r="L10" s="33" t="s">
        <v>143</v>
      </c>
      <c r="M10" s="33" t="n">
        <v>130.23</v>
      </c>
      <c r="N10" s="33" t="n">
        <v>195</v>
      </c>
      <c r="O10" s="33" t="s">
        <v>102</v>
      </c>
      <c r="P10" s="33" t="n">
        <v>0.824</v>
      </c>
      <c r="Q10" s="33"/>
      <c r="R10" s="33" t="s">
        <v>102</v>
      </c>
      <c r="S10" s="33" t="s">
        <v>102</v>
      </c>
      <c r="T10" s="33" t="s">
        <v>102</v>
      </c>
      <c r="U10" s="33" t="s">
        <v>102</v>
      </c>
      <c r="V10" s="33" t="s">
        <v>102</v>
      </c>
      <c r="W10" s="33" t="s">
        <v>111</v>
      </c>
      <c r="X10" s="33"/>
      <c r="AA10" s="1" t="s">
        <v>26</v>
      </c>
      <c r="AB10" s="1" t="n">
        <v>100.16</v>
      </c>
      <c r="AC10" s="1" t="n">
        <v>0.998</v>
      </c>
    </row>
    <row r="11" customFormat="false" ht="14.25" hidden="false" customHeight="true" outlineLevel="0" collapsed="false">
      <c r="A11" s="33" t="s">
        <v>26</v>
      </c>
      <c r="B11" s="33" t="s">
        <v>27</v>
      </c>
      <c r="C11" s="33" t="s">
        <v>150</v>
      </c>
      <c r="D11" s="33" t="s">
        <v>151</v>
      </c>
      <c r="E11" s="34" t="s">
        <v>152</v>
      </c>
      <c r="F11" s="33" t="s">
        <v>153</v>
      </c>
      <c r="G11" s="35" t="n">
        <v>2.4</v>
      </c>
      <c r="H11" s="33" t="s">
        <v>154</v>
      </c>
      <c r="I11" s="33" t="s">
        <v>141</v>
      </c>
      <c r="J11" s="33" t="s">
        <v>155</v>
      </c>
      <c r="K11" s="35" t="s">
        <v>156</v>
      </c>
      <c r="L11" s="33" t="s">
        <v>143</v>
      </c>
      <c r="M11" s="33" t="n">
        <v>100.16</v>
      </c>
      <c r="N11" s="33" t="n">
        <v>115</v>
      </c>
      <c r="O11" s="33" t="s">
        <v>102</v>
      </c>
      <c r="P11" s="33" t="n">
        <v>0.802</v>
      </c>
      <c r="Q11" s="33"/>
      <c r="R11" s="33" t="s">
        <v>102</v>
      </c>
      <c r="S11" s="33" t="s">
        <v>102</v>
      </c>
      <c r="T11" s="33" t="s">
        <v>102</v>
      </c>
      <c r="U11" s="33" t="s">
        <v>102</v>
      </c>
      <c r="V11" s="33" t="s">
        <v>102</v>
      </c>
      <c r="W11" s="33" t="s">
        <v>111</v>
      </c>
      <c r="X11" s="33"/>
      <c r="AA11" s="1" t="s">
        <v>29</v>
      </c>
      <c r="AB11" s="1" t="n">
        <v>128.21</v>
      </c>
      <c r="AC11" s="1" t="n">
        <v>0.988</v>
      </c>
    </row>
    <row r="12" customFormat="false" ht="14.25" hidden="false" customHeight="true" outlineLevel="0" collapsed="false">
      <c r="A12" s="33" t="s">
        <v>29</v>
      </c>
      <c r="B12" s="33" t="s">
        <v>30</v>
      </c>
      <c r="C12" s="33" t="s">
        <v>157</v>
      </c>
      <c r="D12" s="33" t="s">
        <v>158</v>
      </c>
      <c r="E12" s="34" t="s">
        <v>159</v>
      </c>
      <c r="F12" s="33" t="s">
        <v>160</v>
      </c>
      <c r="G12" s="35" t="n">
        <v>3.2</v>
      </c>
      <c r="H12" s="33" t="s">
        <v>107</v>
      </c>
      <c r="I12" s="37" t="s">
        <v>161</v>
      </c>
      <c r="J12" s="33" t="s">
        <v>162</v>
      </c>
      <c r="K12" s="35" t="s">
        <v>149</v>
      </c>
      <c r="L12" s="33" t="s">
        <v>143</v>
      </c>
      <c r="M12" s="33" t="n">
        <v>128.21</v>
      </c>
      <c r="N12" s="33" t="n">
        <v>173</v>
      </c>
      <c r="O12" s="33" t="s">
        <v>102</v>
      </c>
      <c r="P12" s="33" t="n">
        <v>0.819</v>
      </c>
      <c r="Q12" s="33"/>
      <c r="R12" s="33" t="s">
        <v>102</v>
      </c>
      <c r="S12" s="33" t="s">
        <v>102</v>
      </c>
      <c r="T12" s="33" t="s">
        <v>102</v>
      </c>
      <c r="U12" s="33" t="s">
        <v>102</v>
      </c>
      <c r="V12" s="33" t="s">
        <v>102</v>
      </c>
      <c r="W12" s="33" t="s">
        <v>111</v>
      </c>
      <c r="X12" s="33"/>
    </row>
    <row r="13" customFormat="false" ht="14.25" hidden="false" customHeight="true" outlineLevel="0" collapsed="false">
      <c r="A13" s="38" t="s">
        <v>163</v>
      </c>
      <c r="B13" s="38" t="s">
        <v>164</v>
      </c>
      <c r="C13" s="38" t="s">
        <v>102</v>
      </c>
      <c r="D13" s="38" t="s">
        <v>165</v>
      </c>
      <c r="E13" s="38" t="s">
        <v>166</v>
      </c>
      <c r="F13" s="38" t="s">
        <v>167</v>
      </c>
      <c r="G13" s="39" t="n">
        <v>1.2</v>
      </c>
      <c r="H13" s="38" t="s">
        <v>107</v>
      </c>
      <c r="I13" s="38" t="s">
        <v>135</v>
      </c>
      <c r="J13" s="38" t="s">
        <v>168</v>
      </c>
      <c r="K13" s="39" t="n">
        <v>800</v>
      </c>
      <c r="L13" s="38" t="s">
        <v>169</v>
      </c>
      <c r="M13" s="38" t="n">
        <v>150.22</v>
      </c>
      <c r="N13" s="38" t="n">
        <v>233</v>
      </c>
      <c r="O13" s="38" t="s">
        <v>102</v>
      </c>
      <c r="P13" s="40" t="n">
        <v>0.96</v>
      </c>
      <c r="Q13" s="38"/>
      <c r="R13" s="38" t="s">
        <v>102</v>
      </c>
      <c r="S13" s="38" t="s">
        <v>102</v>
      </c>
      <c r="T13" s="38" t="s">
        <v>102</v>
      </c>
      <c r="U13" s="38" t="s">
        <v>102</v>
      </c>
      <c r="V13" s="38" t="s">
        <v>102</v>
      </c>
      <c r="W13" s="38" t="s">
        <v>111</v>
      </c>
      <c r="X13" s="38"/>
    </row>
    <row r="14" customFormat="false" ht="14.25" hidden="false" customHeight="true" outlineLevel="0" collapsed="false">
      <c r="A14" s="38" t="s">
        <v>170</v>
      </c>
      <c r="B14" s="38" t="s">
        <v>171</v>
      </c>
      <c r="C14" s="38" t="s">
        <v>172</v>
      </c>
      <c r="D14" s="38" t="s">
        <v>173</v>
      </c>
      <c r="E14" s="41" t="s">
        <v>166</v>
      </c>
      <c r="F14" s="42" t="s">
        <v>174</v>
      </c>
      <c r="G14" s="43" t="n">
        <v>1.2</v>
      </c>
      <c r="H14" s="38" t="s">
        <v>107</v>
      </c>
      <c r="I14" s="38" t="s">
        <v>175</v>
      </c>
      <c r="J14" s="38" t="s">
        <v>176</v>
      </c>
      <c r="K14" s="39" t="n">
        <v>1</v>
      </c>
      <c r="L14" s="38" t="s">
        <v>177</v>
      </c>
      <c r="M14" s="38" t="n">
        <v>150.22</v>
      </c>
      <c r="N14" s="38" t="n">
        <v>226</v>
      </c>
      <c r="O14" s="38" t="s">
        <v>102</v>
      </c>
      <c r="P14" s="40" t="n">
        <v>0.96</v>
      </c>
      <c r="Q14" s="38"/>
      <c r="R14" s="38" t="s">
        <v>102</v>
      </c>
      <c r="S14" s="38" t="s">
        <v>102</v>
      </c>
      <c r="T14" s="38" t="s">
        <v>102</v>
      </c>
      <c r="U14" s="38" t="s">
        <v>102</v>
      </c>
      <c r="V14" s="38" t="s">
        <v>102</v>
      </c>
      <c r="W14" s="38" t="s">
        <v>111</v>
      </c>
      <c r="X14" s="38"/>
    </row>
    <row r="15" customFormat="false" ht="14.25" hidden="false" customHeight="true" outlineLevel="0" collapsed="false">
      <c r="A15" s="38" t="s">
        <v>178</v>
      </c>
      <c r="B15" s="38" t="s">
        <v>179</v>
      </c>
      <c r="C15" s="38" t="s">
        <v>102</v>
      </c>
      <c r="D15" s="38" t="s">
        <v>180</v>
      </c>
      <c r="E15" s="44" t="s">
        <v>181</v>
      </c>
      <c r="F15" s="38" t="s">
        <v>182</v>
      </c>
      <c r="G15" s="39" t="n">
        <v>3.2</v>
      </c>
      <c r="H15" s="45" t="s">
        <v>107</v>
      </c>
      <c r="I15" s="38" t="s">
        <v>183</v>
      </c>
      <c r="J15" s="38" t="s">
        <v>184</v>
      </c>
      <c r="K15" s="39" t="n">
        <v>250</v>
      </c>
      <c r="L15" s="38" t="s">
        <v>169</v>
      </c>
      <c r="M15" s="38" t="n">
        <v>152.24</v>
      </c>
      <c r="N15" s="38" t="n">
        <v>210</v>
      </c>
      <c r="O15" s="38" t="s">
        <v>102</v>
      </c>
      <c r="P15" s="40" t="n">
        <v>0.99</v>
      </c>
      <c r="Q15" s="38"/>
      <c r="R15" s="38" t="s">
        <v>102</v>
      </c>
      <c r="S15" s="38" t="s">
        <v>102</v>
      </c>
      <c r="T15" s="38" t="s">
        <v>102</v>
      </c>
      <c r="U15" s="38" t="s">
        <v>102</v>
      </c>
      <c r="V15" s="38" t="s">
        <v>102</v>
      </c>
      <c r="W15" s="38" t="s">
        <v>111</v>
      </c>
      <c r="X15" s="38"/>
    </row>
    <row r="16" customFormat="false" ht="14.25" hidden="false" customHeight="true" outlineLevel="0" collapsed="false">
      <c r="A16" s="38" t="s">
        <v>185</v>
      </c>
      <c r="B16" s="38" t="s">
        <v>186</v>
      </c>
      <c r="C16" s="38" t="s">
        <v>102</v>
      </c>
      <c r="D16" s="38" t="s">
        <v>187</v>
      </c>
      <c r="E16" s="44" t="s">
        <v>188</v>
      </c>
      <c r="F16" s="38" t="s">
        <v>189</v>
      </c>
      <c r="G16" s="39" t="n">
        <v>2.3</v>
      </c>
      <c r="H16" s="45" t="s">
        <v>107</v>
      </c>
      <c r="I16" s="38" t="s">
        <v>190</v>
      </c>
      <c r="J16" s="38" t="s">
        <v>191</v>
      </c>
      <c r="K16" s="39" t="n">
        <v>700</v>
      </c>
      <c r="L16" s="38" t="s">
        <v>169</v>
      </c>
      <c r="M16" s="38" t="n">
        <v>154.25</v>
      </c>
      <c r="N16" s="38" t="n">
        <v>229</v>
      </c>
      <c r="O16" s="38" t="s">
        <v>102</v>
      </c>
      <c r="P16" s="38" t="n">
        <v>0.889</v>
      </c>
      <c r="Q16" s="38"/>
      <c r="R16" s="38" t="s">
        <v>102</v>
      </c>
      <c r="S16" s="38" t="s">
        <v>102</v>
      </c>
      <c r="T16" s="38" t="s">
        <v>102</v>
      </c>
      <c r="U16" s="38" t="s">
        <v>102</v>
      </c>
      <c r="V16" s="38" t="s">
        <v>102</v>
      </c>
      <c r="W16" s="38" t="s">
        <v>111</v>
      </c>
      <c r="X16" s="38"/>
    </row>
    <row r="17" customFormat="false" ht="14.25" hidden="false" customHeight="true" outlineLevel="0" collapsed="false">
      <c r="A17" s="38" t="s">
        <v>192</v>
      </c>
      <c r="B17" s="38" t="s">
        <v>193</v>
      </c>
      <c r="C17" s="38" t="s">
        <v>102</v>
      </c>
      <c r="D17" s="38" t="s">
        <v>194</v>
      </c>
      <c r="E17" s="44" t="s">
        <v>166</v>
      </c>
      <c r="F17" s="38" t="s">
        <v>195</v>
      </c>
      <c r="G17" s="39" t="n">
        <v>2.1</v>
      </c>
      <c r="H17" s="45" t="s">
        <v>107</v>
      </c>
      <c r="I17" s="38" t="s">
        <v>147</v>
      </c>
      <c r="J17" s="38" t="s">
        <v>196</v>
      </c>
      <c r="K17" s="39" t="s">
        <v>197</v>
      </c>
      <c r="L17" s="38" t="s">
        <v>143</v>
      </c>
      <c r="M17" s="38" t="n">
        <v>150.22</v>
      </c>
      <c r="N17" s="38" t="n">
        <v>239</v>
      </c>
      <c r="O17" s="38" t="s">
        <v>102</v>
      </c>
      <c r="P17" s="38" t="n">
        <v>0.977</v>
      </c>
      <c r="Q17" s="38"/>
      <c r="R17" s="38" t="s">
        <v>102</v>
      </c>
      <c r="S17" s="38" t="s">
        <v>102</v>
      </c>
      <c r="T17" s="38" t="s">
        <v>102</v>
      </c>
      <c r="U17" s="38" t="s">
        <v>102</v>
      </c>
      <c r="V17" s="38" t="s">
        <v>102</v>
      </c>
      <c r="W17" s="38" t="s">
        <v>111</v>
      </c>
      <c r="X17" s="38"/>
    </row>
    <row r="18" customFormat="false" ht="14.25" hidden="false" customHeight="true" outlineLevel="0" collapsed="false">
      <c r="A18" s="38" t="s">
        <v>198</v>
      </c>
      <c r="B18" s="38" t="s">
        <v>199</v>
      </c>
      <c r="C18" s="38" t="s">
        <v>102</v>
      </c>
      <c r="D18" s="38" t="s">
        <v>200</v>
      </c>
      <c r="E18" s="41" t="s">
        <v>201</v>
      </c>
      <c r="F18" s="38" t="s">
        <v>202</v>
      </c>
      <c r="G18" s="39" t="n">
        <v>1.3</v>
      </c>
      <c r="H18" s="45" t="s">
        <v>107</v>
      </c>
      <c r="I18" s="38" t="s">
        <v>175</v>
      </c>
      <c r="J18" s="38" t="s">
        <v>203</v>
      </c>
      <c r="K18" s="39" t="s">
        <v>204</v>
      </c>
      <c r="L18" s="38" t="s">
        <v>143</v>
      </c>
      <c r="M18" s="38" t="n">
        <v>164.2</v>
      </c>
      <c r="N18" s="38" t="n">
        <v>215</v>
      </c>
      <c r="O18" s="38" t="s">
        <v>102</v>
      </c>
      <c r="P18" s="40" t="n">
        <v>1.06</v>
      </c>
      <c r="Q18" s="38"/>
      <c r="R18" s="38" t="s">
        <v>102</v>
      </c>
      <c r="S18" s="38" t="s">
        <v>102</v>
      </c>
      <c r="T18" s="38" t="s">
        <v>102</v>
      </c>
      <c r="U18" s="38" t="s">
        <v>102</v>
      </c>
      <c r="V18" s="38" t="s">
        <v>102</v>
      </c>
      <c r="W18" s="38" t="s">
        <v>111</v>
      </c>
      <c r="X18" s="38"/>
    </row>
    <row r="19" customFormat="false" ht="14.25" hidden="false" customHeight="true" outlineLevel="0" collapsed="false">
      <c r="A19" s="46" t="s">
        <v>205</v>
      </c>
      <c r="B19" s="46" t="s">
        <v>206</v>
      </c>
      <c r="C19" s="46" t="s">
        <v>102</v>
      </c>
      <c r="D19" s="46" t="s">
        <v>102</v>
      </c>
      <c r="E19" s="46" t="s">
        <v>102</v>
      </c>
      <c r="F19" s="47"/>
      <c r="G19" s="48" t="s">
        <v>102</v>
      </c>
      <c r="H19" s="46" t="s">
        <v>102</v>
      </c>
      <c r="I19" s="46" t="s">
        <v>207</v>
      </c>
      <c r="J19" s="46" t="s">
        <v>102</v>
      </c>
      <c r="K19" s="49" t="s">
        <v>102</v>
      </c>
      <c r="L19" s="46" t="s">
        <v>102</v>
      </c>
      <c r="M19" s="46" t="n">
        <v>18.02</v>
      </c>
      <c r="N19" s="46" t="n">
        <v>100</v>
      </c>
      <c r="O19" s="46" t="s">
        <v>102</v>
      </c>
      <c r="P19" s="46"/>
      <c r="Q19" s="46"/>
      <c r="R19" s="46" t="s">
        <v>102</v>
      </c>
      <c r="S19" s="46" t="s">
        <v>102</v>
      </c>
      <c r="T19" s="46" t="s">
        <v>102</v>
      </c>
      <c r="U19" s="46" t="s">
        <v>102</v>
      </c>
      <c r="V19" s="46" t="s">
        <v>102</v>
      </c>
      <c r="W19" s="46" t="s">
        <v>111</v>
      </c>
      <c r="X19" s="46"/>
    </row>
    <row r="20" customFormat="false" ht="14.25" hidden="false" customHeight="true" outlineLevel="0" collapsed="false"/>
    <row r="21" customFormat="false" ht="14.25" hidden="false" customHeight="true" outlineLevel="0" collapsed="false">
      <c r="A21" s="50"/>
      <c r="B21" s="1" t="s">
        <v>208</v>
      </c>
    </row>
    <row r="22" customFormat="false" ht="15" hidden="false" customHeight="true" outlineLevel="0" collapsed="false">
      <c r="A22" s="51"/>
      <c r="B22" s="52" t="s">
        <v>209</v>
      </c>
    </row>
    <row r="23" customFormat="false" ht="14.25" hidden="false" customHeight="true" outlineLevel="0" collapsed="false">
      <c r="A23" s="53"/>
      <c r="B23" s="1" t="s">
        <v>210</v>
      </c>
    </row>
    <row r="24" customFormat="false" ht="15" hidden="false" customHeight="true" outlineLevel="0" collapsed="false">
      <c r="A24" s="54"/>
      <c r="B24" s="52" t="s">
        <v>211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1" sqref="B39:F39 G9"/>
    </sheetView>
  </sheetViews>
  <sheetFormatPr defaultColWidth="12.00390625" defaultRowHeight="12.75" customHeight="false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21.26"/>
    <col collapsed="false" customWidth="true" hidden="false" outlineLevel="0" max="4" min="4" style="1" width="18.88"/>
    <col collapsed="false" customWidth="true" hidden="false" outlineLevel="0" max="5" min="5" style="1" width="13.5"/>
    <col collapsed="false" customWidth="true" hidden="false" outlineLevel="0" max="6" min="6" style="1" width="15"/>
    <col collapsed="false" customWidth="true" hidden="false" outlineLevel="0" max="7" min="7" style="1" width="21.75"/>
    <col collapsed="false" customWidth="true" hidden="false" outlineLevel="0" max="8" min="8" style="1" width="15.13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55" t="s">
        <v>212</v>
      </c>
      <c r="C2" s="55" t="s">
        <v>15</v>
      </c>
      <c r="D2" s="55" t="s">
        <v>18</v>
      </c>
      <c r="E2" s="55" t="s">
        <v>21</v>
      </c>
      <c r="F2" s="55" t="s">
        <v>24</v>
      </c>
      <c r="G2" s="55" t="s">
        <v>27</v>
      </c>
      <c r="H2" s="55" t="s">
        <v>30</v>
      </c>
    </row>
    <row r="3" customFormat="false" ht="15" hidden="false" customHeight="true" outlineLevel="0" collapsed="false">
      <c r="B3" s="56" t="s">
        <v>213</v>
      </c>
      <c r="C3" s="57"/>
      <c r="D3" s="57"/>
      <c r="E3" s="57"/>
      <c r="F3" s="57"/>
      <c r="G3" s="57"/>
      <c r="H3" s="58"/>
    </row>
    <row r="4" customFormat="false" ht="14.25" hidden="false" customHeight="true" outlineLevel="0" collapsed="false">
      <c r="B4" s="55" t="s">
        <v>33</v>
      </c>
      <c r="C4" s="59"/>
      <c r="D4" s="57"/>
      <c r="E4" s="57"/>
      <c r="F4" s="57"/>
      <c r="G4" s="59"/>
      <c r="H4" s="59"/>
    </row>
    <row r="5" customFormat="false" ht="15" hidden="false" customHeight="true" outlineLevel="0" collapsed="false">
      <c r="B5" s="56" t="s">
        <v>118</v>
      </c>
      <c r="C5" s="60"/>
      <c r="D5" s="57"/>
      <c r="E5" s="61"/>
      <c r="F5" s="61"/>
      <c r="G5" s="60"/>
      <c r="H5" s="60"/>
    </row>
    <row r="6" customFormat="false" ht="14.25" hidden="false" customHeight="true" outlineLevel="0" collapsed="false"/>
    <row r="7" customFormat="false" ht="14.25" hidden="false" customHeight="true" outlineLevel="0" collapsed="false">
      <c r="B7" s="55" t="s">
        <v>214</v>
      </c>
      <c r="C7" s="55" t="s">
        <v>15</v>
      </c>
      <c r="D7" s="55" t="s">
        <v>18</v>
      </c>
      <c r="E7" s="55" t="s">
        <v>21</v>
      </c>
      <c r="F7" s="55" t="s">
        <v>24</v>
      </c>
      <c r="G7" s="55" t="s">
        <v>27</v>
      </c>
      <c r="H7" s="55" t="s">
        <v>30</v>
      </c>
    </row>
    <row r="8" customFormat="false" ht="15" hidden="false" customHeight="true" outlineLevel="0" collapsed="false">
      <c r="B8" s="56" t="s">
        <v>213</v>
      </c>
      <c r="C8" s="57"/>
      <c r="D8" s="57"/>
      <c r="E8" s="57"/>
      <c r="F8" s="57"/>
      <c r="G8" s="57"/>
      <c r="H8" s="58"/>
    </row>
    <row r="9" customFormat="false" ht="14.25" hidden="false" customHeight="true" outlineLevel="0" collapsed="false">
      <c r="B9" s="55" t="s">
        <v>33</v>
      </c>
      <c r="C9" s="59"/>
      <c r="D9" s="57"/>
      <c r="E9" s="57"/>
      <c r="F9" s="57"/>
      <c r="G9" s="59"/>
      <c r="H9" s="59"/>
    </row>
    <row r="10" customFormat="false" ht="15" hidden="false" customHeight="true" outlineLevel="0" collapsed="false">
      <c r="B10" s="56" t="s">
        <v>118</v>
      </c>
      <c r="C10" s="60"/>
      <c r="D10" s="58"/>
      <c r="E10" s="58"/>
      <c r="F10" s="58"/>
      <c r="G10" s="60"/>
      <c r="H10" s="60"/>
    </row>
    <row r="11" customFormat="false" ht="14.25" hidden="false" customHeight="true" outlineLevel="0" collapsed="false"/>
    <row r="12" customFormat="false" ht="14.25" hidden="false" customHeight="true" outlineLevel="0" collapsed="false">
      <c r="B12" s="55" t="s">
        <v>215</v>
      </c>
      <c r="C12" s="55" t="s">
        <v>15</v>
      </c>
      <c r="D12" s="55" t="s">
        <v>18</v>
      </c>
      <c r="E12" s="55" t="s">
        <v>21</v>
      </c>
      <c r="F12" s="55" t="s">
        <v>24</v>
      </c>
      <c r="G12" s="55" t="s">
        <v>27</v>
      </c>
      <c r="H12" s="55" t="s">
        <v>30</v>
      </c>
    </row>
    <row r="13" customFormat="false" ht="15" hidden="false" customHeight="true" outlineLevel="0" collapsed="false">
      <c r="B13" s="56" t="s">
        <v>213</v>
      </c>
      <c r="C13" s="60"/>
      <c r="D13" s="60"/>
      <c r="E13" s="62"/>
      <c r="F13" s="60"/>
      <c r="G13" s="62"/>
      <c r="H13" s="62"/>
    </row>
    <row r="14" customFormat="false" ht="14.25" hidden="false" customHeight="true" outlineLevel="0" collapsed="false">
      <c r="B14" s="55" t="s">
        <v>33</v>
      </c>
      <c r="C14" s="62"/>
      <c r="D14" s="62"/>
      <c r="E14" s="62"/>
      <c r="F14" s="63"/>
      <c r="G14" s="62"/>
      <c r="H14" s="62"/>
    </row>
    <row r="15" customFormat="false" ht="15" hidden="false" customHeight="true" outlineLevel="0" collapsed="false">
      <c r="B15" s="56" t="s">
        <v>118</v>
      </c>
      <c r="C15" s="62"/>
      <c r="D15" s="62"/>
      <c r="E15" s="62"/>
      <c r="F15" s="62"/>
      <c r="G15" s="62"/>
      <c r="H15" s="62"/>
    </row>
    <row r="16" customFormat="false" ht="15" hidden="false" customHeight="true" outlineLevel="0" collapsed="false">
      <c r="B16" s="52"/>
    </row>
    <row r="17" customFormat="false" ht="14.25" hidden="false" customHeight="true" outlineLevel="0" collapsed="false">
      <c r="B17" s="55" t="s">
        <v>216</v>
      </c>
      <c r="C17" s="55" t="s">
        <v>15</v>
      </c>
      <c r="D17" s="55" t="s">
        <v>18</v>
      </c>
      <c r="E17" s="55" t="s">
        <v>21</v>
      </c>
      <c r="F17" s="55" t="s">
        <v>24</v>
      </c>
      <c r="G17" s="55" t="s">
        <v>27</v>
      </c>
      <c r="H17" s="55" t="s">
        <v>30</v>
      </c>
    </row>
    <row r="18" customFormat="false" ht="15" hidden="false" customHeight="true" outlineLevel="0" collapsed="false">
      <c r="B18" s="56" t="s">
        <v>213</v>
      </c>
      <c r="C18" s="55"/>
      <c r="D18" s="55"/>
      <c r="E18" s="55"/>
      <c r="F18" s="55"/>
      <c r="G18" s="55"/>
      <c r="H18" s="55"/>
    </row>
    <row r="19" customFormat="false" ht="14.25" hidden="false" customHeight="true" outlineLevel="0" collapsed="false">
      <c r="B19" s="55" t="s">
        <v>33</v>
      </c>
      <c r="C19" s="55"/>
      <c r="D19" s="55"/>
      <c r="E19" s="55"/>
      <c r="F19" s="55"/>
      <c r="G19" s="55"/>
      <c r="H19" s="55"/>
    </row>
    <row r="20" customFormat="false" ht="15" hidden="false" customHeight="true" outlineLevel="0" collapsed="false">
      <c r="B20" s="56" t="s">
        <v>118</v>
      </c>
      <c r="C20" s="55"/>
      <c r="D20" s="55"/>
      <c r="E20" s="55"/>
      <c r="F20" s="55"/>
      <c r="G20" s="55"/>
      <c r="H20" s="55"/>
    </row>
    <row r="21" customFormat="false" ht="15" hidden="false" customHeight="true" outlineLevel="0" collapsed="false">
      <c r="B21" s="52"/>
    </row>
    <row r="22" customFormat="false" ht="14.25" hidden="false" customHeight="true" outlineLevel="0" collapsed="false">
      <c r="B22" s="64"/>
      <c r="C22" s="1" t="s">
        <v>217</v>
      </c>
    </row>
    <row r="23" customFormat="false" ht="14.25" hidden="false" customHeight="true" outlineLevel="0" collapsed="false">
      <c r="B23" s="65"/>
      <c r="C23" s="1" t="s">
        <v>218</v>
      </c>
    </row>
    <row r="24" customFormat="false" ht="14.25" hidden="false" customHeight="true" outlineLevel="0" collapsed="false">
      <c r="B24" s="66"/>
      <c r="C24" s="1" t="s">
        <v>219</v>
      </c>
      <c r="D24" s="67"/>
      <c r="E24" s="1" t="s">
        <v>220</v>
      </c>
    </row>
    <row r="25" customFormat="false" ht="14.25" hidden="false" customHeight="true" outlineLevel="0" collapsed="false">
      <c r="B25" s="53"/>
      <c r="C25" s="1" t="s">
        <v>221</v>
      </c>
    </row>
    <row r="26" customFormat="false" ht="14.25" hidden="false" customHeight="true" outlineLevel="0" collapsed="false">
      <c r="C26" s="1" t="s">
        <v>222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9:F39 A1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1.5"/>
    <col collapsed="false" customWidth="true" hidden="false" outlineLevel="0" max="4" min="4" style="1" width="18.75"/>
    <col collapsed="false" customWidth="true" hidden="false" outlineLevel="0" max="5" min="5" style="1" width="11.25"/>
    <col collapsed="false" customWidth="true" hidden="false" outlineLevel="0" max="6" min="6" style="1" width="9.88"/>
    <col collapsed="false" customWidth="true" hidden="false" outlineLevel="0" max="7" min="7" style="1" width="21.75"/>
    <col collapsed="false" customWidth="true" hidden="false" outlineLevel="0" max="9" min="8" style="1" width="12.5"/>
    <col collapsed="false" customWidth="true" hidden="false" outlineLevel="0" max="10" min="10" style="1" width="9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55" t="s">
        <v>212</v>
      </c>
      <c r="C2" s="68" t="s">
        <v>223</v>
      </c>
      <c r="D2" s="55" t="s">
        <v>224</v>
      </c>
      <c r="E2" s="55" t="s">
        <v>225</v>
      </c>
      <c r="F2" s="68" t="s">
        <v>226</v>
      </c>
      <c r="G2" s="69" t="s">
        <v>227</v>
      </c>
      <c r="H2" s="55" t="s">
        <v>228</v>
      </c>
      <c r="I2" s="55" t="s">
        <v>229</v>
      </c>
      <c r="J2" s="55" t="s">
        <v>230</v>
      </c>
    </row>
    <row r="3" customFormat="false" ht="15" hidden="false" customHeight="true" outlineLevel="0" collapsed="false">
      <c r="B3" s="56" t="s">
        <v>213</v>
      </c>
      <c r="C3" s="70"/>
      <c r="D3" s="70"/>
      <c r="E3" s="70"/>
      <c r="F3" s="70"/>
      <c r="G3" s="71"/>
      <c r="H3" s="70"/>
      <c r="I3" s="70"/>
      <c r="J3" s="70"/>
      <c r="L3" s="1" t="s">
        <v>231</v>
      </c>
      <c r="M3" s="1" t="s">
        <v>232</v>
      </c>
    </row>
    <row r="4" customFormat="false" ht="14.25" hidden="false" customHeight="true" outlineLevel="0" collapsed="false">
      <c r="B4" s="55" t="s">
        <v>33</v>
      </c>
      <c r="C4" s="55"/>
      <c r="D4" s="55"/>
      <c r="E4" s="55"/>
      <c r="F4" s="55"/>
      <c r="G4" s="69"/>
      <c r="H4" s="55"/>
      <c r="I4" s="55"/>
      <c r="J4" s="55"/>
      <c r="K4" s="1" t="n">
        <v>1</v>
      </c>
      <c r="L4" s="1" t="s">
        <v>164</v>
      </c>
      <c r="M4" s="1" t="s">
        <v>233</v>
      </c>
      <c r="N4" s="1" t="n">
        <v>1</v>
      </c>
    </row>
    <row r="5" customFormat="false" ht="15" hidden="false" customHeight="true" outlineLevel="0" collapsed="false">
      <c r="B5" s="56" t="s">
        <v>118</v>
      </c>
      <c r="C5" s="70"/>
      <c r="D5" s="70"/>
      <c r="E5" s="70"/>
      <c r="F5" s="70"/>
      <c r="G5" s="71"/>
      <c r="H5" s="70"/>
      <c r="I5" s="70"/>
      <c r="J5" s="70"/>
      <c r="K5" s="1" t="n">
        <v>2</v>
      </c>
      <c r="L5" s="1" t="s">
        <v>234</v>
      </c>
      <c r="M5" s="1" t="s">
        <v>186</v>
      </c>
      <c r="N5" s="1" t="n">
        <v>2</v>
      </c>
    </row>
    <row r="6" customFormat="false" ht="14.25" hidden="false" customHeight="true" outlineLevel="0" collapsed="false">
      <c r="M6" s="1" t="s">
        <v>193</v>
      </c>
      <c r="N6" s="1" t="n">
        <v>3</v>
      </c>
    </row>
    <row r="7" customFormat="false" ht="14.25" hidden="false" customHeight="true" outlineLevel="0" collapsed="false">
      <c r="B7" s="55" t="s">
        <v>214</v>
      </c>
      <c r="C7" s="68" t="s">
        <v>223</v>
      </c>
      <c r="D7" s="55" t="s">
        <v>224</v>
      </c>
      <c r="E7" s="55" t="s">
        <v>225</v>
      </c>
      <c r="F7" s="68" t="s">
        <v>226</v>
      </c>
      <c r="G7" s="69" t="s">
        <v>227</v>
      </c>
      <c r="H7" s="55" t="s">
        <v>228</v>
      </c>
      <c r="I7" s="55" t="s">
        <v>229</v>
      </c>
      <c r="J7" s="55" t="s">
        <v>230</v>
      </c>
      <c r="M7" s="1" t="s">
        <v>199</v>
      </c>
      <c r="N7" s="1" t="n">
        <v>4</v>
      </c>
    </row>
    <row r="8" customFormat="false" ht="15" hidden="false" customHeight="true" outlineLevel="0" collapsed="false">
      <c r="B8" s="56" t="s">
        <v>213</v>
      </c>
      <c r="C8" s="70"/>
      <c r="D8" s="70"/>
      <c r="E8" s="70"/>
      <c r="F8" s="70"/>
      <c r="G8" s="71"/>
      <c r="H8" s="70"/>
      <c r="I8" s="70"/>
      <c r="J8" s="70"/>
    </row>
    <row r="9" customFormat="false" ht="14.25" hidden="false" customHeight="true" outlineLevel="0" collapsed="false">
      <c r="B9" s="55" t="s">
        <v>33</v>
      </c>
      <c r="C9" s="55"/>
      <c r="D9" s="55"/>
      <c r="E9" s="55"/>
      <c r="F9" s="55"/>
      <c r="G9" s="69"/>
      <c r="H9" s="55"/>
      <c r="I9" s="55"/>
      <c r="J9" s="55"/>
    </row>
    <row r="10" customFormat="false" ht="15" hidden="false" customHeight="true" outlineLevel="0" collapsed="false">
      <c r="B10" s="56" t="s">
        <v>118</v>
      </c>
      <c r="C10" s="70"/>
      <c r="D10" s="70"/>
      <c r="E10" s="70"/>
      <c r="F10" s="70"/>
      <c r="G10" s="71"/>
      <c r="H10" s="70"/>
      <c r="I10" s="70"/>
      <c r="J10" s="70"/>
    </row>
    <row r="11" customFormat="false" ht="14.25" hidden="false" customHeight="true" outlineLevel="0" collapsed="false"/>
    <row r="12" customFormat="false" ht="14.25" hidden="false" customHeight="true" outlineLevel="0" collapsed="false">
      <c r="B12" s="55" t="s">
        <v>215</v>
      </c>
      <c r="C12" s="68" t="s">
        <v>223</v>
      </c>
      <c r="D12" s="55" t="s">
        <v>224</v>
      </c>
      <c r="E12" s="55" t="s">
        <v>225</v>
      </c>
      <c r="F12" s="68" t="s">
        <v>226</v>
      </c>
      <c r="G12" s="69" t="s">
        <v>227</v>
      </c>
      <c r="H12" s="55" t="s">
        <v>228</v>
      </c>
      <c r="I12" s="55" t="s">
        <v>229</v>
      </c>
      <c r="J12" s="55" t="s">
        <v>230</v>
      </c>
    </row>
    <row r="13" customFormat="false" ht="15" hidden="false" customHeight="true" outlineLevel="0" collapsed="false">
      <c r="B13" s="56" t="s">
        <v>213</v>
      </c>
      <c r="C13" s="70"/>
      <c r="D13" s="70"/>
      <c r="E13" s="70"/>
      <c r="F13" s="70"/>
      <c r="G13" s="71"/>
      <c r="H13" s="70"/>
      <c r="I13" s="70"/>
      <c r="J13" s="70"/>
    </row>
    <row r="14" customFormat="false" ht="14.25" hidden="false" customHeight="true" outlineLevel="0" collapsed="false">
      <c r="B14" s="55" t="s">
        <v>33</v>
      </c>
      <c r="C14" s="55"/>
      <c r="D14" s="55"/>
      <c r="E14" s="55"/>
      <c r="F14" s="55"/>
      <c r="G14" s="69"/>
      <c r="H14" s="55"/>
      <c r="I14" s="55"/>
      <c r="J14" s="55"/>
    </row>
    <row r="15" customFormat="false" ht="15" hidden="false" customHeight="true" outlineLevel="0" collapsed="false">
      <c r="B15" s="56" t="s">
        <v>118</v>
      </c>
      <c r="C15" s="70"/>
      <c r="D15" s="70"/>
      <c r="E15" s="70"/>
      <c r="F15" s="70"/>
      <c r="G15" s="71"/>
      <c r="H15" s="70"/>
      <c r="I15" s="70"/>
      <c r="J15" s="70"/>
    </row>
    <row r="16" customFormat="false" ht="15" hidden="false" customHeight="true" outlineLevel="0" collapsed="false">
      <c r="B16" s="52"/>
    </row>
    <row r="17" customFormat="false" ht="14.25" hidden="false" customHeight="true" outlineLevel="0" collapsed="false">
      <c r="B17" s="55" t="s">
        <v>216</v>
      </c>
      <c r="C17" s="68" t="s">
        <v>223</v>
      </c>
      <c r="D17" s="55" t="s">
        <v>224</v>
      </c>
      <c r="E17" s="55" t="s">
        <v>225</v>
      </c>
      <c r="F17" s="68" t="s">
        <v>226</v>
      </c>
      <c r="G17" s="69" t="s">
        <v>227</v>
      </c>
      <c r="H17" s="55" t="s">
        <v>228</v>
      </c>
      <c r="I17" s="55" t="s">
        <v>229</v>
      </c>
      <c r="J17" s="55" t="s">
        <v>230</v>
      </c>
    </row>
    <row r="18" customFormat="false" ht="15" hidden="false" customHeight="true" outlineLevel="0" collapsed="false">
      <c r="B18" s="56" t="s">
        <v>213</v>
      </c>
      <c r="C18" s="70"/>
      <c r="D18" s="70"/>
      <c r="E18" s="70"/>
      <c r="F18" s="70"/>
      <c r="G18" s="71"/>
      <c r="H18" s="70"/>
      <c r="I18" s="70"/>
      <c r="J18" s="70"/>
    </row>
    <row r="19" customFormat="false" ht="14.25" hidden="false" customHeight="true" outlineLevel="0" collapsed="false">
      <c r="B19" s="55" t="s">
        <v>33</v>
      </c>
      <c r="C19" s="55"/>
      <c r="D19" s="55"/>
      <c r="E19" s="55"/>
      <c r="F19" s="55"/>
      <c r="G19" s="69"/>
      <c r="H19" s="55"/>
      <c r="I19" s="55"/>
      <c r="J19" s="55"/>
    </row>
    <row r="20" customFormat="false" ht="15" hidden="false" customHeight="true" outlineLevel="0" collapsed="false">
      <c r="B20" s="56" t="s">
        <v>118</v>
      </c>
      <c r="C20" s="70"/>
      <c r="D20" s="70"/>
      <c r="E20" s="70"/>
      <c r="F20" s="70"/>
      <c r="G20" s="71"/>
      <c r="H20" s="70"/>
      <c r="I20" s="70"/>
      <c r="J20" s="70"/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>
      <c r="C23" s="1" t="s">
        <v>235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D89"/>
  <sheetViews>
    <sheetView showFormulas="false" showGridLines="tru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G85" activeCellId="1" sqref="B39:F39 G85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46.5"/>
    <col collapsed="false" customWidth="true" hidden="false" outlineLevel="0" max="2" min="2" style="1" width="27.63"/>
    <col collapsed="false" customWidth="true" hidden="false" outlineLevel="0" max="3" min="3" style="1" width="16.76"/>
    <col collapsed="false" customWidth="true" hidden="false" outlineLevel="0" max="4" min="4" style="1" width="11.75"/>
    <col collapsed="false" customWidth="true" hidden="false" outlineLevel="0" max="5" min="5" style="1" width="33.2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false" outlineLevel="0" max="9" min="9" style="1" width="19.63"/>
    <col collapsed="false" customWidth="true" hidden="false" outlineLevel="0" max="10" min="10" style="1" width="18.88"/>
    <col collapsed="false" customWidth="true" hidden="false" outlineLevel="0" max="11" min="11" style="1" width="16.76"/>
    <col collapsed="false" customWidth="true" hidden="false" outlineLevel="0" max="18" min="12" style="1" width="9"/>
    <col collapsed="false" customWidth="true" hidden="false" outlineLevel="0" max="19" min="19" style="1" width="11"/>
    <col collapsed="false" customWidth="true" hidden="false" outlineLevel="0" max="20" min="20" style="1" width="9"/>
  </cols>
  <sheetData>
    <row r="1" customFormat="false" ht="21" hidden="false" customHeight="true" outlineLevel="0" collapsed="false">
      <c r="A1" s="72" t="s">
        <v>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customFormat="false" ht="23.25" hidden="false" customHeight="true" outlineLevel="0" collapsed="false">
      <c r="A2" s="73" t="s">
        <v>236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customFormat="false" ht="15.75" hidden="false" customHeight="true" outlineLevel="0" collapsed="false">
      <c r="A3" s="74"/>
      <c r="B3" s="75" t="s">
        <v>237</v>
      </c>
    </row>
    <row r="4" customFormat="false" ht="14.25" hidden="false" customHeight="true" outlineLevel="0" collapsed="false">
      <c r="A4" s="76" t="s">
        <v>5</v>
      </c>
      <c r="B4" s="77" t="s">
        <v>238</v>
      </c>
      <c r="C4" s="77" t="s">
        <v>239</v>
      </c>
      <c r="D4" s="77" t="s">
        <v>240</v>
      </c>
      <c r="E4" s="77" t="s">
        <v>241</v>
      </c>
      <c r="F4" s="77" t="s">
        <v>242</v>
      </c>
      <c r="G4" s="77" t="s">
        <v>243</v>
      </c>
      <c r="H4" s="77" t="s">
        <v>244</v>
      </c>
      <c r="I4" s="77" t="s">
        <v>245</v>
      </c>
      <c r="J4" s="77" t="s">
        <v>246</v>
      </c>
      <c r="K4" s="77" t="s">
        <v>247</v>
      </c>
      <c r="L4" s="77" t="s">
        <v>248</v>
      </c>
      <c r="M4" s="77" t="s">
        <v>249</v>
      </c>
      <c r="N4" s="77" t="s">
        <v>250</v>
      </c>
    </row>
    <row r="5" customFormat="false" ht="14.25" hidden="false" customHeight="true" outlineLevel="0" collapsed="false">
      <c r="A5" s="76" t="n">
        <v>20</v>
      </c>
      <c r="B5" s="78" t="n">
        <v>12817</v>
      </c>
      <c r="C5" s="78" t="s">
        <v>251</v>
      </c>
      <c r="D5" s="79" t="n">
        <v>0</v>
      </c>
      <c r="E5" s="78" t="s">
        <v>252</v>
      </c>
      <c r="F5" s="78" t="s">
        <v>253</v>
      </c>
      <c r="G5" s="78" t="n">
        <v>0.82388</v>
      </c>
      <c r="H5" s="78" t="n">
        <v>20.02</v>
      </c>
      <c r="I5" s="78" t="n">
        <v>2.353</v>
      </c>
      <c r="J5" s="78" t="n">
        <v>2.856</v>
      </c>
      <c r="K5" s="78" t="n">
        <v>20</v>
      </c>
      <c r="L5" s="78" t="n">
        <v>0.02</v>
      </c>
      <c r="M5" s="78" t="n">
        <v>0.12</v>
      </c>
      <c r="N5" s="78" t="s">
        <v>254</v>
      </c>
    </row>
    <row r="6" customFormat="false" ht="14.25" hidden="false" customHeight="true" outlineLevel="0" collapsed="false">
      <c r="A6" s="76" t="n">
        <v>30</v>
      </c>
      <c r="B6" s="78" t="n">
        <v>12818</v>
      </c>
      <c r="C6" s="78" t="s">
        <v>251</v>
      </c>
      <c r="D6" s="79" t="n">
        <v>0.419097222222222</v>
      </c>
      <c r="E6" s="78" t="s">
        <v>252</v>
      </c>
      <c r="F6" s="78" t="s">
        <v>253</v>
      </c>
      <c r="G6" s="78" t="n">
        <v>0.81447</v>
      </c>
      <c r="H6" s="78" t="n">
        <v>29.98</v>
      </c>
      <c r="I6" s="78" t="n">
        <v>1.682</v>
      </c>
      <c r="J6" s="78" t="n">
        <v>2.065</v>
      </c>
      <c r="K6" s="78" t="n">
        <v>30</v>
      </c>
      <c r="L6" s="78" t="n">
        <v>0.02</v>
      </c>
      <c r="M6" s="78" t="n">
        <v>0.74</v>
      </c>
      <c r="N6" s="78" t="s">
        <v>254</v>
      </c>
    </row>
    <row r="7" customFormat="false" ht="14.25" hidden="false" customHeight="true" outlineLevel="0" collapsed="false">
      <c r="A7" s="76" t="n">
        <v>40</v>
      </c>
      <c r="B7" s="78" t="n">
        <v>12819</v>
      </c>
      <c r="C7" s="78" t="s">
        <v>251</v>
      </c>
      <c r="D7" s="79" t="n">
        <v>0.424259259259259</v>
      </c>
      <c r="E7" s="78" t="s">
        <v>252</v>
      </c>
      <c r="F7" s="78" t="s">
        <v>253</v>
      </c>
      <c r="G7" s="78" t="n">
        <v>0.8047</v>
      </c>
      <c r="H7" s="78" t="n">
        <v>39.97</v>
      </c>
      <c r="I7" s="78" t="n">
        <v>1.247</v>
      </c>
      <c r="J7" s="78" t="n">
        <v>1.549</v>
      </c>
      <c r="K7" s="78" t="n">
        <v>40</v>
      </c>
      <c r="L7" s="78" t="n">
        <v>0.08</v>
      </c>
      <c r="M7" s="78" t="n">
        <v>0.83</v>
      </c>
      <c r="N7" s="78" t="s">
        <v>254</v>
      </c>
    </row>
    <row r="8" customFormat="false" ht="14.25" hidden="false" customHeight="true" outlineLevel="0" collapsed="false">
      <c r="A8" s="76" t="n">
        <v>50</v>
      </c>
      <c r="B8" s="78" t="n">
        <v>12820</v>
      </c>
      <c r="C8" s="78" t="s">
        <v>251</v>
      </c>
      <c r="D8" s="79" t="n">
        <v>0.431354166666667</v>
      </c>
      <c r="E8" s="78" t="s">
        <v>252</v>
      </c>
      <c r="F8" s="78" t="s">
        <v>253</v>
      </c>
      <c r="G8" s="78" t="n">
        <v>0.79458</v>
      </c>
      <c r="H8" s="78" t="n">
        <v>49.97</v>
      </c>
      <c r="I8" s="78" t="n">
        <v>0.964</v>
      </c>
      <c r="J8" s="78" t="n">
        <v>1.214</v>
      </c>
      <c r="K8" s="78" t="n">
        <v>50</v>
      </c>
      <c r="L8" s="78" t="n">
        <v>0.04</v>
      </c>
      <c r="M8" s="78" t="n">
        <v>1</v>
      </c>
      <c r="N8" s="78" t="s">
        <v>254</v>
      </c>
    </row>
    <row r="9" customFormat="false" ht="14.25" hidden="false" customHeight="true" outlineLevel="0" collapsed="false">
      <c r="A9" s="76" t="n">
        <v>60</v>
      </c>
      <c r="B9" s="78" t="n">
        <v>12821</v>
      </c>
      <c r="C9" s="78" t="s">
        <v>251</v>
      </c>
      <c r="D9" s="79" t="n">
        <v>0.441793981481482</v>
      </c>
      <c r="E9" s="78" t="s">
        <v>252</v>
      </c>
      <c r="F9" s="78" t="s">
        <v>253</v>
      </c>
      <c r="G9" s="78" t="n">
        <v>0.7841</v>
      </c>
      <c r="H9" s="78" t="n">
        <v>59.98</v>
      </c>
      <c r="I9" s="78" t="n">
        <v>0.757</v>
      </c>
      <c r="J9" s="78" t="n">
        <v>0.965</v>
      </c>
      <c r="K9" s="78" t="n">
        <v>60</v>
      </c>
      <c r="L9" s="78" t="n">
        <v>0.05</v>
      </c>
      <c r="M9" s="78" t="n">
        <v>0.17</v>
      </c>
      <c r="N9" s="78" t="s">
        <v>254</v>
      </c>
    </row>
    <row r="10" customFormat="false" ht="14.25" hidden="false" customHeight="true" outlineLevel="0" collapsed="false">
      <c r="I10" s="1" t="n">
        <f aca="false">(I6-I5) / 10</f>
        <v>-0.0671</v>
      </c>
    </row>
    <row r="11" customFormat="false" ht="21" hidden="false" customHeight="true" outlineLevel="0" collapsed="false">
      <c r="A11" s="72" t="s">
        <v>18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</row>
    <row r="12" customFormat="false" ht="23.25" hidden="false" customHeight="true" outlineLevel="0" collapsed="false">
      <c r="A12" s="73" t="s">
        <v>236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</row>
    <row r="13" customFormat="false" ht="15.75" hidden="false" customHeight="true" outlineLevel="0" collapsed="false">
      <c r="A13" s="74"/>
      <c r="B13" s="75" t="s">
        <v>237</v>
      </c>
    </row>
    <row r="14" customFormat="false" ht="14.25" hidden="false" customHeight="true" outlineLevel="0" collapsed="false">
      <c r="A14" s="76" t="s">
        <v>5</v>
      </c>
      <c r="B14" s="77" t="s">
        <v>238</v>
      </c>
      <c r="C14" s="77" t="s">
        <v>239</v>
      </c>
      <c r="D14" s="77" t="s">
        <v>240</v>
      </c>
      <c r="E14" s="77" t="s">
        <v>241</v>
      </c>
      <c r="F14" s="77" t="s">
        <v>242</v>
      </c>
      <c r="G14" s="77" t="s">
        <v>243</v>
      </c>
      <c r="H14" s="77" t="s">
        <v>244</v>
      </c>
      <c r="I14" s="77" t="s">
        <v>245</v>
      </c>
      <c r="J14" s="77" t="s">
        <v>246</v>
      </c>
      <c r="K14" s="77" t="s">
        <v>247</v>
      </c>
      <c r="L14" s="77" t="s">
        <v>248</v>
      </c>
      <c r="M14" s="77" t="s">
        <v>249</v>
      </c>
      <c r="N14" s="77" t="s">
        <v>250</v>
      </c>
    </row>
    <row r="15" customFormat="false" ht="14.25" hidden="false" customHeight="true" outlineLevel="0" collapsed="false">
      <c r="A15" s="76" t="n">
        <v>20</v>
      </c>
      <c r="B15" s="78" t="n">
        <v>12797</v>
      </c>
      <c r="C15" s="78" t="s">
        <v>255</v>
      </c>
      <c r="D15" s="79" t="n">
        <v>0.785011574074074</v>
      </c>
      <c r="E15" s="78" t="s">
        <v>256</v>
      </c>
      <c r="F15" s="78" t="s">
        <v>253</v>
      </c>
      <c r="G15" s="78" t="n">
        <v>0.80899</v>
      </c>
      <c r="H15" s="78" t="n">
        <v>20.06</v>
      </c>
      <c r="I15" s="78" t="n">
        <v>4.244</v>
      </c>
      <c r="J15" s="78" t="n">
        <v>5.245</v>
      </c>
      <c r="K15" s="78" t="n">
        <v>20</v>
      </c>
      <c r="L15" s="78" t="n">
        <v>0.06</v>
      </c>
      <c r="M15" s="78" t="n">
        <v>0.22</v>
      </c>
      <c r="N15" s="78" t="s">
        <v>254</v>
      </c>
    </row>
    <row r="16" customFormat="false" ht="14.25" hidden="false" customHeight="true" outlineLevel="0" collapsed="false">
      <c r="A16" s="76" t="n">
        <v>30</v>
      </c>
      <c r="B16" s="78" t="n">
        <v>12798</v>
      </c>
      <c r="C16" s="78" t="s">
        <v>255</v>
      </c>
      <c r="D16" s="79" t="n">
        <v>0.791828703703704</v>
      </c>
      <c r="E16" s="78" t="s">
        <v>256</v>
      </c>
      <c r="F16" s="78" t="s">
        <v>253</v>
      </c>
      <c r="G16" s="78" t="n">
        <v>0.79979</v>
      </c>
      <c r="H16" s="78" t="n">
        <v>29.97</v>
      </c>
      <c r="I16" s="78" t="n">
        <v>2.776</v>
      </c>
      <c r="J16" s="78" t="n">
        <v>3.471</v>
      </c>
      <c r="K16" s="78" t="n">
        <v>30</v>
      </c>
      <c r="L16" s="78" t="n">
        <v>0.06</v>
      </c>
      <c r="M16" s="78" t="n">
        <v>0.88</v>
      </c>
      <c r="N16" s="78" t="s">
        <v>254</v>
      </c>
    </row>
    <row r="17" customFormat="false" ht="14.25" hidden="false" customHeight="true" outlineLevel="0" collapsed="false">
      <c r="A17" s="76" t="n">
        <v>40</v>
      </c>
      <c r="B17" s="78" t="n">
        <v>12799</v>
      </c>
      <c r="C17" s="78" t="s">
        <v>255</v>
      </c>
      <c r="D17" s="79" t="n">
        <v>0.799247685185185</v>
      </c>
      <c r="E17" s="78" t="s">
        <v>256</v>
      </c>
      <c r="F17" s="78" t="s">
        <v>253</v>
      </c>
      <c r="G17" s="78" t="n">
        <v>0.79035</v>
      </c>
      <c r="H17" s="78" t="n">
        <v>39.97</v>
      </c>
      <c r="I17" s="78" t="n">
        <v>1.918</v>
      </c>
      <c r="J17" s="78" t="n">
        <v>2.427</v>
      </c>
      <c r="K17" s="78" t="n">
        <v>40</v>
      </c>
      <c r="L17" s="78" t="n">
        <v>0.08</v>
      </c>
      <c r="M17" s="78" t="n">
        <v>0.94</v>
      </c>
      <c r="N17" s="78" t="s">
        <v>254</v>
      </c>
    </row>
    <row r="18" customFormat="false" ht="14.25" hidden="false" customHeight="true" outlineLevel="0" collapsed="false">
      <c r="A18" s="76" t="n">
        <v>50</v>
      </c>
      <c r="B18" s="78" t="n">
        <v>12800</v>
      </c>
      <c r="C18" s="78" t="s">
        <v>255</v>
      </c>
      <c r="D18" s="79" t="n">
        <v>0.809351851851852</v>
      </c>
      <c r="E18" s="78" t="s">
        <v>256</v>
      </c>
      <c r="F18" s="78" t="s">
        <v>253</v>
      </c>
      <c r="G18" s="78" t="n">
        <v>0.7806</v>
      </c>
      <c r="H18" s="78" t="n">
        <v>49.98</v>
      </c>
      <c r="I18" s="78" t="n">
        <v>1.397</v>
      </c>
      <c r="J18" s="78" t="n">
        <v>1.789</v>
      </c>
      <c r="K18" s="78" t="n">
        <v>50</v>
      </c>
      <c r="L18" s="78" t="n">
        <v>0.12</v>
      </c>
      <c r="M18" s="78" t="n">
        <v>1.12</v>
      </c>
      <c r="N18" s="78" t="s">
        <v>254</v>
      </c>
    </row>
    <row r="19" customFormat="false" ht="14.25" hidden="false" customHeight="true" outlineLevel="0" collapsed="false">
      <c r="A19" s="76" t="n">
        <v>60</v>
      </c>
      <c r="B19" s="78" t="n">
        <v>12802</v>
      </c>
      <c r="C19" s="78" t="s">
        <v>255</v>
      </c>
      <c r="D19" s="79" t="n">
        <v>0.830185185185185</v>
      </c>
      <c r="E19" s="78" t="s">
        <v>256</v>
      </c>
      <c r="F19" s="78" t="s">
        <v>253</v>
      </c>
      <c r="G19" s="78" t="n">
        <v>0.77049</v>
      </c>
      <c r="H19" s="78" t="n">
        <v>59.98</v>
      </c>
      <c r="I19" s="78" t="n">
        <v>1.036</v>
      </c>
      <c r="J19" s="78" t="n">
        <v>1.345</v>
      </c>
      <c r="K19" s="78" t="n">
        <v>60</v>
      </c>
      <c r="L19" s="78" t="n">
        <v>0</v>
      </c>
      <c r="M19" s="78" t="n">
        <v>0.61</v>
      </c>
      <c r="N19" s="78" t="s">
        <v>254</v>
      </c>
    </row>
    <row r="20" customFormat="false" ht="14.25" hidden="false" customHeight="true" outlineLevel="0" collapsed="false"/>
    <row r="21" customFormat="false" ht="21" hidden="false" customHeight="true" outlineLevel="0" collapsed="false">
      <c r="A21" s="72" t="s">
        <v>21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</row>
    <row r="22" customFormat="false" ht="23.25" hidden="false" customHeight="true" outlineLevel="0" collapsed="false">
      <c r="A22" s="73" t="s">
        <v>236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</row>
    <row r="23" customFormat="false" ht="15.75" hidden="false" customHeight="true" outlineLevel="0" collapsed="false">
      <c r="A23" s="74"/>
      <c r="B23" s="75" t="s">
        <v>237</v>
      </c>
    </row>
    <row r="24" customFormat="false" ht="14.25" hidden="false" customHeight="true" outlineLevel="0" collapsed="false">
      <c r="A24" s="76" t="s">
        <v>5</v>
      </c>
      <c r="B24" s="77" t="s">
        <v>238</v>
      </c>
      <c r="C24" s="77" t="s">
        <v>239</v>
      </c>
      <c r="D24" s="77" t="s">
        <v>240</v>
      </c>
      <c r="E24" s="77" t="s">
        <v>241</v>
      </c>
      <c r="F24" s="77" t="s">
        <v>242</v>
      </c>
      <c r="G24" s="77" t="s">
        <v>243</v>
      </c>
      <c r="H24" s="77" t="s">
        <v>244</v>
      </c>
      <c r="I24" s="77" t="s">
        <v>245</v>
      </c>
      <c r="J24" s="77" t="s">
        <v>246</v>
      </c>
      <c r="K24" s="77" t="s">
        <v>247</v>
      </c>
      <c r="L24" s="77" t="s">
        <v>248</v>
      </c>
      <c r="M24" s="77" t="s">
        <v>249</v>
      </c>
      <c r="N24" s="77" t="s">
        <v>250</v>
      </c>
    </row>
    <row r="25" customFormat="false" ht="14.25" hidden="false" customHeight="true" outlineLevel="0" collapsed="false">
      <c r="A25" s="76" t="n">
        <v>20</v>
      </c>
      <c r="B25" s="78" t="n">
        <v>12811</v>
      </c>
      <c r="C25" s="78" t="s">
        <v>251</v>
      </c>
      <c r="D25" s="79" t="n">
        <v>0.332997685185185</v>
      </c>
      <c r="E25" s="78" t="s">
        <v>257</v>
      </c>
      <c r="F25" s="78" t="s">
        <v>253</v>
      </c>
      <c r="G25" s="78" t="n">
        <v>0.81883</v>
      </c>
      <c r="H25" s="78" t="n">
        <v>19.98</v>
      </c>
      <c r="I25" s="78" t="n">
        <v>5.278</v>
      </c>
      <c r="J25" s="78" t="n">
        <v>6.446</v>
      </c>
      <c r="K25" s="78" t="n">
        <v>20</v>
      </c>
      <c r="L25" s="78" t="n">
        <v>0.04</v>
      </c>
      <c r="M25" s="78" t="n">
        <v>0.35</v>
      </c>
      <c r="N25" s="78" t="s">
        <v>254</v>
      </c>
    </row>
    <row r="26" customFormat="false" ht="14.25" hidden="false" customHeight="true" outlineLevel="0" collapsed="false">
      <c r="A26" s="76" t="n">
        <v>30</v>
      </c>
      <c r="B26" s="78" t="n">
        <v>12812</v>
      </c>
      <c r="C26" s="78" t="s">
        <v>251</v>
      </c>
      <c r="D26" s="79" t="n">
        <v>0.339178240740741</v>
      </c>
      <c r="E26" s="78" t="s">
        <v>257</v>
      </c>
      <c r="F26" s="78" t="s">
        <v>253</v>
      </c>
      <c r="G26" s="78" t="n">
        <v>0.81174</v>
      </c>
      <c r="H26" s="78" t="n">
        <v>29.97</v>
      </c>
      <c r="I26" s="78" t="n">
        <v>3.881</v>
      </c>
      <c r="J26" s="78" t="n">
        <v>4.781</v>
      </c>
      <c r="K26" s="78" t="n">
        <v>30</v>
      </c>
      <c r="L26" s="78" t="n">
        <v>0</v>
      </c>
      <c r="M26" s="78" t="n">
        <v>0.84</v>
      </c>
      <c r="N26" s="78" t="s">
        <v>254</v>
      </c>
    </row>
    <row r="27" customFormat="false" ht="14.25" hidden="false" customHeight="true" outlineLevel="0" collapsed="false">
      <c r="A27" s="76" t="n">
        <v>40</v>
      </c>
      <c r="B27" s="78" t="n">
        <v>12813</v>
      </c>
      <c r="C27" s="78" t="s">
        <v>251</v>
      </c>
      <c r="D27" s="79" t="n">
        <v>0.346053240740741</v>
      </c>
      <c r="E27" s="78" t="s">
        <v>257</v>
      </c>
      <c r="F27" s="78" t="s">
        <v>253</v>
      </c>
      <c r="G27" s="78" t="n">
        <v>0.80455</v>
      </c>
      <c r="H27" s="78" t="n">
        <v>39.97</v>
      </c>
      <c r="I27" s="78" t="n">
        <v>2.919</v>
      </c>
      <c r="J27" s="78" t="n">
        <v>3.628</v>
      </c>
      <c r="K27" s="78" t="n">
        <v>40</v>
      </c>
      <c r="L27" s="78" t="n">
        <v>0.03</v>
      </c>
      <c r="M27" s="78" t="n">
        <v>0.86</v>
      </c>
      <c r="N27" s="78" t="s">
        <v>254</v>
      </c>
    </row>
    <row r="28" customFormat="false" ht="14.25" hidden="false" customHeight="true" outlineLevel="0" collapsed="false">
      <c r="A28" s="76" t="n">
        <v>50</v>
      </c>
      <c r="B28" s="78" t="n">
        <v>12814</v>
      </c>
      <c r="C28" s="78" t="s">
        <v>251</v>
      </c>
      <c r="D28" s="79" t="n">
        <v>0.356053240740741</v>
      </c>
      <c r="E28" s="78" t="s">
        <v>257</v>
      </c>
      <c r="F28" s="78" t="s">
        <v>253</v>
      </c>
      <c r="G28" s="78" t="n">
        <v>0.79722</v>
      </c>
      <c r="H28" s="78" t="n">
        <v>49.98</v>
      </c>
      <c r="I28" s="78" t="n">
        <v>2.24</v>
      </c>
      <c r="J28" s="78" t="n">
        <v>2.809</v>
      </c>
      <c r="K28" s="78" t="n">
        <v>50</v>
      </c>
      <c r="L28" s="78" t="n">
        <v>0.04</v>
      </c>
      <c r="M28" s="78" t="n">
        <v>0.65</v>
      </c>
      <c r="N28" s="78" t="s">
        <v>254</v>
      </c>
    </row>
    <row r="29" customFormat="false" ht="14.25" hidden="false" customHeight="true" outlineLevel="0" collapsed="false">
      <c r="A29" s="76" t="n">
        <v>60</v>
      </c>
      <c r="B29" s="78" t="n">
        <v>12815</v>
      </c>
      <c r="C29" s="78" t="s">
        <v>251</v>
      </c>
      <c r="D29" s="79" t="n">
        <v>0.366898148148148</v>
      </c>
      <c r="E29" s="78" t="s">
        <v>257</v>
      </c>
      <c r="F29" s="78" t="s">
        <v>253</v>
      </c>
      <c r="G29" s="78" t="n">
        <v>0.78971</v>
      </c>
      <c r="H29" s="78" t="n">
        <v>59.98</v>
      </c>
      <c r="I29" s="78" t="n">
        <v>1.75</v>
      </c>
      <c r="J29" s="78" t="n">
        <v>2.216</v>
      </c>
      <c r="K29" s="78" t="n">
        <v>60</v>
      </c>
      <c r="L29" s="78" t="n">
        <v>0.04</v>
      </c>
      <c r="M29" s="78" t="n">
        <v>0.76</v>
      </c>
      <c r="N29" s="78" t="s">
        <v>254</v>
      </c>
    </row>
    <row r="30" customFormat="false" ht="14.25" hidden="false" customHeight="true" outlineLevel="0" collapsed="false"/>
    <row r="31" customFormat="false" ht="21" hidden="false" customHeight="true" outlineLevel="0" collapsed="false">
      <c r="A31" s="72" t="s">
        <v>24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</row>
    <row r="32" customFormat="false" ht="23.25" hidden="false" customHeight="true" outlineLevel="0" collapsed="false">
      <c r="A32" s="73" t="s">
        <v>236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</row>
    <row r="33" customFormat="false" ht="15.75" hidden="false" customHeight="true" outlineLevel="0" collapsed="false">
      <c r="A33" s="74"/>
      <c r="B33" s="75" t="s">
        <v>237</v>
      </c>
    </row>
    <row r="34" customFormat="false" ht="14.25" hidden="false" customHeight="true" outlineLevel="0" collapsed="false">
      <c r="A34" s="76" t="s">
        <v>5</v>
      </c>
      <c r="B34" s="77" t="s">
        <v>238</v>
      </c>
      <c r="C34" s="77" t="s">
        <v>239</v>
      </c>
      <c r="D34" s="77" t="s">
        <v>240</v>
      </c>
      <c r="E34" s="77" t="s">
        <v>241</v>
      </c>
      <c r="F34" s="77" t="s">
        <v>242</v>
      </c>
      <c r="G34" s="77" t="s">
        <v>243</v>
      </c>
      <c r="H34" s="77" t="s">
        <v>244</v>
      </c>
      <c r="I34" s="77" t="s">
        <v>245</v>
      </c>
      <c r="J34" s="77" t="s">
        <v>246</v>
      </c>
      <c r="K34" s="77" t="s">
        <v>247</v>
      </c>
      <c r="L34" s="77" t="s">
        <v>248</v>
      </c>
      <c r="M34" s="77" t="s">
        <v>249</v>
      </c>
      <c r="N34" s="77" t="s">
        <v>250</v>
      </c>
    </row>
    <row r="35" customFormat="false" ht="14.25" hidden="false" customHeight="true" outlineLevel="0" collapsed="false">
      <c r="A35" s="76" t="n">
        <v>20</v>
      </c>
      <c r="B35" s="80" t="n">
        <v>12467</v>
      </c>
      <c r="C35" s="81" t="n">
        <v>45909</v>
      </c>
      <c r="D35" s="82" t="n">
        <v>0.515023148148148</v>
      </c>
      <c r="E35" s="80" t="s">
        <v>258</v>
      </c>
      <c r="F35" s="80" t="s">
        <v>253</v>
      </c>
      <c r="G35" s="80" t="n">
        <v>0.82518</v>
      </c>
      <c r="H35" s="80" t="n">
        <v>20.01</v>
      </c>
      <c r="I35" s="80" t="n">
        <v>8.801</v>
      </c>
      <c r="J35" s="80" t="n">
        <v>10.67</v>
      </c>
      <c r="K35" s="80" t="n">
        <v>20</v>
      </c>
      <c r="L35" s="80" t="n">
        <v>0.21</v>
      </c>
      <c r="M35" s="80" t="n">
        <v>0.36</v>
      </c>
      <c r="N35" s="80" t="s">
        <v>254</v>
      </c>
    </row>
    <row r="36" customFormat="false" ht="14.25" hidden="false" customHeight="true" outlineLevel="0" collapsed="false">
      <c r="A36" s="76" t="n">
        <v>30</v>
      </c>
      <c r="B36" s="80" t="n">
        <v>12468</v>
      </c>
      <c r="C36" s="81" t="n">
        <v>45909</v>
      </c>
      <c r="D36" s="82" t="n">
        <v>0.524421296296296</v>
      </c>
      <c r="E36" s="80" t="s">
        <v>258</v>
      </c>
      <c r="F36" s="80" t="s">
        <v>253</v>
      </c>
      <c r="G36" s="80" t="n">
        <v>0.81835</v>
      </c>
      <c r="H36" s="80" t="n">
        <v>29.98</v>
      </c>
      <c r="I36" s="80" t="n">
        <v>6.146</v>
      </c>
      <c r="J36" s="80" t="n">
        <v>7.51</v>
      </c>
      <c r="K36" s="80" t="n">
        <v>30</v>
      </c>
      <c r="L36" s="80" t="n">
        <v>0.34</v>
      </c>
      <c r="M36" s="80" t="n">
        <v>0.39</v>
      </c>
      <c r="N36" s="80" t="s">
        <v>254</v>
      </c>
    </row>
    <row r="37" customFormat="false" ht="14.25" hidden="false" customHeight="true" outlineLevel="0" collapsed="false">
      <c r="A37" s="76" t="n">
        <v>40</v>
      </c>
      <c r="B37" s="80" t="n">
        <v>12469</v>
      </c>
      <c r="C37" s="81" t="n">
        <v>45909</v>
      </c>
      <c r="D37" s="82" t="n">
        <v>0.534398148148148</v>
      </c>
      <c r="E37" s="80" t="s">
        <v>258</v>
      </c>
      <c r="F37" s="80" t="s">
        <v>253</v>
      </c>
      <c r="G37" s="80" t="n">
        <v>0.81141</v>
      </c>
      <c r="H37" s="80" t="n">
        <v>39.98</v>
      </c>
      <c r="I37" s="80" t="n">
        <v>4.454</v>
      </c>
      <c r="J37" s="80" t="n">
        <v>5.49</v>
      </c>
      <c r="K37" s="80" t="n">
        <v>40</v>
      </c>
      <c r="L37" s="80" t="n">
        <v>0.21</v>
      </c>
      <c r="M37" s="80" t="n">
        <v>0.46</v>
      </c>
      <c r="N37" s="80" t="s">
        <v>254</v>
      </c>
    </row>
    <row r="38" customFormat="false" ht="14.25" hidden="false" customHeight="true" outlineLevel="0" collapsed="false">
      <c r="A38" s="76" t="n">
        <v>50</v>
      </c>
      <c r="B38" s="80" t="n">
        <v>12472</v>
      </c>
      <c r="C38" s="81" t="n">
        <v>45909</v>
      </c>
      <c r="D38" s="82" t="n">
        <v>0.5875</v>
      </c>
      <c r="E38" s="80" t="s">
        <v>259</v>
      </c>
      <c r="F38" s="80" t="s">
        <v>253</v>
      </c>
      <c r="G38" s="80" t="n">
        <v>0.80433</v>
      </c>
      <c r="H38" s="80" t="n">
        <v>50.02</v>
      </c>
      <c r="I38" s="80" t="n">
        <v>3.292</v>
      </c>
      <c r="J38" s="80" t="n">
        <v>4.093</v>
      </c>
      <c r="K38" s="80" t="n">
        <v>50</v>
      </c>
      <c r="L38" s="80" t="n">
        <v>0.05</v>
      </c>
      <c r="M38" s="80" t="n">
        <v>1.5</v>
      </c>
      <c r="N38" s="80" t="s">
        <v>254</v>
      </c>
    </row>
    <row r="39" customFormat="false" ht="14.25" hidden="false" customHeight="true" outlineLevel="0" collapsed="false">
      <c r="A39" s="76" t="n">
        <v>60</v>
      </c>
      <c r="B39" s="80" t="n">
        <v>12471</v>
      </c>
      <c r="C39" s="81" t="n">
        <v>45909</v>
      </c>
      <c r="D39" s="82" t="n">
        <v>0.556319444444445</v>
      </c>
      <c r="E39" s="80" t="s">
        <v>258</v>
      </c>
      <c r="F39" s="80" t="s">
        <v>253</v>
      </c>
      <c r="G39" s="80" t="n">
        <v>0.79719</v>
      </c>
      <c r="H39" s="80" t="n">
        <v>59.98</v>
      </c>
      <c r="I39" s="80" t="n">
        <v>2.511</v>
      </c>
      <c r="J39" s="80" t="n">
        <v>3.149</v>
      </c>
      <c r="K39" s="80" t="n">
        <v>60</v>
      </c>
      <c r="L39" s="80" t="n">
        <v>0.05</v>
      </c>
      <c r="M39" s="80" t="n">
        <v>0.19</v>
      </c>
      <c r="N39" s="80" t="s">
        <v>254</v>
      </c>
    </row>
    <row r="40" customFormat="false" ht="14.25" hidden="false" customHeight="true" outlineLevel="0" collapsed="false">
      <c r="R40" s="80"/>
      <c r="S40" s="81"/>
      <c r="T40" s="82"/>
      <c r="U40" s="80"/>
      <c r="V40" s="80"/>
      <c r="W40" s="80"/>
      <c r="X40" s="80"/>
      <c r="Y40" s="80"/>
      <c r="Z40" s="80"/>
      <c r="AA40" s="80"/>
      <c r="AB40" s="80"/>
      <c r="AC40" s="80"/>
      <c r="AD40" s="80"/>
    </row>
    <row r="41" customFormat="false" ht="21" hidden="false" customHeight="true" outlineLevel="0" collapsed="false">
      <c r="A41" s="72" t="s">
        <v>150</v>
      </c>
      <c r="B41" s="72"/>
      <c r="C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R41" s="80"/>
      <c r="S41" s="81"/>
      <c r="T41" s="82"/>
      <c r="U41" s="80"/>
      <c r="V41" s="80"/>
      <c r="W41" s="80"/>
      <c r="X41" s="80"/>
      <c r="Y41" s="80"/>
      <c r="Z41" s="80"/>
      <c r="AA41" s="80"/>
      <c r="AB41" s="80"/>
      <c r="AC41" s="80"/>
      <c r="AD41" s="80"/>
    </row>
    <row r="42" customFormat="false" ht="23.25" hidden="false" customHeight="true" outlineLevel="0" collapsed="false">
      <c r="A42" s="73" t="s">
        <v>236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R42" s="80"/>
      <c r="S42" s="81"/>
      <c r="T42" s="82"/>
      <c r="U42" s="80"/>
      <c r="V42" s="80"/>
      <c r="W42" s="80"/>
      <c r="X42" s="80"/>
      <c r="Y42" s="80"/>
      <c r="Z42" s="80"/>
      <c r="AA42" s="80"/>
      <c r="AB42" s="80"/>
      <c r="AC42" s="80"/>
      <c r="AD42" s="80"/>
    </row>
    <row r="43" customFormat="false" ht="15.75" hidden="false" customHeight="true" outlineLevel="0" collapsed="false">
      <c r="A43" s="74"/>
      <c r="B43" s="75" t="s">
        <v>237</v>
      </c>
    </row>
    <row r="44" customFormat="false" ht="14.25" hidden="false" customHeight="true" outlineLevel="0" collapsed="false">
      <c r="A44" s="76" t="s">
        <v>5</v>
      </c>
      <c r="B44" s="77" t="s">
        <v>238</v>
      </c>
      <c r="C44" s="77" t="s">
        <v>239</v>
      </c>
      <c r="D44" s="77" t="s">
        <v>240</v>
      </c>
      <c r="E44" s="77" t="s">
        <v>241</v>
      </c>
      <c r="F44" s="77" t="s">
        <v>242</v>
      </c>
      <c r="G44" s="77" t="s">
        <v>243</v>
      </c>
      <c r="H44" s="77" t="s">
        <v>244</v>
      </c>
      <c r="I44" s="77" t="s">
        <v>245</v>
      </c>
      <c r="J44" s="77" t="s">
        <v>246</v>
      </c>
      <c r="K44" s="77" t="s">
        <v>247</v>
      </c>
      <c r="L44" s="77" t="s">
        <v>248</v>
      </c>
      <c r="M44" s="77" t="s">
        <v>249</v>
      </c>
      <c r="N44" s="77" t="s">
        <v>250</v>
      </c>
    </row>
    <row r="45" customFormat="false" ht="14.25" hidden="false" customHeight="true" outlineLevel="0" collapsed="false">
      <c r="A45" s="76" t="n">
        <v>20</v>
      </c>
      <c r="B45" s="1" t="s">
        <v>260</v>
      </c>
      <c r="C45" s="83" t="n">
        <v>45897.7339930556</v>
      </c>
      <c r="D45" s="84" t="n">
        <v>45897.7339930556</v>
      </c>
      <c r="E45" s="1" t="s">
        <v>261</v>
      </c>
      <c r="F45" s="1" t="s">
        <v>253</v>
      </c>
      <c r="G45" s="85" t="n">
        <v>0.80143</v>
      </c>
      <c r="H45" s="86" t="n">
        <v>20.01</v>
      </c>
      <c r="I45" s="87" t="n">
        <v>0.58507</v>
      </c>
      <c r="J45" s="87" t="n">
        <v>0.73003</v>
      </c>
      <c r="K45" s="86" t="n">
        <v>20</v>
      </c>
      <c r="L45" s="86" t="n">
        <v>0.0588</v>
      </c>
      <c r="M45" s="86" t="n">
        <v>3.5591</v>
      </c>
      <c r="N45" s="1" t="s">
        <v>254</v>
      </c>
    </row>
    <row r="46" customFormat="false" ht="14.25" hidden="false" customHeight="true" outlineLevel="0" collapsed="false">
      <c r="A46" s="76" t="n">
        <v>30</v>
      </c>
      <c r="B46" s="1" t="s">
        <v>262</v>
      </c>
      <c r="C46" s="83" t="n">
        <v>45897.7404513889</v>
      </c>
      <c r="D46" s="84" t="n">
        <v>45897.7404513889</v>
      </c>
      <c r="E46" s="1" t="s">
        <v>261</v>
      </c>
      <c r="F46" s="1" t="s">
        <v>253</v>
      </c>
      <c r="G46" s="85" t="n">
        <v>0.79234</v>
      </c>
      <c r="H46" s="86" t="n">
        <v>29.97</v>
      </c>
      <c r="I46" s="87" t="n">
        <v>0.5218</v>
      </c>
      <c r="J46" s="87" t="n">
        <v>0.65855</v>
      </c>
      <c r="K46" s="86" t="n">
        <v>30</v>
      </c>
      <c r="L46" s="86" t="n">
        <v>0.1011</v>
      </c>
      <c r="M46" s="86" t="n">
        <v>3.5944</v>
      </c>
      <c r="N46" s="1" t="s">
        <v>254</v>
      </c>
    </row>
    <row r="47" customFormat="false" ht="14.25" hidden="false" customHeight="true" outlineLevel="0" collapsed="false">
      <c r="A47" s="76" t="n">
        <v>40</v>
      </c>
      <c r="B47" s="1" t="s">
        <v>263</v>
      </c>
      <c r="C47" s="83" t="n">
        <v>45897.7476851852</v>
      </c>
      <c r="D47" s="84" t="n">
        <v>45897.7476851852</v>
      </c>
      <c r="E47" s="1" t="s">
        <v>261</v>
      </c>
      <c r="F47" s="1" t="s">
        <v>253</v>
      </c>
      <c r="G47" s="85" t="n">
        <v>0.78314</v>
      </c>
      <c r="H47" s="86" t="n">
        <v>39.97</v>
      </c>
      <c r="I47" s="87" t="n">
        <v>0.46729</v>
      </c>
      <c r="J47" s="87" t="n">
        <v>0.59669</v>
      </c>
      <c r="K47" s="86" t="n">
        <v>40</v>
      </c>
      <c r="L47" s="86" t="n">
        <v>0.081</v>
      </c>
      <c r="M47" s="86" t="n">
        <v>3.1812</v>
      </c>
      <c r="N47" s="1" t="s">
        <v>254</v>
      </c>
    </row>
    <row r="48" customFormat="false" ht="14.25" hidden="false" customHeight="true" outlineLevel="0" collapsed="false">
      <c r="A48" s="76" t="n">
        <v>50</v>
      </c>
      <c r="B48" s="1" t="s">
        <v>264</v>
      </c>
      <c r="C48" s="83" t="n">
        <v>45897.7576736111</v>
      </c>
      <c r="D48" s="84" t="n">
        <v>45897.7576736111</v>
      </c>
      <c r="E48" s="1" t="s">
        <v>261</v>
      </c>
      <c r="F48" s="1" t="s">
        <v>253</v>
      </c>
      <c r="G48" s="85" t="n">
        <v>0.77383</v>
      </c>
      <c r="H48" s="86" t="n">
        <v>49.98</v>
      </c>
      <c r="I48" s="87" t="n">
        <v>0.42305</v>
      </c>
      <c r="J48" s="87" t="n">
        <v>0.5467</v>
      </c>
      <c r="K48" s="86" t="n">
        <v>50</v>
      </c>
      <c r="L48" s="86" t="n">
        <v>0.1361</v>
      </c>
      <c r="M48" s="86" t="n">
        <v>3.445</v>
      </c>
      <c r="N48" s="1" t="s">
        <v>254</v>
      </c>
    </row>
    <row r="49" customFormat="false" ht="14.25" hidden="false" customHeight="true" outlineLevel="0" collapsed="false">
      <c r="A49" s="76" t="n">
        <v>60</v>
      </c>
      <c r="B49" s="1" t="s">
        <v>265</v>
      </c>
      <c r="C49" s="83" t="n">
        <v>45897.7684375</v>
      </c>
      <c r="D49" s="84" t="n">
        <v>45897.7684375</v>
      </c>
      <c r="E49" s="1" t="s">
        <v>261</v>
      </c>
      <c r="F49" s="1" t="s">
        <v>253</v>
      </c>
      <c r="G49" s="85" t="n">
        <v>0.76444</v>
      </c>
      <c r="H49" s="86" t="n">
        <v>59.98</v>
      </c>
      <c r="I49" s="87" t="n">
        <v>0.38771</v>
      </c>
      <c r="J49" s="87" t="n">
        <v>0.50718</v>
      </c>
      <c r="K49" s="86" t="n">
        <v>60</v>
      </c>
      <c r="L49" s="86" t="n">
        <v>0.3777</v>
      </c>
      <c r="M49" s="86" t="n">
        <v>4.0593</v>
      </c>
      <c r="N49" s="1" t="s">
        <v>254</v>
      </c>
    </row>
    <row r="50" customFormat="false" ht="14.25" hidden="false" customHeight="true" outlineLevel="0" collapsed="false"/>
    <row r="51" customFormat="false" ht="21" hidden="false" customHeight="true" outlineLevel="0" collapsed="false">
      <c r="A51" s="72" t="s">
        <v>30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</row>
    <row r="52" customFormat="false" ht="23.25" hidden="false" customHeight="true" outlineLevel="0" collapsed="false">
      <c r="A52" s="73" t="s">
        <v>236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</row>
    <row r="53" customFormat="false" ht="15.75" hidden="false" customHeight="true" outlineLevel="0" collapsed="false">
      <c r="A53" s="74"/>
      <c r="B53" s="75" t="s">
        <v>237</v>
      </c>
    </row>
    <row r="54" customFormat="false" ht="14.25" hidden="false" customHeight="true" outlineLevel="0" collapsed="false">
      <c r="A54" s="76" t="s">
        <v>5</v>
      </c>
      <c r="B54" s="77" t="s">
        <v>238</v>
      </c>
      <c r="C54" s="77" t="s">
        <v>239</v>
      </c>
      <c r="D54" s="77" t="s">
        <v>240</v>
      </c>
      <c r="E54" s="77" t="s">
        <v>241</v>
      </c>
      <c r="F54" s="77" t="s">
        <v>242</v>
      </c>
      <c r="G54" s="77" t="s">
        <v>243</v>
      </c>
      <c r="H54" s="77" t="s">
        <v>244</v>
      </c>
      <c r="I54" s="77" t="s">
        <v>245</v>
      </c>
      <c r="J54" s="77" t="s">
        <v>246</v>
      </c>
      <c r="K54" s="77" t="s">
        <v>247</v>
      </c>
      <c r="L54" s="77" t="s">
        <v>248</v>
      </c>
      <c r="M54" s="77" t="s">
        <v>249</v>
      </c>
      <c r="N54" s="77" t="s">
        <v>250</v>
      </c>
    </row>
    <row r="55" customFormat="false" ht="14.25" hidden="false" customHeight="true" outlineLevel="0" collapsed="false">
      <c r="A55" s="76" t="n">
        <v>20</v>
      </c>
      <c r="B55" s="78" t="n">
        <v>12804</v>
      </c>
      <c r="C55" s="78" t="s">
        <v>255</v>
      </c>
      <c r="D55" s="79" t="n">
        <v>0.843310185185185</v>
      </c>
      <c r="E55" s="78" t="s">
        <v>266</v>
      </c>
      <c r="F55" s="78" t="s">
        <v>253</v>
      </c>
      <c r="G55" s="78" t="n">
        <v>0.81906</v>
      </c>
      <c r="H55" s="78" t="n">
        <v>20.03</v>
      </c>
      <c r="I55" s="78" t="n">
        <v>1.01</v>
      </c>
      <c r="J55" s="78" t="n">
        <v>1.234</v>
      </c>
      <c r="K55" s="78" t="n">
        <v>20</v>
      </c>
      <c r="L55" s="78" t="n">
        <v>0</v>
      </c>
      <c r="M55" s="78" t="n">
        <v>0.37</v>
      </c>
      <c r="N55" s="78" t="s">
        <v>254</v>
      </c>
    </row>
    <row r="56" customFormat="false" ht="14.25" hidden="false" customHeight="true" outlineLevel="0" collapsed="false">
      <c r="A56" s="76" t="n">
        <v>30</v>
      </c>
      <c r="B56" s="78" t="n">
        <v>12805</v>
      </c>
      <c r="C56" s="78" t="s">
        <v>255</v>
      </c>
      <c r="D56" s="79" t="n">
        <v>0.847604166666667</v>
      </c>
      <c r="E56" s="78" t="s">
        <v>266</v>
      </c>
      <c r="F56" s="78" t="s">
        <v>253</v>
      </c>
      <c r="G56" s="78" t="n">
        <v>0.81089</v>
      </c>
      <c r="H56" s="78" t="n">
        <v>29.98</v>
      </c>
      <c r="I56" s="78" t="n">
        <v>0.869</v>
      </c>
      <c r="J56" s="78" t="n">
        <v>1.072</v>
      </c>
      <c r="K56" s="78" t="n">
        <v>30</v>
      </c>
      <c r="L56" s="78" t="n">
        <v>0.01</v>
      </c>
      <c r="M56" s="78" t="n">
        <v>1.2</v>
      </c>
      <c r="N56" s="78" t="s">
        <v>254</v>
      </c>
    </row>
    <row r="57" customFormat="false" ht="14.25" hidden="false" customHeight="true" outlineLevel="0" collapsed="false">
      <c r="A57" s="76" t="n">
        <v>40</v>
      </c>
      <c r="B57" s="78" t="n">
        <v>12806</v>
      </c>
      <c r="C57" s="78" t="s">
        <v>255</v>
      </c>
      <c r="D57" s="79" t="n">
        <v>0.852407407407407</v>
      </c>
      <c r="E57" s="78" t="s">
        <v>266</v>
      </c>
      <c r="F57" s="78" t="s">
        <v>253</v>
      </c>
      <c r="G57" s="78" t="n">
        <v>0.80264</v>
      </c>
      <c r="H57" s="78" t="n">
        <v>39.98</v>
      </c>
      <c r="I57" s="78" t="n">
        <v>0.758</v>
      </c>
      <c r="J57" s="78" t="n">
        <v>0.945</v>
      </c>
      <c r="K57" s="78" t="n">
        <v>40</v>
      </c>
      <c r="L57" s="78" t="n">
        <v>0.08</v>
      </c>
      <c r="M57" s="78" t="n">
        <v>1.57</v>
      </c>
      <c r="N57" s="78" t="s">
        <v>254</v>
      </c>
    </row>
    <row r="58" customFormat="false" ht="14.25" hidden="false" customHeight="true" outlineLevel="0" collapsed="false">
      <c r="A58" s="76" t="n">
        <v>50</v>
      </c>
      <c r="B58" s="78" t="n">
        <v>12807</v>
      </c>
      <c r="C58" s="78" t="s">
        <v>255</v>
      </c>
      <c r="D58" s="79" t="n">
        <v>0.858657407407407</v>
      </c>
      <c r="E58" s="78" t="s">
        <v>266</v>
      </c>
      <c r="F58" s="78" t="s">
        <v>253</v>
      </c>
      <c r="G58" s="78" t="n">
        <v>0.79435</v>
      </c>
      <c r="H58" s="78" t="n">
        <v>49.97</v>
      </c>
      <c r="I58" s="78" t="n">
        <v>0.668</v>
      </c>
      <c r="J58" s="78" t="n">
        <v>0.841</v>
      </c>
      <c r="K58" s="78" t="n">
        <v>50</v>
      </c>
      <c r="L58" s="78" t="n">
        <v>0.01</v>
      </c>
      <c r="M58" s="78" t="n">
        <v>1.94</v>
      </c>
      <c r="N58" s="78" t="s">
        <v>254</v>
      </c>
    </row>
    <row r="59" customFormat="false" ht="14.25" hidden="false" customHeight="true" outlineLevel="0" collapsed="false">
      <c r="A59" s="76" t="n">
        <v>60</v>
      </c>
      <c r="B59" s="78" t="n">
        <v>12808</v>
      </c>
      <c r="C59" s="78" t="s">
        <v>255</v>
      </c>
      <c r="D59" s="79" t="n">
        <v>0.868935185185185</v>
      </c>
      <c r="E59" s="78" t="s">
        <v>266</v>
      </c>
      <c r="F59" s="78" t="s">
        <v>253</v>
      </c>
      <c r="G59" s="78" t="n">
        <v>0.78598</v>
      </c>
      <c r="H59" s="78" t="n">
        <v>59.98</v>
      </c>
      <c r="I59" s="78" t="n">
        <v>0.595</v>
      </c>
      <c r="J59" s="78" t="n">
        <v>0.757</v>
      </c>
      <c r="K59" s="78" t="n">
        <v>60</v>
      </c>
      <c r="L59" s="78" t="n">
        <v>0.02</v>
      </c>
      <c r="M59" s="78" t="n">
        <v>2.5</v>
      </c>
      <c r="N59" s="78" t="s">
        <v>254</v>
      </c>
    </row>
    <row r="60" customFormat="false" ht="14.25" hidden="false" customHeight="true" outlineLevel="0" collapsed="false"/>
    <row r="61" customFormat="false" ht="21" hidden="false" customHeight="true" outlineLevel="0" collapsed="false">
      <c r="A61" s="72" t="s">
        <v>13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customFormat="false" ht="23.25" hidden="false" customHeight="true" outlineLevel="0" collapsed="false">
      <c r="A62" s="73" t="s">
        <v>236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customFormat="false" ht="15.75" hidden="false" customHeight="true" outlineLevel="0" collapsed="false">
      <c r="A63" s="74"/>
      <c r="B63" s="75" t="s">
        <v>237</v>
      </c>
    </row>
    <row r="64" customFormat="false" ht="14.25" hidden="false" customHeight="true" outlineLevel="0" collapsed="false">
      <c r="A64" s="76" t="s">
        <v>5</v>
      </c>
      <c r="B64" s="77" t="s">
        <v>238</v>
      </c>
      <c r="C64" s="77" t="s">
        <v>239</v>
      </c>
      <c r="D64" s="77" t="s">
        <v>240</v>
      </c>
      <c r="E64" s="77" t="s">
        <v>241</v>
      </c>
      <c r="F64" s="77" t="s">
        <v>242</v>
      </c>
      <c r="G64" s="77" t="s">
        <v>243</v>
      </c>
      <c r="H64" s="77" t="s">
        <v>244</v>
      </c>
      <c r="I64" s="77" t="s">
        <v>245</v>
      </c>
      <c r="J64" s="77" t="s">
        <v>246</v>
      </c>
      <c r="K64" s="77" t="s">
        <v>247</v>
      </c>
      <c r="L64" s="77" t="s">
        <v>248</v>
      </c>
      <c r="M64" s="77" t="s">
        <v>249</v>
      </c>
    </row>
    <row r="65" customFormat="false" ht="14.25" hidden="false" customHeight="true" outlineLevel="0" collapsed="false">
      <c r="A65" s="76" t="n">
        <v>20</v>
      </c>
      <c r="B65" s="78" t="n">
        <v>12585</v>
      </c>
      <c r="C65" s="78" t="s">
        <v>267</v>
      </c>
      <c r="D65" s="79" t="n">
        <v>0.847268518518519</v>
      </c>
      <c r="E65" s="78" t="s">
        <v>268</v>
      </c>
      <c r="F65" s="78" t="s">
        <v>253</v>
      </c>
      <c r="G65" s="78" t="n">
        <v>0.94498</v>
      </c>
      <c r="H65" s="78" t="n">
        <v>20.02</v>
      </c>
      <c r="I65" s="78" t="n">
        <v>11.31</v>
      </c>
      <c r="J65" s="78" t="n">
        <v>11.97</v>
      </c>
      <c r="K65" s="78" t="n">
        <v>20</v>
      </c>
      <c r="L65" s="78" t="n">
        <v>0.14</v>
      </c>
      <c r="M65" s="78" t="n">
        <v>0.27</v>
      </c>
      <c r="N65" s="78" t="s">
        <v>254</v>
      </c>
    </row>
    <row r="66" customFormat="false" ht="14.25" hidden="false" customHeight="true" outlineLevel="0" collapsed="false">
      <c r="A66" s="76" t="n">
        <v>30</v>
      </c>
      <c r="B66" s="78" t="n">
        <v>12586</v>
      </c>
      <c r="C66" s="78" t="s">
        <v>267</v>
      </c>
      <c r="D66" s="79" t="n">
        <v>0.855694444444444</v>
      </c>
      <c r="E66" s="78" t="s">
        <v>268</v>
      </c>
      <c r="F66" s="78" t="s">
        <v>253</v>
      </c>
      <c r="G66" s="78" t="n">
        <v>0.93726</v>
      </c>
      <c r="H66" s="78" t="n">
        <v>29.97</v>
      </c>
      <c r="I66" s="78" t="n">
        <v>7.323</v>
      </c>
      <c r="J66" s="78" t="n">
        <v>7.813</v>
      </c>
      <c r="K66" s="78" t="n">
        <v>30</v>
      </c>
      <c r="L66" s="78" t="n">
        <v>0.02</v>
      </c>
      <c r="M66" s="78" t="n">
        <v>0.59</v>
      </c>
      <c r="N66" s="78" t="s">
        <v>254</v>
      </c>
    </row>
    <row r="67" customFormat="false" ht="14.25" hidden="false" customHeight="true" outlineLevel="0" collapsed="false">
      <c r="A67" s="76" t="n">
        <v>40</v>
      </c>
      <c r="B67" s="78" t="n">
        <v>12587</v>
      </c>
      <c r="C67" s="78" t="s">
        <v>267</v>
      </c>
      <c r="D67" s="79" t="n">
        <v>0.862534722222222</v>
      </c>
      <c r="E67" s="78" t="s">
        <v>268</v>
      </c>
      <c r="F67" s="78" t="s">
        <v>253</v>
      </c>
      <c r="G67" s="78" t="n">
        <v>0.9295</v>
      </c>
      <c r="H67" s="78" t="n">
        <v>39.97</v>
      </c>
      <c r="I67" s="78" t="n">
        <v>5.121</v>
      </c>
      <c r="J67" s="78" t="n">
        <v>5.509</v>
      </c>
      <c r="K67" s="78" t="n">
        <v>40</v>
      </c>
      <c r="L67" s="78" t="n">
        <v>0.04</v>
      </c>
      <c r="M67" s="78" t="n">
        <v>0.69</v>
      </c>
      <c r="N67" s="78" t="s">
        <v>254</v>
      </c>
    </row>
    <row r="68" customFormat="false" ht="14.25" hidden="false" customHeight="true" outlineLevel="0" collapsed="false">
      <c r="A68" s="76" t="n">
        <v>50</v>
      </c>
      <c r="B68" s="78" t="n">
        <v>12588</v>
      </c>
      <c r="C68" s="78" t="s">
        <v>267</v>
      </c>
      <c r="D68" s="79" t="n">
        <v>0.872280092592593</v>
      </c>
      <c r="E68" s="78" t="s">
        <v>268</v>
      </c>
      <c r="F68" s="78" t="s">
        <v>253</v>
      </c>
      <c r="G68" s="78" t="n">
        <v>0.92172</v>
      </c>
      <c r="H68" s="78" t="n">
        <v>49.98</v>
      </c>
      <c r="I68" s="78" t="n">
        <v>3.792</v>
      </c>
      <c r="J68" s="78" t="n">
        <v>4.114</v>
      </c>
      <c r="K68" s="78" t="n">
        <v>50</v>
      </c>
      <c r="L68" s="78" t="n">
        <v>0.1</v>
      </c>
      <c r="M68" s="78" t="n">
        <v>0.89</v>
      </c>
      <c r="N68" s="78" t="s">
        <v>254</v>
      </c>
    </row>
    <row r="69" customFormat="false" ht="14.25" hidden="false" customHeight="true" outlineLevel="0" collapsed="false">
      <c r="A69" s="76" t="n">
        <v>60</v>
      </c>
      <c r="B69" s="78" t="n">
        <v>12589</v>
      </c>
      <c r="C69" s="78" t="s">
        <v>267</v>
      </c>
      <c r="D69" s="79" t="n">
        <v>0.882893518518519</v>
      </c>
      <c r="E69" s="78" t="s">
        <v>268</v>
      </c>
      <c r="F69" s="78" t="s">
        <v>253</v>
      </c>
      <c r="G69" s="78" t="n">
        <v>0.91396</v>
      </c>
      <c r="H69" s="78" t="n">
        <v>59.98</v>
      </c>
      <c r="I69" s="78" t="n">
        <v>2.938</v>
      </c>
      <c r="J69" s="78" t="n">
        <v>3.214</v>
      </c>
      <c r="K69" s="78" t="n">
        <v>60</v>
      </c>
      <c r="L69" s="78" t="n">
        <v>0.39</v>
      </c>
      <c r="M69" s="78" t="n">
        <v>0.92</v>
      </c>
      <c r="N69" s="78" t="s">
        <v>254</v>
      </c>
    </row>
    <row r="70" customFormat="false" ht="14.25" hidden="false" customHeight="true" outlineLevel="0" collapsed="false"/>
    <row r="71" customFormat="false" ht="21" hidden="false" customHeight="true" outlineLevel="0" collapsed="false">
      <c r="A71" s="72" t="s">
        <v>33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</row>
    <row r="72" customFormat="false" ht="23.25" hidden="false" customHeight="true" outlineLevel="0" collapsed="false">
      <c r="A72" s="73" t="s">
        <v>236</v>
      </c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</row>
    <row r="73" customFormat="false" ht="15.75" hidden="false" customHeight="true" outlineLevel="0" collapsed="false">
      <c r="A73" s="74"/>
      <c r="B73" s="75" t="s">
        <v>237</v>
      </c>
    </row>
    <row r="74" customFormat="false" ht="14.25" hidden="false" customHeight="true" outlineLevel="0" collapsed="false">
      <c r="A74" s="76" t="s">
        <v>5</v>
      </c>
      <c r="B74" s="77" t="s">
        <v>238</v>
      </c>
      <c r="C74" s="77" t="s">
        <v>239</v>
      </c>
      <c r="D74" s="77" t="s">
        <v>240</v>
      </c>
      <c r="E74" s="77" t="s">
        <v>241</v>
      </c>
      <c r="F74" s="77" t="s">
        <v>242</v>
      </c>
      <c r="G74" s="77" t="s">
        <v>243</v>
      </c>
      <c r="H74" s="77" t="s">
        <v>244</v>
      </c>
      <c r="I74" s="77" t="s">
        <v>245</v>
      </c>
      <c r="J74" s="77" t="s">
        <v>246</v>
      </c>
      <c r="K74" s="77" t="s">
        <v>247</v>
      </c>
      <c r="L74" s="77" t="s">
        <v>248</v>
      </c>
      <c r="M74" s="77" t="s">
        <v>249</v>
      </c>
    </row>
    <row r="75" customFormat="false" ht="14.25" hidden="false" customHeight="true" outlineLevel="0" collapsed="false">
      <c r="A75" s="76" t="n">
        <v>20</v>
      </c>
      <c r="B75" s="78" t="n">
        <v>12579</v>
      </c>
      <c r="C75" s="78" t="s">
        <v>267</v>
      </c>
      <c r="D75" s="79" t="n">
        <v>0.782453703703704</v>
      </c>
      <c r="E75" s="78" t="s">
        <v>269</v>
      </c>
      <c r="F75" s="78" t="s">
        <v>253</v>
      </c>
      <c r="G75" s="78" t="n">
        <v>1.01985</v>
      </c>
      <c r="H75" s="78" t="n">
        <v>20.03</v>
      </c>
      <c r="I75" s="78" t="n">
        <v>14.04</v>
      </c>
      <c r="J75" s="78" t="n">
        <v>13.77</v>
      </c>
      <c r="K75" s="78" t="n">
        <v>20</v>
      </c>
      <c r="L75" s="78" t="n">
        <v>0.28</v>
      </c>
      <c r="M75" s="78" t="n">
        <v>0.18</v>
      </c>
      <c r="N75" s="78" t="s">
        <v>254</v>
      </c>
    </row>
    <row r="76" customFormat="false" ht="14.25" hidden="false" customHeight="true" outlineLevel="0" collapsed="false">
      <c r="A76" s="76" t="n">
        <v>30</v>
      </c>
      <c r="B76" s="78" t="n">
        <v>12580</v>
      </c>
      <c r="C76" s="78" t="s">
        <v>267</v>
      </c>
      <c r="D76" s="79" t="n">
        <v>0.792789351851852</v>
      </c>
      <c r="E76" s="78" t="s">
        <v>269</v>
      </c>
      <c r="F76" s="78" t="s">
        <v>253</v>
      </c>
      <c r="G76" s="78" t="n">
        <v>1.01244</v>
      </c>
      <c r="H76" s="78" t="n">
        <v>29.97</v>
      </c>
      <c r="I76" s="78" t="n">
        <v>8.973</v>
      </c>
      <c r="J76" s="78" t="n">
        <v>8.863</v>
      </c>
      <c r="K76" s="78" t="n">
        <v>30</v>
      </c>
      <c r="L76" s="78" t="n">
        <v>0.02</v>
      </c>
      <c r="M76" s="78" t="n">
        <v>0.4</v>
      </c>
      <c r="N76" s="78" t="s">
        <v>254</v>
      </c>
    </row>
    <row r="77" customFormat="false" ht="14.25" hidden="false" customHeight="true" outlineLevel="0" collapsed="false">
      <c r="A77" s="76" t="n">
        <v>40</v>
      </c>
      <c r="B77" s="78" t="n">
        <v>12581</v>
      </c>
      <c r="C77" s="78" t="s">
        <v>267</v>
      </c>
      <c r="D77" s="79" t="n">
        <v>0.800393518518519</v>
      </c>
      <c r="E77" s="78" t="s">
        <v>269</v>
      </c>
      <c r="F77" s="78" t="s">
        <v>253</v>
      </c>
      <c r="G77" s="78" t="n">
        <v>1.00494</v>
      </c>
      <c r="H77" s="78" t="n">
        <v>39.97</v>
      </c>
      <c r="I77" s="78" t="n">
        <v>6.102</v>
      </c>
      <c r="J77" s="78" t="n">
        <v>6.072</v>
      </c>
      <c r="K77" s="78" t="n">
        <v>40</v>
      </c>
      <c r="L77" s="78" t="n">
        <v>0.02</v>
      </c>
      <c r="M77" s="78" t="n">
        <v>0.63</v>
      </c>
      <c r="N77" s="78" t="s">
        <v>254</v>
      </c>
    </row>
    <row r="78" customFormat="false" ht="14.25" hidden="false" customHeight="true" outlineLevel="0" collapsed="false">
      <c r="A78" s="76" t="n">
        <v>50</v>
      </c>
      <c r="B78" s="78" t="n">
        <v>12582</v>
      </c>
      <c r="C78" s="78" t="s">
        <v>267</v>
      </c>
      <c r="D78" s="79" t="n">
        <v>0.810486111111111</v>
      </c>
      <c r="E78" s="78" t="s">
        <v>269</v>
      </c>
      <c r="F78" s="78" t="s">
        <v>253</v>
      </c>
      <c r="G78" s="78" t="n">
        <v>0.99736</v>
      </c>
      <c r="H78" s="78" t="n">
        <v>49.98</v>
      </c>
      <c r="I78" s="78" t="n">
        <v>4.368</v>
      </c>
      <c r="J78" s="78" t="n">
        <v>4.379</v>
      </c>
      <c r="K78" s="78" t="n">
        <v>50</v>
      </c>
      <c r="L78" s="78" t="n">
        <v>0.11</v>
      </c>
      <c r="M78" s="78" t="n">
        <v>0.91</v>
      </c>
      <c r="N78" s="78" t="s">
        <v>254</v>
      </c>
    </row>
    <row r="79" customFormat="false" ht="14.25" hidden="false" customHeight="true" outlineLevel="0" collapsed="false">
      <c r="A79" s="76" t="n">
        <v>60</v>
      </c>
      <c r="B79" s="78" t="n">
        <v>12583</v>
      </c>
      <c r="C79" s="78" t="s">
        <v>267</v>
      </c>
      <c r="D79" s="79" t="n">
        <v>0.821388888888889</v>
      </c>
      <c r="E79" s="78" t="s">
        <v>269</v>
      </c>
      <c r="F79" s="78" t="s">
        <v>253</v>
      </c>
      <c r="G79" s="78" t="n">
        <v>0.9897</v>
      </c>
      <c r="H79" s="78" t="n">
        <v>59.98</v>
      </c>
      <c r="I79" s="78" t="n">
        <v>3.252</v>
      </c>
      <c r="J79" s="78" t="n">
        <v>3.286</v>
      </c>
      <c r="K79" s="78" t="n">
        <v>60</v>
      </c>
      <c r="L79" s="78" t="n">
        <v>0.01</v>
      </c>
      <c r="M79" s="78" t="n">
        <v>1.15</v>
      </c>
      <c r="N79" s="78" t="s">
        <v>254</v>
      </c>
    </row>
    <row r="80" customFormat="false" ht="14.25" hidden="false" customHeight="true" outlineLevel="0" collapsed="false"/>
    <row r="81" customFormat="false" ht="21" hidden="false" customHeight="true" outlineLevel="0" collapsed="false">
      <c r="A81" s="72" t="s">
        <v>270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customFormat="false" ht="23.25" hidden="false" customHeight="true" outlineLevel="0" collapsed="false">
      <c r="A82" s="73" t="s">
        <v>236</v>
      </c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customFormat="false" ht="15.75" hidden="false" customHeight="true" outlineLevel="0" collapsed="false">
      <c r="A83" s="74"/>
      <c r="B83" s="75" t="s">
        <v>237</v>
      </c>
    </row>
    <row r="84" customFormat="false" ht="14.25" hidden="false" customHeight="true" outlineLevel="0" collapsed="false">
      <c r="A84" s="76" t="s">
        <v>5</v>
      </c>
      <c r="B84" s="77" t="s">
        <v>238</v>
      </c>
      <c r="C84" s="77" t="s">
        <v>239</v>
      </c>
      <c r="D84" s="77" t="s">
        <v>240</v>
      </c>
      <c r="E84" s="77" t="s">
        <v>241</v>
      </c>
      <c r="F84" s="77" t="s">
        <v>242</v>
      </c>
      <c r="G84" s="77" t="s">
        <v>243</v>
      </c>
      <c r="H84" s="77" t="s">
        <v>244</v>
      </c>
      <c r="I84" s="77" t="s">
        <v>245</v>
      </c>
      <c r="J84" s="77" t="s">
        <v>246</v>
      </c>
      <c r="K84" s="77" t="s">
        <v>247</v>
      </c>
      <c r="L84" s="77" t="s">
        <v>248</v>
      </c>
      <c r="M84" s="77" t="s">
        <v>249</v>
      </c>
    </row>
    <row r="85" customFormat="false" ht="14.25" hidden="false" customHeight="true" outlineLevel="0" collapsed="false">
      <c r="A85" s="76" t="n">
        <v>20</v>
      </c>
      <c r="B85" s="78" t="n">
        <v>12610</v>
      </c>
      <c r="C85" s="78" t="s">
        <v>271</v>
      </c>
      <c r="D85" s="79" t="n">
        <v>0.772997685185185</v>
      </c>
      <c r="E85" s="78" t="s">
        <v>272</v>
      </c>
      <c r="F85" s="78" t="s">
        <v>253</v>
      </c>
      <c r="G85" s="78" t="n">
        <v>0.95292</v>
      </c>
      <c r="H85" s="78" t="n">
        <v>20.05</v>
      </c>
      <c r="I85" s="78" t="n">
        <v>6.574</v>
      </c>
      <c r="J85" s="78" t="n">
        <v>6.898</v>
      </c>
      <c r="K85" s="78" t="n">
        <v>20</v>
      </c>
      <c r="L85" s="78" t="n">
        <v>0.01</v>
      </c>
      <c r="M85" s="78" t="n">
        <v>0.42</v>
      </c>
      <c r="N85" s="78" t="s">
        <v>254</v>
      </c>
    </row>
    <row r="86" customFormat="false" ht="14.25" hidden="false" customHeight="true" outlineLevel="0" collapsed="false">
      <c r="A86" s="76" t="n">
        <v>30</v>
      </c>
      <c r="B86" s="78" t="n">
        <v>12611</v>
      </c>
      <c r="C86" s="78" t="s">
        <v>271</v>
      </c>
      <c r="D86" s="79" t="n">
        <v>0.779560185185185</v>
      </c>
      <c r="E86" s="78" t="s">
        <v>272</v>
      </c>
      <c r="F86" s="78" t="s">
        <v>253</v>
      </c>
      <c r="G86" s="78" t="n">
        <v>0.94536</v>
      </c>
      <c r="H86" s="78" t="n">
        <v>29.97</v>
      </c>
      <c r="I86" s="78" t="n">
        <v>4.821</v>
      </c>
      <c r="J86" s="78" t="n">
        <v>5.099</v>
      </c>
      <c r="K86" s="78" t="n">
        <v>30</v>
      </c>
      <c r="L86" s="78" t="n">
        <v>0.02</v>
      </c>
      <c r="M86" s="78" t="n">
        <v>0.75</v>
      </c>
      <c r="N86" s="78" t="s">
        <v>254</v>
      </c>
    </row>
    <row r="87" customFormat="false" ht="14.25" hidden="false" customHeight="true" outlineLevel="0" collapsed="false">
      <c r="A87" s="76" t="n">
        <v>40</v>
      </c>
      <c r="B87" s="78" t="n">
        <v>12612</v>
      </c>
      <c r="C87" s="78" t="s">
        <v>271</v>
      </c>
      <c r="D87" s="79" t="n">
        <v>0.7853125</v>
      </c>
      <c r="E87" s="78" t="s">
        <v>272</v>
      </c>
      <c r="F87" s="78" t="s">
        <v>253</v>
      </c>
      <c r="G87" s="78" t="n">
        <v>0.93774</v>
      </c>
      <c r="H87" s="78" t="n">
        <v>39.97</v>
      </c>
      <c r="I87" s="78" t="n">
        <v>3.691</v>
      </c>
      <c r="J87" s="78" t="n">
        <v>3.936</v>
      </c>
      <c r="K87" s="78" t="n">
        <v>40</v>
      </c>
      <c r="L87" s="78" t="n">
        <v>0.14</v>
      </c>
      <c r="M87" s="78" t="n">
        <v>0.55</v>
      </c>
      <c r="N87" s="78" t="s">
        <v>254</v>
      </c>
    </row>
    <row r="88" customFormat="false" ht="14.25" hidden="false" customHeight="true" outlineLevel="0" collapsed="false">
      <c r="A88" s="76" t="n">
        <v>50</v>
      </c>
      <c r="B88" s="78" t="n">
        <v>12613</v>
      </c>
      <c r="C88" s="78" t="s">
        <v>271</v>
      </c>
      <c r="D88" s="79" t="n">
        <v>0.793634259259259</v>
      </c>
      <c r="E88" s="78" t="s">
        <v>272</v>
      </c>
      <c r="F88" s="78" t="s">
        <v>253</v>
      </c>
      <c r="G88" s="78" t="n">
        <v>0.93013</v>
      </c>
      <c r="H88" s="78" t="n">
        <v>49.97</v>
      </c>
      <c r="I88" s="78" t="n">
        <v>2.914</v>
      </c>
      <c r="J88" s="78" t="n">
        <v>3.133</v>
      </c>
      <c r="K88" s="78" t="n">
        <v>50</v>
      </c>
      <c r="L88" s="78" t="n">
        <v>0.07</v>
      </c>
      <c r="M88" s="78" t="n">
        <v>0.97</v>
      </c>
      <c r="N88" s="78" t="s">
        <v>254</v>
      </c>
    </row>
    <row r="89" customFormat="false" ht="14.25" hidden="false" customHeight="true" outlineLevel="0" collapsed="false">
      <c r="A89" s="76" t="n">
        <v>60</v>
      </c>
      <c r="B89" s="78" t="n">
        <v>12614</v>
      </c>
      <c r="C89" s="78" t="s">
        <v>271</v>
      </c>
      <c r="D89" s="79" t="n">
        <v>0.80412037037037</v>
      </c>
      <c r="E89" s="78" t="s">
        <v>272</v>
      </c>
      <c r="F89" s="78" t="s">
        <v>253</v>
      </c>
      <c r="G89" s="78" t="n">
        <v>0.9225</v>
      </c>
      <c r="H89" s="78" t="n">
        <v>59.98</v>
      </c>
      <c r="I89" s="78" t="n">
        <v>2.362</v>
      </c>
      <c r="J89" s="78" t="n">
        <v>2.56</v>
      </c>
      <c r="K89" s="78" t="n">
        <v>60</v>
      </c>
      <c r="L89" s="78" t="n">
        <v>0.02</v>
      </c>
      <c r="M89" s="78" t="n">
        <v>0.77</v>
      </c>
      <c r="N89" s="78" t="s">
        <v>254</v>
      </c>
    </row>
  </sheetData>
  <mergeCells count="9">
    <mergeCell ref="A2:M2"/>
    <mergeCell ref="A12:M12"/>
    <mergeCell ref="A22:M22"/>
    <mergeCell ref="A32:M32"/>
    <mergeCell ref="A42:M42"/>
    <mergeCell ref="A52:M52"/>
    <mergeCell ref="A62:M62"/>
    <mergeCell ref="A72:M72"/>
    <mergeCell ref="A82:M82"/>
  </mergeCells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M11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J31" activeCellId="1" sqref="B39:F39 J31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2.63"/>
    <col collapsed="false" customWidth="true" hidden="false" outlineLevel="0" max="2" min="2" style="1" width="24.13"/>
    <col collapsed="false" customWidth="true" hidden="false" outlineLevel="0" max="3" min="3" style="1" width="27.38"/>
    <col collapsed="false" customWidth="true" hidden="false" outlineLevel="0" max="4" min="4" style="1" width="28.25"/>
    <col collapsed="false" customWidth="true" hidden="false" outlineLevel="0" max="5" min="5" style="1" width="22.88"/>
    <col collapsed="false" customWidth="true" hidden="false" outlineLevel="0" max="6" min="6" style="1" width="23.75"/>
    <col collapsed="false" customWidth="true" hidden="false" outlineLevel="0" max="7" min="7" style="1" width="27.38"/>
    <col collapsed="false" customWidth="true" hidden="false" outlineLevel="0" max="8" min="8" style="1" width="9"/>
    <col collapsed="false" customWidth="true" hidden="false" outlineLevel="0" max="11" min="9" style="1" width="16.88"/>
  </cols>
  <sheetData>
    <row r="1" customFormat="false" ht="14.25" hidden="false" customHeight="true" outlineLevel="0" collapsed="false">
      <c r="C1" s="1" t="s">
        <v>273</v>
      </c>
      <c r="E1" s="1" t="s">
        <v>274</v>
      </c>
    </row>
    <row r="2" customFormat="false" ht="14.25" hidden="false" customHeight="true" outlineLevel="0" collapsed="false">
      <c r="A2" s="1" t="s">
        <v>12</v>
      </c>
      <c r="B2" s="1" t="n">
        <v>1</v>
      </c>
      <c r="C2" s="1" t="n">
        <v>192.3</v>
      </c>
      <c r="E2" s="1" t="s">
        <v>275</v>
      </c>
    </row>
    <row r="3" customFormat="false" ht="14.25" hidden="false" customHeight="true" outlineLevel="0" collapsed="false">
      <c r="A3" s="1" t="s">
        <v>14</v>
      </c>
      <c r="B3" s="1" t="n">
        <v>2</v>
      </c>
      <c r="C3" s="1" t="n">
        <v>86.13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278</v>
      </c>
      <c r="C7" s="1" t="s">
        <v>279</v>
      </c>
      <c r="D7" s="1" t="s">
        <v>280</v>
      </c>
      <c r="E7" s="1" t="s">
        <v>281</v>
      </c>
      <c r="F7" s="1" t="s">
        <v>282</v>
      </c>
      <c r="G7" s="1" t="s">
        <v>283</v>
      </c>
    </row>
    <row r="8" customFormat="false" ht="14.25" hidden="false" customHeight="true" outlineLevel="0" collapsed="false">
      <c r="A8" s="1" t="n">
        <v>5</v>
      </c>
      <c r="B8" s="5" t="n">
        <f aca="false">IF(D8=0, 0, IF(D8=1, A8, (D8*A8*$C$2)/($C$3*(1-D8)+$C$2*D8)))</f>
        <v>0</v>
      </c>
      <c r="C8" s="5" t="n">
        <f aca="false">A8-B8</f>
        <v>5</v>
      </c>
      <c r="D8" s="1" t="n">
        <v>0</v>
      </c>
      <c r="E8" s="78" t="n">
        <v>0</v>
      </c>
      <c r="F8" s="78" t="n">
        <v>1</v>
      </c>
      <c r="G8" s="88" t="n">
        <f aca="false">IF(AND(E8=0,F8&gt;0),0,"")</f>
        <v>0</v>
      </c>
    </row>
    <row r="9" customFormat="false" ht="14.25" hidden="false" customHeight="true" outlineLevel="0" collapsed="false">
      <c r="A9" s="1" t="n">
        <v>5</v>
      </c>
      <c r="B9" s="5" t="n">
        <f aca="false">IF(D9=0, 0, IF(D9=1, A9, (D9*A9*$C$2)/($C$3*(1-D9)+$C$2*D9)))</f>
        <v>0.993829266023753</v>
      </c>
      <c r="C9" s="5" t="n">
        <f aca="false">A9-B9</f>
        <v>4.00617073397625</v>
      </c>
      <c r="D9" s="1" t="n">
        <v>0.1</v>
      </c>
      <c r="E9" s="78" t="n">
        <v>1.0138</v>
      </c>
      <c r="F9" s="78" t="n">
        <v>4.0303</v>
      </c>
      <c r="G9" s="88" t="n">
        <f aca="false">IFERROR((E9*purity_beta/MW_beta)/((E9*purity_beta/MW_beta)+(F9*purity_2m3b2oh/MW_2m3b2oh)),"")</f>
        <v>0.0996094454144295</v>
      </c>
    </row>
    <row r="10" customFormat="false" ht="14.25" hidden="false" customHeight="true" outlineLevel="0" collapsed="false">
      <c r="A10" s="1" t="n">
        <v>5</v>
      </c>
      <c r="B10" s="5" t="n">
        <f aca="false">IF(D10=0, 0, IF(D10=1, A10, (D10*A10*$C$2)/($C$3*(1-D10)+$C$2*D10)))</f>
        <v>1.79110316307142</v>
      </c>
      <c r="C10" s="5" t="n">
        <f aca="false">A10-B10</f>
        <v>3.20889683692858</v>
      </c>
      <c r="D10" s="1" t="n">
        <v>0.2</v>
      </c>
      <c r="E10" s="78" t="n">
        <v>1.7936</v>
      </c>
      <c r="F10" s="78" t="n">
        <v>3.2096</v>
      </c>
      <c r="G10" s="88" t="n">
        <f aca="false">IFERROR((E10*purity_beta/MW_beta)/((E10*purity_beta/MW_beta)+(F10*purity_2m3b2oh/MW_2m3b2oh)),"")</f>
        <v>0.197283787779712</v>
      </c>
    </row>
    <row r="11" customFormat="false" ht="14.25" hidden="false" customHeight="true" outlineLevel="0" collapsed="false">
      <c r="A11" s="1" t="n">
        <v>5</v>
      </c>
      <c r="B11" s="5" t="n">
        <f aca="false">IF(D11=0, 0, IF(D11=1, A11, (D11*A11*$C$2)/($C$3*(1-D11)+$C$2*D11)))</f>
        <v>2.4448851933786</v>
      </c>
      <c r="C11" s="5" t="n">
        <f aca="false">A11-B11</f>
        <v>2.5551148066214</v>
      </c>
      <c r="D11" s="1" t="n">
        <v>0.3</v>
      </c>
      <c r="E11" s="78" t="n">
        <v>2.4454</v>
      </c>
      <c r="F11" s="78" t="n">
        <v>2.5574</v>
      </c>
      <c r="G11" s="88" t="n">
        <f aca="false">IFERROR((E11*purity_beta/MW_beta)/((E11*purity_beta/MW_beta)+(F11*purity_2m3b2oh/MW_2m3b2oh)),"")</f>
        <v>0.296041685966012</v>
      </c>
    </row>
    <row r="12" customFormat="false" ht="14.25" hidden="false" customHeight="true" outlineLevel="0" collapsed="false">
      <c r="A12" s="1" t="n">
        <v>5</v>
      </c>
      <c r="B12" s="5" t="n">
        <f aca="false">IF(D12=0, 0, IF(D12=1, A12, (D12*A12*$C$2)/($C$3*(1-D12)+$C$2*D12)))</f>
        <v>2.99071525218122</v>
      </c>
      <c r="C12" s="5" t="n">
        <f aca="false">A12-B12</f>
        <v>2.00928474781878</v>
      </c>
      <c r="D12" s="1" t="n">
        <v>0.4</v>
      </c>
      <c r="E12" s="78" t="n">
        <v>3.0027</v>
      </c>
      <c r="F12" s="78" t="n">
        <v>2.0107</v>
      </c>
      <c r="G12" s="88" t="n">
        <f aca="false">IFERROR((E12*purity_beta/MW_beta)/((E12*purity_beta/MW_beta)+(F12*purity_2m3b2oh/MW_2m3b2oh)),"")</f>
        <v>0.396419244613166</v>
      </c>
    </row>
    <row r="13" customFormat="false" ht="14.25" hidden="false" customHeight="true" outlineLevel="0" collapsed="false">
      <c r="A13" s="1" t="n">
        <v>5</v>
      </c>
      <c r="B13" s="5" t="n">
        <f aca="false">IF(D13=0, 0, IF(D13=1, A13, (D13*A13*$C$2)/($C$3*(1-D13)+$C$2*D13)))</f>
        <v>3.45329167115613</v>
      </c>
      <c r="C13" s="5" t="n">
        <f aca="false">A13-B13</f>
        <v>1.54670832884387</v>
      </c>
      <c r="D13" s="1" t="n">
        <v>0.5</v>
      </c>
      <c r="E13" s="88" t="n">
        <v>3.46</v>
      </c>
      <c r="F13" s="78" t="n">
        <v>1.5684</v>
      </c>
      <c r="G13" s="88" t="n">
        <f aca="false">IFERROR((E13*purity_beta/MW_beta)/((E13*purity_beta/MW_beta)+(F13*purity_2m3b2oh/MW_2m3b2oh)),"")</f>
        <v>0.492444610206307</v>
      </c>
    </row>
    <row r="14" customFormat="false" ht="14.25" hidden="false" customHeight="true" outlineLevel="0" collapsed="false">
      <c r="A14" s="66" t="n">
        <v>5</v>
      </c>
      <c r="B14" s="89" t="n">
        <f aca="false">IF(D14=0, 0, IF(D14=1, A14, (D14*A14*$C$2)/($C$3*(1-D14)+$C$2*D14)))</f>
        <v>3.85031234983181</v>
      </c>
      <c r="C14" s="89" t="n">
        <f aca="false">A14-B14</f>
        <v>1.14968765016819</v>
      </c>
      <c r="D14" s="66" t="n">
        <v>0.6</v>
      </c>
      <c r="E14" s="90" t="n">
        <v>3.8569</v>
      </c>
      <c r="F14" s="90" t="n">
        <v>1.1532</v>
      </c>
      <c r="G14" s="91" t="n">
        <f aca="false">IFERROR((E14*purity_beta/MW_beta)/((E14*purity_beta/MW_beta)+(F14*purity_2m3b2oh/MW_2m3b2oh)),"")</f>
        <v>0.595292092953273</v>
      </c>
    </row>
    <row r="15" customFormat="false" ht="14.25" hidden="false" customHeight="true" outlineLevel="0" collapsed="false">
      <c r="A15" s="1" t="n">
        <v>5</v>
      </c>
      <c r="B15" s="5" t="n">
        <f aca="false">IF(D15=0, 0, IF(D15=1, A15, (D15*A15*$C$2)/($C$3*(1-D15)+$C$2*D15)))</f>
        <v>4.19479086812632</v>
      </c>
      <c r="C15" s="5" t="n">
        <f aca="false">A15-B15</f>
        <v>0.805209131873679</v>
      </c>
      <c r="D15" s="1" t="n">
        <v>0.7</v>
      </c>
      <c r="E15" s="78" t="n">
        <v>4.1996</v>
      </c>
      <c r="F15" s="78" t="n">
        <v>0.8142</v>
      </c>
      <c r="G15" s="88" t="n">
        <f aca="false">IFERROR((E15*purity_beta/MW_beta)/((E15*purity_beta/MW_beta)+(F15*purity_2m3b2oh/MW_2m3b2oh)),"")</f>
        <v>0.694045700879001</v>
      </c>
    </row>
    <row r="16" customFormat="false" ht="14.25" hidden="false" customHeight="true" outlineLevel="0" collapsed="false">
      <c r="A16" s="1" t="n">
        <v>5</v>
      </c>
      <c r="B16" s="5" t="n">
        <f aca="false">IF(D16=0, 0, IF(D16=1, A16, (D16*A16*$C$2)/($C$3*(1-D16)+$C$2*D16)))</f>
        <v>4.49651011890148</v>
      </c>
      <c r="C16" s="5" t="n">
        <f aca="false">A16-B16</f>
        <v>0.503489881098524</v>
      </c>
      <c r="D16" s="1" t="n">
        <v>0.8</v>
      </c>
      <c r="E16" s="78" t="n">
        <v>4.5017</v>
      </c>
      <c r="F16" s="78" t="n">
        <v>0.5032</v>
      </c>
      <c r="G16" s="88" t="n">
        <f aca="false">IFERROR((E16*purity_beta/MW_beta)/((E16*purity_beta/MW_beta)+(F16*purity_2m3b2oh/MW_2m3b2oh)),"")</f>
        <v>0.797345611911684</v>
      </c>
    </row>
    <row r="17" customFormat="false" ht="14.25" hidden="false" customHeight="true" outlineLevel="0" collapsed="false">
      <c r="A17" s="1" t="n">
        <v>5</v>
      </c>
      <c r="B17" s="5" t="n">
        <f aca="false">IF(D17=0, 0, IF(D17=1, A17, (D17*A17*$C$2)/($C$3*(1-D17)+$C$2*D17)))</f>
        <v>4.76296626541834</v>
      </c>
      <c r="C17" s="5" t="n">
        <f aca="false">A17-B17</f>
        <v>0.237033734581662</v>
      </c>
      <c r="D17" s="1" t="n">
        <v>0.9</v>
      </c>
      <c r="E17" s="78" t="n">
        <v>4.7623</v>
      </c>
      <c r="F17" s="78" t="n">
        <v>0.24</v>
      </c>
      <c r="G17" s="88" t="n">
        <f aca="false">IFERROR((E17*purity_beta/MW_beta)/((E17*purity_beta/MW_beta)+(F17*purity_2m3b2oh/MW_2m3b2oh)),"")</f>
        <v>0.897192362325708</v>
      </c>
    </row>
    <row r="18" customFormat="false" ht="14.25" hidden="false" customHeight="true" outlineLevel="0" collapsed="false">
      <c r="A18" s="1" t="n">
        <v>5</v>
      </c>
      <c r="B18" s="5" t="n">
        <f aca="false">IF(D18=0, 0, IF(D18=1, A18, (D18*A18*$C$2)/($C$3*(1-D18)+$C$2*D18)))</f>
        <v>5</v>
      </c>
      <c r="C18" s="5" t="n">
        <f aca="false">A18-B18</f>
        <v>0</v>
      </c>
      <c r="D18" s="1" t="n">
        <v>1</v>
      </c>
      <c r="E18" s="78" t="n">
        <v>5</v>
      </c>
      <c r="F18" s="78" t="n">
        <v>0</v>
      </c>
      <c r="G18" s="88" t="n">
        <f aca="false">IF(AND(E18&gt;0,F18=0),1,IFERROR((E18/MW_beta)/((E18/MW_beta)+(F18/MW_2m3b2oh)),""))</f>
        <v>1</v>
      </c>
    </row>
    <row r="19" customFormat="false" ht="14.25" hidden="false" customHeight="true" outlineLevel="0" collapsed="false">
      <c r="C19" s="5"/>
    </row>
    <row r="20" customFormat="false" ht="14.25" hidden="false" customHeight="true" outlineLevel="0" collapsed="false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4.25" hidden="false" customHeight="true" outlineLevel="0" collapsed="false">
      <c r="A21" s="78"/>
      <c r="B21" s="78" t="s">
        <v>212</v>
      </c>
      <c r="G21" s="78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88" t="n">
        <f aca="false">G8</f>
        <v>0</v>
      </c>
      <c r="B23" s="93" t="n">
        <f aca="false">densidad_viscosidad_puros!G5</f>
        <v>0.82388</v>
      </c>
      <c r="C23" s="93" t="n">
        <f aca="false">densidad_viscosidad_puros!G6</f>
        <v>0.81447</v>
      </c>
      <c r="D23" s="93" t="n">
        <f aca="false">densidad_viscosidad_puros!G7</f>
        <v>0.8047</v>
      </c>
      <c r="E23" s="93" t="n">
        <f aca="false">densidad_viscosidad_puros!G8</f>
        <v>0.79458</v>
      </c>
      <c r="F23" s="93" t="n">
        <f aca="false">densidad_viscosidad_puros!G9</f>
        <v>0.7841</v>
      </c>
      <c r="G23" s="88" t="n">
        <f aca="false">IFERROR((($A23*MW_beta)+((1-$A23)*MW_2m3b2oh))/B23-(($A23*MW_beta/B$33)+((1-$A23)*MW_2m3b2oh/B$23)),"")</f>
        <v>0</v>
      </c>
      <c r="H23" s="88" t="n">
        <f aca="false">IFERROR((($A23*MW_beta)+((1-$A23)*MW_2m3b2oh))/C23-(($A23*MW_beta/C$33)+((1-$A23)*MW_2m3b2oh/C$23)),"")</f>
        <v>0</v>
      </c>
      <c r="I23" s="88" t="n">
        <f aca="false">IFERROR((($A23*MW_beta)+((1-$A23)*MW_2m3b2oh))/D23-(($A23*MW_beta/D$33)+((1-$A23)*MW_2m3b2oh/D$23)),"")</f>
        <v>0</v>
      </c>
      <c r="J23" s="88" t="n">
        <f aca="false">IFERROR((($A23*MW_beta)+((1-$A23)*MW_2m3b2oh))/E23-(($A23*MW_beta/E$33)+((1-$A23)*MW_2m3b2oh/E$23)),"")</f>
        <v>0</v>
      </c>
      <c r="K23" s="88" t="n">
        <f aca="false">IFERROR((($A23*MW_beta)+((1-$A23)*MW_2m3b2oh))/F23-(($A23*MW_beta/F$33)+((1-$A23)*MW_2m3b2oh/F$23)),"")</f>
        <v>0</v>
      </c>
    </row>
    <row r="24" customFormat="false" ht="14.25" hidden="false" customHeight="true" outlineLevel="0" collapsed="false">
      <c r="A24" s="88" t="n">
        <f aca="false">G9</f>
        <v>0.0996094454144295</v>
      </c>
      <c r="B24" s="93" t="n">
        <v>0.84735</v>
      </c>
      <c r="C24" s="93" t="n">
        <v>0.83789</v>
      </c>
      <c r="D24" s="93" t="n">
        <v>0.8284</v>
      </c>
      <c r="E24" s="93" t="n">
        <v>0.81866</v>
      </c>
      <c r="F24" s="93" t="n">
        <v>0.80867</v>
      </c>
      <c r="G24" s="88" t="n">
        <f aca="false">IFERROR((($A24*MW_beta)+((1-$A24)*MW_2m3b2oh))/B24-(($A24*MW_beta/B$33)+((1-$A24)*MW_2m3b2oh/B$23)),"")</f>
        <v>-0.271695920032798</v>
      </c>
      <c r="H24" s="88" t="n">
        <f aca="false">IFERROR((($A24*MW_beta)+((1-$A24)*MW_2m3b2oh))/C24-(($A24*MW_beta/C$33)+((1-$A24)*MW_2m3b2oh/C$23)),"")</f>
        <v>-0.237649073052296</v>
      </c>
      <c r="I24" s="88" t="n">
        <f aca="false">IFERROR((($A24*MW_beta)+((1-$A24)*MW_2m3b2oh))/D24-(($A24*MW_beta/D$33)+((1-$A24)*MW_2m3b2oh/D$23)),"")</f>
        <v>-0.242124962065844</v>
      </c>
      <c r="J24" s="88" t="n">
        <f aca="false">IFERROR((($A24*MW_beta)+((1-$A24)*MW_2m3b2oh))/E24-(($A24*MW_beta/E$33)+((1-$A24)*MW_2m3b2oh/E$23)),"")</f>
        <v>-0.25460650333325</v>
      </c>
      <c r="K24" s="88" t="n">
        <f aca="false">IFERROR((($A24*MW_beta)+((1-$A24)*MW_2m3b2oh))/F24-(($A24*MW_beta/F$33)+((1-$A24)*MW_2m3b2oh/F$23)),"")</f>
        <v>-0.276243345136024</v>
      </c>
    </row>
    <row r="25" customFormat="false" ht="14.25" hidden="false" customHeight="true" outlineLevel="0" collapsed="false">
      <c r="A25" s="88" t="n">
        <f aca="false">G10</f>
        <v>0.197283787779712</v>
      </c>
      <c r="B25" s="93" t="n">
        <v>0.86523</v>
      </c>
      <c r="C25" s="93" t="n">
        <v>0.85629</v>
      </c>
      <c r="D25" s="93" t="n">
        <v>0.84711</v>
      </c>
      <c r="E25" s="93" t="n">
        <v>0.83774</v>
      </c>
      <c r="F25" s="93" t="n">
        <v>0.82815</v>
      </c>
      <c r="G25" s="88" t="n">
        <f aca="false">IFERROR((($A25*MW_beta)+((1-$A25)*MW_2m3b2oh))/B25-(($A25*MW_beta/B$33)+((1-$A25)*MW_2m3b2oh/B$23)),"")</f>
        <v>-0.310093677581023</v>
      </c>
      <c r="H25" s="88" t="n">
        <f aca="false">IFERROR((($A25*MW_beta)+((1-$A25)*MW_2m3b2oh))/C25-(($A25*MW_beta/C$33)+((1-$A25)*MW_2m3b2oh/C$23)),"")</f>
        <v>-0.31827545987629</v>
      </c>
      <c r="I25" s="88" t="n">
        <f aca="false">IFERROR((($A25*MW_beta)+((1-$A25)*MW_2m3b2oh))/D25-(($A25*MW_beta/D$33)+((1-$A25)*MW_2m3b2oh/D$23)),"")</f>
        <v>-0.331726614344674</v>
      </c>
      <c r="J25" s="88" t="n">
        <f aca="false">IFERROR((($A25*MW_beta)+((1-$A25)*MW_2m3b2oh))/E25-(($A25*MW_beta/E$33)+((1-$A25)*MW_2m3b2oh/E$23)),"")</f>
        <v>-0.356731141322058</v>
      </c>
      <c r="K25" s="88" t="n">
        <f aca="false">IFERROR((($A25*MW_beta)+((1-$A25)*MW_2m3b2oh))/F25-(($A25*MW_beta/F$33)+((1-$A25)*MW_2m3b2oh/F$23)),"")</f>
        <v>-0.38906900556222</v>
      </c>
    </row>
    <row r="26" customFormat="false" ht="14.25" hidden="false" customHeight="true" outlineLevel="0" collapsed="false">
      <c r="A26" s="88" t="n">
        <f aca="false">G11</f>
        <v>0.296041685966012</v>
      </c>
      <c r="B26" s="93" t="n">
        <v>0.88031</v>
      </c>
      <c r="C26" s="93" t="n">
        <v>0.87163</v>
      </c>
      <c r="D26" s="93" t="n">
        <v>0.86274</v>
      </c>
      <c r="E26" s="93" t="n">
        <v>0.8537</v>
      </c>
      <c r="F26" s="93" t="n">
        <v>0.84448</v>
      </c>
      <c r="G26" s="88" t="n">
        <f aca="false">IFERROR((($A26*MW_beta)+((1-$A26)*MW_2m3b2oh))/B26-(($A26*MW_beta/B$33)+((1-$A26)*MW_2m3b2oh/B$23)),"")</f>
        <v>-0.29185238996547</v>
      </c>
      <c r="H26" s="88" t="n">
        <f aca="false">IFERROR((($A26*MW_beta)+((1-$A26)*MW_2m3b2oh))/C26-(($A26*MW_beta/C$33)+((1-$A26)*MW_2m3b2oh/C$23)),"")</f>
        <v>-0.308438717383467</v>
      </c>
      <c r="I26" s="88" t="n">
        <f aca="false">IFERROR((($A26*MW_beta)+((1-$A26)*MW_2m3b2oh))/D26-(($A26*MW_beta/D$33)+((1-$A26)*MW_2m3b2oh/D$23)),"")</f>
        <v>-0.329559199415002</v>
      </c>
      <c r="J26" s="88" t="n">
        <f aca="false">IFERROR((($A26*MW_beta)+((1-$A26)*MW_2m3b2oh))/E26-(($A26*MW_beta/E$33)+((1-$A26)*MW_2m3b2oh/E$23)),"")</f>
        <v>-0.363240140418014</v>
      </c>
      <c r="K26" s="88" t="n">
        <f aca="false">IFERROR((($A26*MW_beta)+((1-$A26)*MW_2m3b2oh))/F26-(($A26*MW_beta/F$33)+((1-$A26)*MW_2m3b2oh/F$23)),"")</f>
        <v>-0.404053484113803</v>
      </c>
    </row>
    <row r="27" customFormat="false" ht="14.25" hidden="false" customHeight="true" outlineLevel="0" collapsed="false">
      <c r="A27" s="88" t="n">
        <f aca="false">G12</f>
        <v>0.396419244613166</v>
      </c>
      <c r="B27" s="93" t="n">
        <v>0.89316</v>
      </c>
      <c r="C27" s="93" t="n">
        <v>0.8848</v>
      </c>
      <c r="D27" s="93" t="n">
        <v>0.87617</v>
      </c>
      <c r="E27" s="93" t="n">
        <v>0.86742</v>
      </c>
      <c r="F27" s="93" t="n">
        <v>0.85853</v>
      </c>
      <c r="G27" s="88" t="n">
        <f aca="false">IFERROR((($A27*MW_beta)+((1-$A27)*MW_2m3b2oh))/B27-(($A27*MW_beta/B$33)+((1-$A27)*MW_2m3b2oh/B$23)),"")</f>
        <v>-0.214093603273312</v>
      </c>
      <c r="H27" s="88" t="n">
        <f aca="false">IFERROR((($A27*MW_beta)+((1-$A27)*MW_2m3b2oh))/C27-(($A27*MW_beta/C$33)+((1-$A27)*MW_2m3b2oh/C$23)),"")</f>
        <v>-0.251198152745076</v>
      </c>
      <c r="I27" s="88" t="n">
        <f aca="false">IFERROR((($A27*MW_beta)+((1-$A27)*MW_2m3b2oh))/D27-(($A27*MW_beta/D$33)+((1-$A27)*MW_2m3b2oh/D$23)),"")</f>
        <v>-0.277842425258569</v>
      </c>
      <c r="J27" s="88" t="n">
        <f aca="false">IFERROR((($A27*MW_beta)+((1-$A27)*MW_2m3b2oh))/E27-(($A27*MW_beta/E$33)+((1-$A27)*MW_2m3b2oh/E$23)),"")</f>
        <v>-0.316726592596581</v>
      </c>
      <c r="K27" s="88" t="n">
        <f aca="false">IFERROR((($A27*MW_beta)+((1-$A27)*MW_2m3b2oh))/F27-(($A27*MW_beta/F$33)+((1-$A27)*MW_2m3b2oh/F$23)),"")</f>
        <v>-0.362792280611387</v>
      </c>
    </row>
    <row r="28" customFormat="false" ht="14.25" hidden="false" customHeight="true" outlineLevel="0" collapsed="false">
      <c r="A28" s="88" t="n">
        <f aca="false">G13</f>
        <v>0.492444610206307</v>
      </c>
      <c r="B28" s="93" t="n">
        <v>0.90411</v>
      </c>
      <c r="C28" s="93" t="n">
        <v>0.89579</v>
      </c>
      <c r="D28" s="93" t="n">
        <v>0.88735</v>
      </c>
      <c r="E28" s="93" t="n">
        <v>0.87883</v>
      </c>
      <c r="F28" s="93" t="n">
        <v>0.8702</v>
      </c>
      <c r="G28" s="88" t="n">
        <f aca="false">IFERROR((($A28*MW_beta)+((1-$A28)*MW_2m3b2oh))/B28-(($A28*MW_beta/B$33)+((1-$A28)*MW_2m3b2oh/B$23)),"")</f>
        <v>-0.178582693303127</v>
      </c>
      <c r="H28" s="88" t="n">
        <f aca="false">IFERROR((($A28*MW_beta)+((1-$A28)*MW_2m3b2oh))/C28-(($A28*MW_beta/C$33)+((1-$A28)*MW_2m3b2oh/C$23)),"")</f>
        <v>-0.195124719634947</v>
      </c>
      <c r="I28" s="88" t="n">
        <f aca="false">IFERROR((($A28*MW_beta)+((1-$A28)*MW_2m3b2oh))/D28-(($A28*MW_beta/D$33)+((1-$A28)*MW_2m3b2oh/D$23)),"")</f>
        <v>-0.22063289151447</v>
      </c>
      <c r="J28" s="88" t="n">
        <f aca="false">IFERROR((($A28*MW_beta)+((1-$A28)*MW_2m3b2oh))/E28-(($A28*MW_beta/E$33)+((1-$A28)*MW_2m3b2oh/E$23)),"")</f>
        <v>-0.260253689968096</v>
      </c>
      <c r="K28" s="88" t="n">
        <f aca="false">IFERROR((($A28*MW_beta)+((1-$A28)*MW_2m3b2oh))/F28-(($A28*MW_beta/F$33)+((1-$A28)*MW_2m3b2oh/F$23)),"")</f>
        <v>-0.305973598424629</v>
      </c>
    </row>
    <row r="29" customFormat="false" ht="14.25" hidden="false" customHeight="true" outlineLevel="0" collapsed="false">
      <c r="A29" s="88" t="n">
        <f aca="false">G14</f>
        <v>0.595292092953273</v>
      </c>
      <c r="B29" s="93" t="n">
        <v>0.91437</v>
      </c>
      <c r="C29" s="93" t="n">
        <v>0.90623</v>
      </c>
      <c r="D29" s="93" t="n">
        <v>0.89798</v>
      </c>
      <c r="E29" s="93" t="n">
        <v>0.88967</v>
      </c>
      <c r="F29" s="93" t="n">
        <v>0.88128</v>
      </c>
      <c r="G29" s="88" t="n">
        <f aca="false">IFERROR((($A29*MW_beta)+((1-$A29)*MW_2m3b2oh))/B29-(($A29*MW_beta/B$33)+((1-$A29)*MW_2m3b2oh/B$23)),"")</f>
        <v>-0.131727406842543</v>
      </c>
      <c r="H29" s="88" t="n">
        <f aca="false">IFERROR((($A29*MW_beta)+((1-$A29)*MW_2m3b2oh))/C29-(($A29*MW_beta/C$33)+((1-$A29)*MW_2m3b2oh/C$23)),"")</f>
        <v>-0.151389116825783</v>
      </c>
      <c r="I29" s="88" t="n">
        <f aca="false">IFERROR((($A29*MW_beta)+((1-$A29)*MW_2m3b2oh))/D29-(($A29*MW_beta/D$33)+((1-$A29)*MW_2m3b2oh/D$23)),"")</f>
        <v>-0.176761256552794</v>
      </c>
      <c r="J29" s="88" t="n">
        <f aca="false">IFERROR((($A29*MW_beta)+((1-$A29)*MW_2m3b2oh))/E29-(($A29*MW_beta/E$33)+((1-$A29)*MW_2m3b2oh/E$23)),"")</f>
        <v>-0.214690127805056</v>
      </c>
      <c r="K29" s="88" t="n">
        <f aca="false">IFERROR((($A29*MW_beta)+((1-$A29)*MW_2m3b2oh))/F29-(($A29*MW_beta/F$33)+((1-$A29)*MW_2m3b2oh/F$23)),"")</f>
        <v>-0.257540391443229</v>
      </c>
    </row>
    <row r="30" customFormat="false" ht="14.25" hidden="false" customHeight="true" outlineLevel="0" collapsed="false">
      <c r="A30" s="88" t="n">
        <f aca="false">G15</f>
        <v>0.694045700879001</v>
      </c>
      <c r="B30" s="93" t="n">
        <v>0.92296</v>
      </c>
      <c r="C30" s="93" t="n">
        <v>0.91494</v>
      </c>
      <c r="D30" s="93" t="n">
        <v>0.90684</v>
      </c>
      <c r="E30" s="93" t="n">
        <v>0.89866</v>
      </c>
      <c r="F30" s="93" t="n">
        <v>0.89054</v>
      </c>
      <c r="G30" s="88" t="n">
        <f aca="false">IFERROR((($A30*MW_beta)+((1-$A30)*MW_2m3b2oh))/B30-(($A30*MW_beta/B$33)+((1-$A30)*MW_2m3b2oh/B$23)),"")</f>
        <v>-0.0639973048383524</v>
      </c>
      <c r="H30" s="88" t="n">
        <f aca="false">IFERROR((($A30*MW_beta)+((1-$A30)*MW_2m3b2oh))/C30-(($A30*MW_beta/C$33)+((1-$A30)*MW_2m3b2oh/C$23)),"")</f>
        <v>-0.079040883626476</v>
      </c>
      <c r="I30" s="88" t="n">
        <f aca="false">IFERROR((($A30*MW_beta)+((1-$A30)*MW_2m3b2oh))/D30-(($A30*MW_beta/D$33)+((1-$A30)*MW_2m3b2oh/D$23)),"")</f>
        <v>-0.100478761194978</v>
      </c>
      <c r="J30" s="88" t="n">
        <f aca="false">IFERROR((($A30*MW_beta)+((1-$A30)*MW_2m3b2oh))/E30-(($A30*MW_beta/E$33)+((1-$A30)*MW_2m3b2oh/E$23)),"")</f>
        <v>-0.125380286462644</v>
      </c>
      <c r="K30" s="88" t="n">
        <f aca="false">IFERROR((($A30*MW_beta)+((1-$A30)*MW_2m3b2oh))/F30-(($A30*MW_beta/F$33)+((1-$A30)*MW_2m3b2oh/F$23)),"")</f>
        <v>-0.176524797668776</v>
      </c>
    </row>
    <row r="31" customFormat="false" ht="14.25" hidden="false" customHeight="true" outlineLevel="0" collapsed="false">
      <c r="A31" s="88" t="n">
        <f aca="false">G16</f>
        <v>0.797345611911684</v>
      </c>
      <c r="B31" s="93" t="n">
        <v>0.93115</v>
      </c>
      <c r="C31" s="93" t="n">
        <v>0.92328</v>
      </c>
      <c r="D31" s="93" t="n">
        <v>0.91532</v>
      </c>
      <c r="E31" s="93" t="n">
        <v>0.90733</v>
      </c>
      <c r="F31" s="93" t="n">
        <v>0.8993</v>
      </c>
      <c r="G31" s="88" t="n">
        <f aca="false">IFERROR((($A31*MW_beta)+((1-$A31)*MW_2m3b2oh))/B31-(($A31*MW_beta/B$33)+((1-$A31)*MW_2m3b2oh/B$23)),"")</f>
        <v>-0.0307102492322997</v>
      </c>
      <c r="H31" s="88" t="n">
        <f aca="false">IFERROR((($A31*MW_beta)+((1-$A31)*MW_2m3b2oh))/C31-(($A31*MW_beta/C$33)+((1-$A31)*MW_2m3b2oh/C$23)),"")</f>
        <v>-0.0485586764441734</v>
      </c>
      <c r="I31" s="88" t="n">
        <f aca="false">IFERROR((($A31*MW_beta)+((1-$A31)*MW_2m3b2oh))/D31-(($A31*MW_beta/D$33)+((1-$A31)*MW_2m3b2oh/D$23)),"")</f>
        <v>-0.0659004260798213</v>
      </c>
      <c r="J31" s="88" t="n">
        <f aca="false">IFERROR((($A31*MW_beta)+((1-$A31)*MW_2m3b2oh))/E31-(($A31*MW_beta/E$33)+((1-$A31)*MW_2m3b2oh/E$23)),"")</f>
        <v>-0.0914685310370658</v>
      </c>
      <c r="K31" s="88" t="n">
        <f aca="false">IFERROR((($A31*MW_beta)+((1-$A31)*MW_2m3b2oh))/F31-(($A31*MW_beta/F$33)+((1-$A31)*MW_2m3b2oh/F$23)),"")</f>
        <v>-0.11677293712458</v>
      </c>
    </row>
    <row r="32" customFormat="false" ht="14.25" hidden="false" customHeight="true" outlineLevel="0" collapsed="false">
      <c r="A32" s="88" t="n">
        <f aca="false">G17</f>
        <v>0.897192362325708</v>
      </c>
      <c r="B32" s="93" t="n">
        <v>0.93847</v>
      </c>
      <c r="C32" s="93" t="n">
        <v>0.93065</v>
      </c>
      <c r="D32" s="93" t="n">
        <v>0.92277</v>
      </c>
      <c r="E32" s="93" t="n">
        <v>0.91489</v>
      </c>
      <c r="F32" s="93" t="n">
        <v>0.90704</v>
      </c>
      <c r="G32" s="88" t="n">
        <f aca="false">IFERROR((($A32*MW_beta)+((1-$A32)*MW_2m3b2oh))/B32-(($A32*MW_beta/B$33)+((1-$A32)*MW_2m3b2oh/B$23)),"")</f>
        <v>-0.0458342825775731</v>
      </c>
      <c r="H32" s="88" t="n">
        <f aca="false">IFERROR((($A32*MW_beta)+((1-$A32)*MW_2m3b2oh))/C32-(($A32*MW_beta/C$33)+((1-$A32)*MW_2m3b2oh/C$23)),"")</f>
        <v>-0.0497841401461301</v>
      </c>
      <c r="I32" s="88" t="n">
        <f aca="false">IFERROR((($A32*MW_beta)+((1-$A32)*MW_2m3b2oh))/D32-(($A32*MW_beta/D$33)+((1-$A32)*MW_2m3b2oh/D$23)),"")</f>
        <v>-0.0542196136540838</v>
      </c>
      <c r="J32" s="88" t="n">
        <f aca="false">IFERROR((($A32*MW_beta)+((1-$A32)*MW_2m3b2oh))/E32-(($A32*MW_beta/E$33)+((1-$A32)*MW_2m3b2oh/E$23)),"")</f>
        <v>-0.0680735219575865</v>
      </c>
      <c r="K32" s="88" t="n">
        <f aca="false">IFERROR((($A32*MW_beta)+((1-$A32)*MW_2m3b2oh))/F32-(($A32*MW_beta/F$33)+((1-$A32)*MW_2m3b2oh/F$23)),"")</f>
        <v>-0.0904655463076267</v>
      </c>
    </row>
    <row r="33" customFormat="false" ht="14.25" hidden="false" customHeight="true" outlineLevel="0" collapsed="false">
      <c r="A33" s="88" t="n">
        <f aca="false">G18</f>
        <v>1</v>
      </c>
      <c r="B33" s="93" t="n">
        <f aca="false">densidad_viscosidad_puros!G65</f>
        <v>0.94498</v>
      </c>
      <c r="C33" s="93" t="n">
        <f aca="false">densidad_viscosidad_puros!G66</f>
        <v>0.93726</v>
      </c>
      <c r="D33" s="93" t="n">
        <f aca="false">densidad_viscosidad_puros!G67</f>
        <v>0.9295</v>
      </c>
      <c r="E33" s="93" t="n">
        <f aca="false">densidad_viscosidad_puros!G68</f>
        <v>0.92172</v>
      </c>
      <c r="F33" s="93" t="n">
        <f aca="false">densidad_viscosidad_puros!G69</f>
        <v>0.91396</v>
      </c>
      <c r="G33" s="88" t="n">
        <f aca="false">IFERROR((($A33*MW_beta)+((1-$A33)*MW_2m3b2oh))/B33-(($A33*MW_beta/B$33)+((1-$A33)*MW_2m3b2oh/B$23)),"")</f>
        <v>0</v>
      </c>
      <c r="H33" s="88" t="n">
        <f aca="false">IFERROR((($A33*MW_beta)+((1-$A33)*MW_2m3b2oh))/C33-(($A33*MW_beta/C$33)+((1-$A33)*MW_2m3b2oh/C$23)),"")</f>
        <v>0</v>
      </c>
      <c r="I33" s="88" t="n">
        <f aca="false">IFERROR((($A33*MW_beta)+((1-$A33)*MW_2m3b2oh))/D33-(($A33*MW_beta/D$33)+((1-$A33)*MW_2m3b2oh/D$23)),"")</f>
        <v>0</v>
      </c>
      <c r="J33" s="88" t="n">
        <f aca="false">IFERROR((($A33*MW_beta)+((1-$A33)*MW_2m3b2oh))/E33-(($A33*MW_beta/E$33)+((1-$A33)*MW_2m3b2oh/E$23)),"")</f>
        <v>0</v>
      </c>
      <c r="K33" s="88" t="n">
        <f aca="false">IFERROR((($A33*MW_beta)+((1-$A33)*MW_2m3b2oh))/F33-(($A33*MW_beta/F$33)+((1-$A33)*MW_2m3b2oh/F$23)),"")</f>
        <v>0</v>
      </c>
    </row>
    <row r="34" customFormat="false" ht="14.25" hidden="false" customHeight="true" outlineLevel="0" collapsed="false">
      <c r="A34" s="78"/>
      <c r="B34" s="93"/>
      <c r="C34" s="93"/>
      <c r="D34" s="93"/>
      <c r="E34" s="93"/>
      <c r="F34" s="93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  <c r="G35" s="78"/>
      <c r="H35" s="78"/>
      <c r="I35" s="78"/>
      <c r="J35" s="78"/>
      <c r="K35" s="78"/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93"/>
      <c r="H36" s="93"/>
      <c r="I36" s="93"/>
      <c r="J36" s="93"/>
      <c r="K36" s="93"/>
      <c r="L36" s="93"/>
    </row>
    <row r="37" customFormat="false" ht="14.25" hidden="false" customHeight="true" outlineLevel="0" collapsed="false">
      <c r="A37" s="88" t="n">
        <f aca="false">G8</f>
        <v>0</v>
      </c>
      <c r="B37" s="78" t="n">
        <f aca="false">densidad_viscosidad_puros!I5</f>
        <v>2.353</v>
      </c>
      <c r="C37" s="78" t="n">
        <f aca="false">densidad_viscosidad_puros!I6</f>
        <v>1.682</v>
      </c>
      <c r="D37" s="78" t="n">
        <f aca="false">densidad_viscosidad_puros!I7</f>
        <v>1.247</v>
      </c>
      <c r="E37" s="78" t="n">
        <f aca="false">densidad_viscosidad_puros!I8</f>
        <v>0.964</v>
      </c>
      <c r="F37" s="78" t="n">
        <f aca="false">densidad_viscosidad_puros!I9</f>
        <v>0.757</v>
      </c>
      <c r="G37" s="93"/>
      <c r="H37" s="93"/>
      <c r="I37" s="93"/>
      <c r="J37" s="93"/>
      <c r="K37" s="93"/>
      <c r="L37" s="93"/>
    </row>
    <row r="38" customFormat="false" ht="14.25" hidden="false" customHeight="true" outlineLevel="0" collapsed="false">
      <c r="A38" s="88" t="n">
        <f aca="false">G9</f>
        <v>0.0996094454144295</v>
      </c>
      <c r="B38" s="78" t="n">
        <f aca="false">H53</f>
        <v>2.826</v>
      </c>
      <c r="C38" s="78" t="n">
        <f aca="false">H54</f>
        <v>2.021</v>
      </c>
      <c r="D38" s="78" t="n">
        <f aca="false">H55</f>
        <v>1.502</v>
      </c>
      <c r="E38" s="78" t="n">
        <f aca="false">H56</f>
        <v>1.154</v>
      </c>
      <c r="F38" s="78" t="n">
        <f aca="false">H57</f>
        <v>0.912</v>
      </c>
      <c r="G38" s="93"/>
      <c r="H38" s="93"/>
      <c r="I38" s="93"/>
      <c r="J38" s="93"/>
      <c r="K38" s="93"/>
      <c r="L38" s="93"/>
    </row>
    <row r="39" customFormat="false" ht="14.25" hidden="false" customHeight="true" outlineLevel="0" collapsed="false">
      <c r="A39" s="88" t="n">
        <f aca="false">G10</f>
        <v>0.197283787779712</v>
      </c>
      <c r="B39" s="93" t="n">
        <v>3.278</v>
      </c>
      <c r="C39" s="93" t="n">
        <v>2.35</v>
      </c>
      <c r="D39" s="93" t="n">
        <v>1.753</v>
      </c>
      <c r="E39" s="93" t="n">
        <v>1.352</v>
      </c>
      <c r="F39" s="93" t="n">
        <v>1.073</v>
      </c>
      <c r="G39" s="93"/>
      <c r="H39" s="93"/>
      <c r="I39" s="93"/>
      <c r="J39" s="93"/>
      <c r="K39" s="93"/>
      <c r="L39" s="93"/>
    </row>
    <row r="40" customFormat="false" ht="14.25" hidden="false" customHeight="true" outlineLevel="0" collapsed="false">
      <c r="A40" s="88" t="n">
        <f aca="false">G11</f>
        <v>0.296041685966012</v>
      </c>
      <c r="B40" s="93" t="n">
        <v>3.764</v>
      </c>
      <c r="C40" s="93" t="n">
        <v>2.698</v>
      </c>
      <c r="D40" s="93" t="n">
        <v>2.016</v>
      </c>
      <c r="E40" s="93" t="n">
        <v>1.56</v>
      </c>
      <c r="F40" s="93" t="n">
        <v>1.241</v>
      </c>
      <c r="G40" s="93"/>
      <c r="H40" s="93"/>
      <c r="I40" s="93"/>
      <c r="J40" s="93"/>
      <c r="K40" s="93"/>
      <c r="L40" s="93"/>
    </row>
    <row r="41" customFormat="false" ht="14.25" hidden="false" customHeight="true" outlineLevel="0" collapsed="false">
      <c r="A41" s="88" t="n">
        <f aca="false">G12</f>
        <v>0.396419244613166</v>
      </c>
      <c r="B41" s="93" t="n">
        <v>4.321</v>
      </c>
      <c r="C41" s="93" t="n">
        <v>3.087</v>
      </c>
      <c r="D41" s="93" t="n">
        <v>2.304</v>
      </c>
      <c r="E41" s="93" t="n">
        <v>1.783</v>
      </c>
      <c r="F41" s="93" t="n">
        <v>1.42</v>
      </c>
      <c r="G41" s="93"/>
      <c r="H41" s="93"/>
      <c r="I41" s="93"/>
      <c r="J41" s="93"/>
      <c r="K41" s="93"/>
      <c r="L41" s="93"/>
    </row>
    <row r="42" customFormat="false" ht="14.25" hidden="false" customHeight="true" outlineLevel="0" collapsed="false">
      <c r="A42" s="88" t="n">
        <f aca="false">G13</f>
        <v>0.492444610206307</v>
      </c>
      <c r="B42" s="93" t="n">
        <v>4.948</v>
      </c>
      <c r="C42" s="93" t="n">
        <v>3.51</v>
      </c>
      <c r="D42" s="93" t="n">
        <v>2.61</v>
      </c>
      <c r="E42" s="93" t="n">
        <v>2.016</v>
      </c>
      <c r="F42" s="93" t="n">
        <v>1.605</v>
      </c>
      <c r="G42" s="93"/>
      <c r="H42" s="93"/>
      <c r="I42" s="93"/>
      <c r="J42" s="93"/>
      <c r="K42" s="93"/>
      <c r="L42" s="93"/>
    </row>
    <row r="43" customFormat="false" ht="14.25" hidden="false" customHeight="true" outlineLevel="0" collapsed="false">
      <c r="A43" s="88" t="n">
        <f aca="false">G14</f>
        <v>0.595292092953273</v>
      </c>
      <c r="B43" s="93" t="n">
        <v>5.757</v>
      </c>
      <c r="C43" s="93" t="n">
        <v>4.038</v>
      </c>
      <c r="D43" s="93" t="n">
        <v>2.986</v>
      </c>
      <c r="E43" s="93" t="n">
        <v>2.296</v>
      </c>
      <c r="F43" s="93" t="n">
        <v>1.824</v>
      </c>
      <c r="G43" s="93"/>
      <c r="H43" s="93"/>
      <c r="I43" s="93"/>
      <c r="J43" s="93"/>
      <c r="K43" s="93"/>
      <c r="L43" s="93"/>
    </row>
    <row r="44" customFormat="false" ht="14.25" hidden="false" customHeight="true" outlineLevel="0" collapsed="false">
      <c r="A44" s="88" t="n">
        <f aca="false">G15</f>
        <v>0.694045700879001</v>
      </c>
      <c r="B44" s="93" t="n">
        <v>6.687</v>
      </c>
      <c r="C44" s="93" t="n">
        <v>4.636</v>
      </c>
      <c r="D44" s="93" t="n">
        <v>3.396</v>
      </c>
      <c r="E44" s="93" t="n">
        <v>2.59</v>
      </c>
      <c r="F44" s="93" t="n">
        <v>2.051</v>
      </c>
      <c r="G44" s="93"/>
      <c r="H44" s="93"/>
      <c r="I44" s="93"/>
      <c r="J44" s="93"/>
      <c r="K44" s="93"/>
      <c r="L44" s="93"/>
    </row>
    <row r="45" customFormat="false" ht="14.25" hidden="false" customHeight="true" outlineLevel="0" collapsed="false">
      <c r="A45" s="88" t="n">
        <f aca="false">G16</f>
        <v>0.797345611911684</v>
      </c>
      <c r="B45" s="93" t="n">
        <v>7.915</v>
      </c>
      <c r="C45" s="93" t="n">
        <v>5.372</v>
      </c>
      <c r="D45" s="93" t="n">
        <v>3.883</v>
      </c>
      <c r="E45" s="93" t="n">
        <v>2.945</v>
      </c>
      <c r="F45" s="93" t="n">
        <v>2.317</v>
      </c>
      <c r="G45" s="93"/>
      <c r="H45" s="93"/>
      <c r="I45" s="93"/>
      <c r="J45" s="93"/>
      <c r="K45" s="93"/>
      <c r="L45" s="93"/>
    </row>
    <row r="46" customFormat="false" ht="14.25" hidden="false" customHeight="true" outlineLevel="0" collapsed="false">
      <c r="A46" s="88" t="n">
        <f aca="false">G17</f>
        <v>0.897192362325708</v>
      </c>
      <c r="B46" s="93" t="n">
        <v>9.388</v>
      </c>
      <c r="C46" s="93" t="n">
        <v>6.239</v>
      </c>
      <c r="D46" s="93" t="n">
        <v>4.443</v>
      </c>
      <c r="E46" s="93" t="n">
        <v>3.334</v>
      </c>
      <c r="F46" s="93" t="n">
        <v>2.6</v>
      </c>
      <c r="G46" s="93"/>
      <c r="H46" s="93"/>
      <c r="I46" s="93"/>
      <c r="J46" s="93"/>
      <c r="K46" s="93"/>
      <c r="L46" s="93"/>
    </row>
    <row r="47" customFormat="false" ht="14.25" hidden="false" customHeight="true" outlineLevel="0" collapsed="false">
      <c r="A47" s="88" t="n">
        <f aca="false">G18</f>
        <v>1</v>
      </c>
      <c r="B47" s="78" t="n">
        <f aca="false">densidad_viscosidad_puros!I65</f>
        <v>11.31</v>
      </c>
      <c r="C47" s="78" t="n">
        <f aca="false">densidad_viscosidad_puros!I66</f>
        <v>7.323</v>
      </c>
      <c r="D47" s="78" t="n">
        <f aca="false">densidad_viscosidad_puros!I67</f>
        <v>5.121</v>
      </c>
      <c r="E47" s="78" t="n">
        <f aca="false">densidad_viscosidad_puros!I68</f>
        <v>3.792</v>
      </c>
      <c r="F47" s="78" t="n">
        <f aca="false">densidad_viscosidad_puros!I69</f>
        <v>2.938</v>
      </c>
      <c r="G47" s="93"/>
      <c r="H47" s="93"/>
      <c r="I47" s="93"/>
      <c r="J47" s="93"/>
      <c r="K47" s="93"/>
      <c r="L47" s="93"/>
    </row>
    <row r="48" customFormat="false" ht="14.25" hidden="false" customHeight="true" outlineLevel="0" collapsed="false"/>
    <row r="49" customFormat="false" ht="15.75" hidden="false" customHeight="true" outlineLevel="0" collapsed="false">
      <c r="A49" s="75" t="s">
        <v>237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</row>
    <row r="50" customFormat="false" ht="14.25" hidden="false" customHeight="true" outlineLevel="0" collapsed="false">
      <c r="A50" s="94" t="s">
        <v>238</v>
      </c>
      <c r="B50" s="94" t="s">
        <v>239</v>
      </c>
      <c r="C50" s="94" t="s">
        <v>240</v>
      </c>
      <c r="D50" s="94" t="s">
        <v>241</v>
      </c>
      <c r="E50" s="94" t="s">
        <v>242</v>
      </c>
      <c r="F50" s="94" t="s">
        <v>243</v>
      </c>
      <c r="G50" s="94" t="s">
        <v>244</v>
      </c>
      <c r="H50" s="94" t="s">
        <v>245</v>
      </c>
      <c r="I50" s="94" t="s">
        <v>246</v>
      </c>
      <c r="J50" s="94" t="s">
        <v>247</v>
      </c>
      <c r="K50" s="94" t="s">
        <v>248</v>
      </c>
      <c r="L50" s="94" t="s">
        <v>249</v>
      </c>
      <c r="M50" s="94" t="s">
        <v>250</v>
      </c>
    </row>
    <row r="51" customFormat="false" ht="14.25" hidden="false" customHeight="true" outlineLevel="0" collapsed="false">
      <c r="A51" s="93"/>
      <c r="B51" s="93"/>
      <c r="C51" s="93"/>
      <c r="D51" s="94" t="s">
        <v>102</v>
      </c>
      <c r="E51" s="94" t="s">
        <v>102</v>
      </c>
      <c r="F51" s="94" t="s">
        <v>93</v>
      </c>
      <c r="G51" s="94" t="s">
        <v>92</v>
      </c>
      <c r="H51" s="94" t="s">
        <v>94</v>
      </c>
      <c r="I51" s="94" t="s">
        <v>286</v>
      </c>
      <c r="J51" s="94" t="s">
        <v>92</v>
      </c>
      <c r="K51" s="94" t="s">
        <v>287</v>
      </c>
      <c r="L51" s="94" t="s">
        <v>287</v>
      </c>
      <c r="M51" s="94" t="s">
        <v>102</v>
      </c>
    </row>
    <row r="52" customFormat="false" ht="14.25" hidden="false" customHeight="true" outlineLevel="0" collapsed="false">
      <c r="A52" s="93" t="n">
        <v>12822</v>
      </c>
      <c r="B52" s="95" t="n">
        <v>45980</v>
      </c>
      <c r="C52" s="96" t="n">
        <v>0.78994212962963</v>
      </c>
      <c r="D52" s="93" t="s">
        <v>288</v>
      </c>
      <c r="E52" s="93" t="s">
        <v>253</v>
      </c>
      <c r="F52" s="93" t="s">
        <v>289</v>
      </c>
      <c r="G52" s="93" t="s">
        <v>289</v>
      </c>
      <c r="H52" s="93" t="s">
        <v>289</v>
      </c>
      <c r="I52" s="93" t="s">
        <v>289</v>
      </c>
      <c r="J52" s="93" t="s">
        <v>289</v>
      </c>
      <c r="K52" s="93" t="s">
        <v>289</v>
      </c>
      <c r="L52" s="93" t="s">
        <v>289</v>
      </c>
      <c r="M52" s="93" t="s">
        <v>254</v>
      </c>
    </row>
    <row r="53" customFormat="false" ht="14.25" hidden="false" customHeight="true" outlineLevel="0" collapsed="false">
      <c r="A53" s="93" t="n">
        <v>12823</v>
      </c>
      <c r="B53" s="95" t="n">
        <v>45980</v>
      </c>
      <c r="C53" s="96" t="n">
        <v>0.760601851851852</v>
      </c>
      <c r="D53" s="93" t="s">
        <v>288</v>
      </c>
      <c r="E53" s="93" t="s">
        <v>253</v>
      </c>
      <c r="F53" s="93" t="n">
        <v>0.84735</v>
      </c>
      <c r="G53" s="93" t="n">
        <v>20.14</v>
      </c>
      <c r="H53" s="93" t="n">
        <v>2.826</v>
      </c>
      <c r="I53" s="93" t="n">
        <v>3.335</v>
      </c>
      <c r="J53" s="93" t="n">
        <v>20</v>
      </c>
      <c r="K53" s="93" t="n">
        <v>0.01</v>
      </c>
      <c r="L53" s="93" t="n">
        <v>0.23</v>
      </c>
      <c r="M53" s="93" t="s">
        <v>254</v>
      </c>
    </row>
    <row r="54" customFormat="false" ht="14.25" hidden="false" customHeight="true" outlineLevel="0" collapsed="false">
      <c r="A54" s="93" t="n">
        <v>12824</v>
      </c>
      <c r="B54" s="95" t="n">
        <v>45980</v>
      </c>
      <c r="C54" s="96" t="n">
        <v>0.765613425925926</v>
      </c>
      <c r="D54" s="93" t="s">
        <v>288</v>
      </c>
      <c r="E54" s="93" t="s">
        <v>253</v>
      </c>
      <c r="F54" s="93" t="n">
        <v>0.83789</v>
      </c>
      <c r="G54" s="93" t="n">
        <v>29.97</v>
      </c>
      <c r="H54" s="93" t="n">
        <v>2.021</v>
      </c>
      <c r="I54" s="93" t="n">
        <v>2.411</v>
      </c>
      <c r="J54" s="93" t="n">
        <v>30</v>
      </c>
      <c r="K54" s="93" t="n">
        <v>0.03</v>
      </c>
      <c r="L54" s="93" t="n">
        <v>0.56</v>
      </c>
      <c r="M54" s="93" t="s">
        <v>254</v>
      </c>
    </row>
    <row r="55" customFormat="false" ht="14.25" hidden="false" customHeight="true" outlineLevel="0" collapsed="false">
      <c r="A55" s="93" t="n">
        <v>12825</v>
      </c>
      <c r="B55" s="95" t="n">
        <v>45980</v>
      </c>
      <c r="C55" s="96" t="n">
        <v>0.771134259259259</v>
      </c>
      <c r="D55" s="93" t="s">
        <v>288</v>
      </c>
      <c r="E55" s="93" t="s">
        <v>253</v>
      </c>
      <c r="F55" s="93" t="n">
        <v>0.8284</v>
      </c>
      <c r="G55" s="93" t="n">
        <v>39.97</v>
      </c>
      <c r="H55" s="93" t="n">
        <v>1.502</v>
      </c>
      <c r="I55" s="93" t="n">
        <v>1.813</v>
      </c>
      <c r="J55" s="93" t="n">
        <v>40</v>
      </c>
      <c r="K55" s="93" t="n">
        <v>0.05</v>
      </c>
      <c r="L55" s="93" t="n">
        <v>0.72</v>
      </c>
      <c r="M55" s="93" t="s">
        <v>254</v>
      </c>
    </row>
    <row r="56" customFormat="false" ht="14.25" hidden="false" customHeight="true" outlineLevel="0" collapsed="false">
      <c r="A56" s="93" t="n">
        <v>12826</v>
      </c>
      <c r="B56" s="95" t="n">
        <v>45980</v>
      </c>
      <c r="C56" s="96" t="n">
        <v>0.779236111111111</v>
      </c>
      <c r="D56" s="93" t="s">
        <v>288</v>
      </c>
      <c r="E56" s="93" t="s">
        <v>253</v>
      </c>
      <c r="F56" s="93" t="n">
        <v>0.81866</v>
      </c>
      <c r="G56" s="93" t="n">
        <v>49.97</v>
      </c>
      <c r="H56" s="93" t="n">
        <v>1.154</v>
      </c>
      <c r="I56" s="93" t="n">
        <v>1.41</v>
      </c>
      <c r="J56" s="93" t="n">
        <v>50</v>
      </c>
      <c r="K56" s="93" t="n">
        <v>0.06</v>
      </c>
      <c r="L56" s="93" t="n">
        <v>1.05</v>
      </c>
      <c r="M56" s="93" t="s">
        <v>254</v>
      </c>
    </row>
    <row r="57" customFormat="false" ht="14.25" hidden="false" customHeight="true" outlineLevel="0" collapsed="false">
      <c r="A57" s="93" t="n">
        <v>12827</v>
      </c>
      <c r="B57" s="95" t="n">
        <v>45980</v>
      </c>
      <c r="C57" s="96" t="n">
        <v>0.789907407407407</v>
      </c>
      <c r="D57" s="93" t="s">
        <v>288</v>
      </c>
      <c r="E57" s="93" t="s">
        <v>253</v>
      </c>
      <c r="F57" s="93" t="n">
        <v>0.80867</v>
      </c>
      <c r="G57" s="93" t="n">
        <v>59.98</v>
      </c>
      <c r="H57" s="93" t="n">
        <v>0.912</v>
      </c>
      <c r="I57" s="93" t="n">
        <v>1.128</v>
      </c>
      <c r="J57" s="93" t="n">
        <v>60</v>
      </c>
      <c r="K57" s="93" t="n">
        <v>0.03</v>
      </c>
      <c r="L57" s="93" t="n">
        <v>1.23</v>
      </c>
      <c r="M57" s="93" t="s">
        <v>254</v>
      </c>
    </row>
    <row r="58" customFormat="false" ht="14.25" hidden="false" customHeight="true" outlineLevel="0" collapsed="false">
      <c r="A58" s="93" t="n">
        <v>12829</v>
      </c>
      <c r="B58" s="95" t="n">
        <v>45981</v>
      </c>
      <c r="C58" s="96" t="n">
        <v>0.346076388888889</v>
      </c>
      <c r="D58" s="93" t="s">
        <v>290</v>
      </c>
      <c r="E58" s="93" t="s">
        <v>291</v>
      </c>
      <c r="F58" s="93" t="n">
        <v>0.86513</v>
      </c>
      <c r="G58" s="93" t="n">
        <v>20.1</v>
      </c>
      <c r="H58" s="93" t="s">
        <v>289</v>
      </c>
      <c r="I58" s="93" t="s">
        <v>289</v>
      </c>
      <c r="J58" s="93" t="n">
        <v>20</v>
      </c>
      <c r="K58" s="93" t="s">
        <v>289</v>
      </c>
      <c r="L58" s="93" t="s">
        <v>289</v>
      </c>
      <c r="M58" s="93" t="s">
        <v>254</v>
      </c>
    </row>
    <row r="59" customFormat="false" ht="14.25" hidden="false" customHeight="true" outlineLevel="0" collapsed="false">
      <c r="A59" s="93" t="n">
        <v>12831</v>
      </c>
      <c r="B59" s="95" t="n">
        <v>45981</v>
      </c>
      <c r="C59" s="96" t="n">
        <v>0.348321759259259</v>
      </c>
      <c r="D59" s="93" t="s">
        <v>290</v>
      </c>
      <c r="E59" s="93" t="s">
        <v>292</v>
      </c>
      <c r="F59" s="93" t="n">
        <v>0.86522</v>
      </c>
      <c r="G59" s="93" t="n">
        <v>20</v>
      </c>
      <c r="H59" s="93" t="s">
        <v>289</v>
      </c>
      <c r="I59" s="93" t="s">
        <v>289</v>
      </c>
      <c r="J59" s="93" t="n">
        <v>20</v>
      </c>
      <c r="K59" s="93" t="s">
        <v>289</v>
      </c>
      <c r="L59" s="93" t="s">
        <v>289</v>
      </c>
      <c r="M59" s="93" t="s">
        <v>254</v>
      </c>
    </row>
    <row r="60" customFormat="false" ht="14.25" hidden="false" customHeight="true" outlineLevel="0" collapsed="false">
      <c r="A60" s="93" t="n">
        <v>12832</v>
      </c>
      <c r="B60" s="95" t="n">
        <v>45981</v>
      </c>
      <c r="C60" s="96" t="n">
        <v>0.348668981481482</v>
      </c>
      <c r="D60" s="93" t="s">
        <v>290</v>
      </c>
      <c r="E60" s="93" t="s">
        <v>293</v>
      </c>
      <c r="F60" s="93" t="s">
        <v>289</v>
      </c>
      <c r="G60" s="93" t="s">
        <v>289</v>
      </c>
      <c r="H60" s="93" t="s">
        <v>289</v>
      </c>
      <c r="I60" s="93" t="s">
        <v>289</v>
      </c>
      <c r="J60" s="93" t="s">
        <v>289</v>
      </c>
      <c r="K60" s="93" t="s">
        <v>289</v>
      </c>
      <c r="L60" s="93" t="s">
        <v>289</v>
      </c>
      <c r="M60" s="93" t="s">
        <v>254</v>
      </c>
    </row>
    <row r="61" customFormat="false" ht="14.25" hidden="false" customHeight="true" outlineLevel="0" collapsed="false">
      <c r="A61" s="93" t="n">
        <v>12833</v>
      </c>
      <c r="B61" s="95" t="n">
        <v>45981</v>
      </c>
      <c r="C61" s="96" t="n">
        <v>0.386006944444444</v>
      </c>
      <c r="D61" s="93" t="s">
        <v>290</v>
      </c>
      <c r="E61" s="93" t="s">
        <v>253</v>
      </c>
      <c r="F61" s="93" t="s">
        <v>289</v>
      </c>
      <c r="G61" s="93" t="s">
        <v>289</v>
      </c>
      <c r="H61" s="93" t="s">
        <v>289</v>
      </c>
      <c r="I61" s="93" t="s">
        <v>289</v>
      </c>
      <c r="J61" s="93" t="s">
        <v>289</v>
      </c>
      <c r="K61" s="93" t="s">
        <v>289</v>
      </c>
      <c r="L61" s="93" t="s">
        <v>289</v>
      </c>
      <c r="M61" s="93" t="s">
        <v>254</v>
      </c>
    </row>
    <row r="62" customFormat="false" ht="14.25" hidden="false" customHeight="true" outlineLevel="0" collapsed="false">
      <c r="A62" s="93" t="n">
        <v>12834</v>
      </c>
      <c r="B62" s="95" t="n">
        <v>45981</v>
      </c>
      <c r="C62" s="96" t="n">
        <v>0.353252314814815</v>
      </c>
      <c r="D62" s="93" t="s">
        <v>290</v>
      </c>
      <c r="E62" s="93" t="s">
        <v>253</v>
      </c>
      <c r="F62" s="93" t="n">
        <v>0.86523</v>
      </c>
      <c r="G62" s="93" t="n">
        <v>20.01</v>
      </c>
      <c r="H62" s="93" t="n">
        <v>3.278</v>
      </c>
      <c r="I62" s="93" t="n">
        <v>3.788</v>
      </c>
      <c r="J62" s="93" t="n">
        <v>20</v>
      </c>
      <c r="K62" s="93" t="n">
        <v>0</v>
      </c>
      <c r="L62" s="93" t="n">
        <v>0.41</v>
      </c>
      <c r="M62" s="93" t="s">
        <v>254</v>
      </c>
    </row>
    <row r="63" customFormat="false" ht="14.25" hidden="false" customHeight="true" outlineLevel="0" collapsed="false">
      <c r="A63" s="93" t="n">
        <v>12835</v>
      </c>
      <c r="B63" s="95" t="n">
        <v>45981</v>
      </c>
      <c r="C63" s="96" t="n">
        <v>0.359097222222222</v>
      </c>
      <c r="D63" s="93" t="s">
        <v>290</v>
      </c>
      <c r="E63" s="93" t="s">
        <v>253</v>
      </c>
      <c r="F63" s="93" t="n">
        <v>0.85629</v>
      </c>
      <c r="G63" s="93" t="n">
        <v>29.97</v>
      </c>
      <c r="H63" s="93" t="n">
        <v>2.35</v>
      </c>
      <c r="I63" s="93" t="n">
        <v>2.745</v>
      </c>
      <c r="J63" s="93" t="n">
        <v>30</v>
      </c>
      <c r="K63" s="93" t="n">
        <v>0.04</v>
      </c>
      <c r="L63" s="93" t="n">
        <v>0.69</v>
      </c>
      <c r="M63" s="93" t="s">
        <v>254</v>
      </c>
    </row>
    <row r="64" customFormat="false" ht="14.25" hidden="false" customHeight="true" outlineLevel="0" collapsed="false">
      <c r="A64" s="93" t="n">
        <v>12836</v>
      </c>
      <c r="B64" s="95" t="n">
        <v>45981</v>
      </c>
      <c r="C64" s="96" t="n">
        <v>0.365474537037037</v>
      </c>
      <c r="D64" s="93" t="s">
        <v>290</v>
      </c>
      <c r="E64" s="93" t="s">
        <v>253</v>
      </c>
      <c r="F64" s="93" t="n">
        <v>0.84711</v>
      </c>
      <c r="G64" s="93" t="n">
        <v>39.97</v>
      </c>
      <c r="H64" s="93" t="n">
        <v>1.753</v>
      </c>
      <c r="I64" s="93" t="n">
        <v>2.069</v>
      </c>
      <c r="J64" s="93" t="n">
        <v>40</v>
      </c>
      <c r="K64" s="93" t="n">
        <v>0.02</v>
      </c>
      <c r="L64" s="93" t="n">
        <v>0.73</v>
      </c>
      <c r="M64" s="93" t="s">
        <v>254</v>
      </c>
    </row>
    <row r="65" customFormat="false" ht="14.25" hidden="false" customHeight="true" outlineLevel="0" collapsed="false">
      <c r="A65" s="93" t="n">
        <v>12837</v>
      </c>
      <c r="B65" s="95" t="n">
        <v>45981</v>
      </c>
      <c r="C65" s="96" t="n">
        <v>0.37525462962963</v>
      </c>
      <c r="D65" s="93" t="s">
        <v>290</v>
      </c>
      <c r="E65" s="93" t="s">
        <v>253</v>
      </c>
      <c r="F65" s="93" t="n">
        <v>0.83774</v>
      </c>
      <c r="G65" s="93" t="n">
        <v>49.98</v>
      </c>
      <c r="H65" s="93" t="n">
        <v>1.352</v>
      </c>
      <c r="I65" s="93" t="n">
        <v>1.614</v>
      </c>
      <c r="J65" s="93" t="n">
        <v>50</v>
      </c>
      <c r="K65" s="93" t="n">
        <v>0</v>
      </c>
      <c r="L65" s="93" t="n">
        <v>0.95</v>
      </c>
      <c r="M65" s="93" t="s">
        <v>254</v>
      </c>
    </row>
    <row r="66" customFormat="false" ht="14.25" hidden="false" customHeight="true" outlineLevel="0" collapsed="false">
      <c r="A66" s="93" t="n">
        <v>12838</v>
      </c>
      <c r="B66" s="95" t="n">
        <v>45981</v>
      </c>
      <c r="C66" s="96" t="n">
        <v>0.385960648148148</v>
      </c>
      <c r="D66" s="93" t="s">
        <v>290</v>
      </c>
      <c r="E66" s="93" t="s">
        <v>253</v>
      </c>
      <c r="F66" s="93" t="n">
        <v>0.82815</v>
      </c>
      <c r="G66" s="93" t="n">
        <v>59.98</v>
      </c>
      <c r="H66" s="93" t="n">
        <v>1.073</v>
      </c>
      <c r="I66" s="93" t="n">
        <v>1.296</v>
      </c>
      <c r="J66" s="93" t="n">
        <v>60</v>
      </c>
      <c r="K66" s="93" t="n">
        <v>0.03</v>
      </c>
      <c r="L66" s="93" t="n">
        <v>0.93</v>
      </c>
      <c r="M66" s="93" t="s">
        <v>254</v>
      </c>
    </row>
    <row r="67" customFormat="false" ht="14.25" hidden="false" customHeight="true" outlineLevel="0" collapsed="false">
      <c r="A67" s="93" t="n">
        <v>12839</v>
      </c>
      <c r="B67" s="95" t="n">
        <v>45981</v>
      </c>
      <c r="C67" s="96" t="n">
        <v>0.441585648148148</v>
      </c>
      <c r="D67" s="93" t="s">
        <v>294</v>
      </c>
      <c r="E67" s="93" t="s">
        <v>253</v>
      </c>
      <c r="F67" s="93" t="s">
        <v>289</v>
      </c>
      <c r="G67" s="93" t="s">
        <v>289</v>
      </c>
      <c r="H67" s="93" t="s">
        <v>289</v>
      </c>
      <c r="I67" s="93" t="s">
        <v>289</v>
      </c>
      <c r="J67" s="93" t="s">
        <v>289</v>
      </c>
      <c r="K67" s="93" t="s">
        <v>289</v>
      </c>
      <c r="L67" s="93" t="s">
        <v>289</v>
      </c>
      <c r="M67" s="93" t="s">
        <v>254</v>
      </c>
    </row>
    <row r="68" customFormat="false" ht="14.25" hidden="false" customHeight="true" outlineLevel="0" collapsed="false">
      <c r="A68" s="93" t="n">
        <v>12840</v>
      </c>
      <c r="B68" s="95" t="n">
        <v>45981</v>
      </c>
      <c r="C68" s="96" t="n">
        <v>0.415104166666667</v>
      </c>
      <c r="D68" s="93" t="s">
        <v>294</v>
      </c>
      <c r="E68" s="93" t="s">
        <v>253</v>
      </c>
      <c r="F68" s="93" t="n">
        <v>0.88031</v>
      </c>
      <c r="G68" s="93" t="n">
        <v>20.02</v>
      </c>
      <c r="H68" s="93" t="n">
        <v>3.764</v>
      </c>
      <c r="I68" s="93" t="n">
        <v>4.275</v>
      </c>
      <c r="J68" s="93" t="n">
        <v>20</v>
      </c>
      <c r="K68" s="93" t="n">
        <v>0.07</v>
      </c>
      <c r="L68" s="93" t="n">
        <v>0.25</v>
      </c>
      <c r="M68" s="93" t="s">
        <v>254</v>
      </c>
    </row>
    <row r="69" customFormat="false" ht="14.25" hidden="false" customHeight="true" outlineLevel="0" collapsed="false">
      <c r="A69" s="93" t="n">
        <v>12841</v>
      </c>
      <c r="B69" s="95" t="n">
        <v>45981</v>
      </c>
      <c r="C69" s="96" t="n">
        <v>0.420069444444444</v>
      </c>
      <c r="D69" s="93" t="s">
        <v>294</v>
      </c>
      <c r="E69" s="93" t="s">
        <v>253</v>
      </c>
      <c r="F69" s="93" t="n">
        <v>0.87163</v>
      </c>
      <c r="G69" s="93" t="n">
        <v>29.98</v>
      </c>
      <c r="H69" s="93" t="n">
        <v>2.698</v>
      </c>
      <c r="I69" s="93" t="n">
        <v>3.096</v>
      </c>
      <c r="J69" s="93" t="n">
        <v>30</v>
      </c>
      <c r="K69" s="93" t="n">
        <v>0.06</v>
      </c>
      <c r="L69" s="93" t="n">
        <v>0.65</v>
      </c>
      <c r="M69" s="93" t="s">
        <v>254</v>
      </c>
    </row>
    <row r="70" customFormat="false" ht="14.25" hidden="false" customHeight="true" outlineLevel="0" collapsed="false">
      <c r="A70" s="93" t="n">
        <v>12842</v>
      </c>
      <c r="B70" s="95" t="n">
        <v>45981</v>
      </c>
      <c r="C70" s="96" t="n">
        <v>0.42494212962963</v>
      </c>
      <c r="D70" s="93" t="s">
        <v>294</v>
      </c>
      <c r="E70" s="93" t="s">
        <v>253</v>
      </c>
      <c r="F70" s="93" t="n">
        <v>0.86274</v>
      </c>
      <c r="G70" s="93" t="n">
        <v>39.98</v>
      </c>
      <c r="H70" s="93" t="n">
        <v>2.016</v>
      </c>
      <c r="I70" s="93" t="n">
        <v>2.337</v>
      </c>
      <c r="J70" s="93" t="n">
        <v>40</v>
      </c>
      <c r="K70" s="93" t="n">
        <v>0.01</v>
      </c>
      <c r="L70" s="93" t="n">
        <v>0.62</v>
      </c>
      <c r="M70" s="93" t="s">
        <v>254</v>
      </c>
    </row>
    <row r="71" customFormat="false" ht="14.25" hidden="false" customHeight="true" outlineLevel="0" collapsed="false">
      <c r="A71" s="93" t="n">
        <v>12843</v>
      </c>
      <c r="B71" s="95" t="n">
        <v>45981</v>
      </c>
      <c r="C71" s="96" t="n">
        <v>0.431145833333333</v>
      </c>
      <c r="D71" s="93" t="s">
        <v>294</v>
      </c>
      <c r="E71" s="93" t="s">
        <v>253</v>
      </c>
      <c r="F71" s="93" t="n">
        <v>0.8537</v>
      </c>
      <c r="G71" s="93" t="n">
        <v>49.97</v>
      </c>
      <c r="H71" s="93" t="n">
        <v>1.56</v>
      </c>
      <c r="I71" s="93" t="n">
        <v>1.827</v>
      </c>
      <c r="J71" s="93" t="n">
        <v>50</v>
      </c>
      <c r="K71" s="93" t="n">
        <v>0.02</v>
      </c>
      <c r="L71" s="93" t="n">
        <v>0.69</v>
      </c>
      <c r="M71" s="93" t="s">
        <v>254</v>
      </c>
    </row>
    <row r="72" customFormat="false" ht="14.25" hidden="false" customHeight="true" outlineLevel="0" collapsed="false">
      <c r="A72" s="93" t="n">
        <v>12844</v>
      </c>
      <c r="B72" s="95" t="n">
        <v>45981</v>
      </c>
      <c r="C72" s="96" t="n">
        <v>0.441539351851852</v>
      </c>
      <c r="D72" s="93" t="s">
        <v>294</v>
      </c>
      <c r="E72" s="93" t="s">
        <v>253</v>
      </c>
      <c r="F72" s="93" t="n">
        <v>0.84448</v>
      </c>
      <c r="G72" s="93" t="n">
        <v>59.98</v>
      </c>
      <c r="H72" s="93" t="n">
        <v>1.241</v>
      </c>
      <c r="I72" s="93" t="n">
        <v>1.47</v>
      </c>
      <c r="J72" s="93" t="n">
        <v>60</v>
      </c>
      <c r="K72" s="93" t="n">
        <v>0.01</v>
      </c>
      <c r="L72" s="93" t="n">
        <v>0.93</v>
      </c>
      <c r="M72" s="93" t="s">
        <v>254</v>
      </c>
    </row>
    <row r="73" customFormat="false" ht="14.25" hidden="false" customHeight="true" outlineLevel="0" collapsed="false">
      <c r="A73" s="93" t="n">
        <v>12845</v>
      </c>
      <c r="B73" s="95" t="n">
        <v>45981</v>
      </c>
      <c r="C73" s="96" t="n">
        <v>0.515902777777778</v>
      </c>
      <c r="D73" s="93" t="s">
        <v>295</v>
      </c>
      <c r="E73" s="93" t="s">
        <v>253</v>
      </c>
      <c r="F73" s="93" t="s">
        <v>289</v>
      </c>
      <c r="G73" s="93" t="s">
        <v>289</v>
      </c>
      <c r="H73" s="93" t="s">
        <v>289</v>
      </c>
      <c r="I73" s="93" t="s">
        <v>289</v>
      </c>
      <c r="J73" s="93" t="s">
        <v>289</v>
      </c>
      <c r="K73" s="93" t="s">
        <v>289</v>
      </c>
      <c r="L73" s="93" t="s">
        <v>289</v>
      </c>
      <c r="M73" s="93" t="s">
        <v>254</v>
      </c>
    </row>
    <row r="74" customFormat="false" ht="14.25" hidden="false" customHeight="true" outlineLevel="0" collapsed="false">
      <c r="A74" s="93" t="n">
        <v>12846</v>
      </c>
      <c r="B74" s="95" t="n">
        <v>45981</v>
      </c>
      <c r="C74" s="96" t="n">
        <v>0.489166666666667</v>
      </c>
      <c r="D74" s="93" t="s">
        <v>295</v>
      </c>
      <c r="E74" s="93" t="s">
        <v>253</v>
      </c>
      <c r="F74" s="93" t="n">
        <v>0.89316</v>
      </c>
      <c r="G74" s="93" t="n">
        <v>20.09</v>
      </c>
      <c r="H74" s="93" t="n">
        <v>4.321</v>
      </c>
      <c r="I74" s="93" t="n">
        <v>4.838</v>
      </c>
      <c r="J74" s="93" t="n">
        <v>20</v>
      </c>
      <c r="K74" s="93" t="n">
        <v>0.02</v>
      </c>
      <c r="L74" s="93" t="n">
        <v>0.33</v>
      </c>
      <c r="M74" s="93" t="s">
        <v>254</v>
      </c>
    </row>
    <row r="75" customFormat="false" ht="14.25" hidden="false" customHeight="true" outlineLevel="0" collapsed="false">
      <c r="A75" s="93" t="n">
        <v>12847</v>
      </c>
      <c r="B75" s="95" t="n">
        <v>45981</v>
      </c>
      <c r="C75" s="96" t="n">
        <v>0.49443287037037</v>
      </c>
      <c r="D75" s="93" t="s">
        <v>295</v>
      </c>
      <c r="E75" s="93" t="s">
        <v>253</v>
      </c>
      <c r="F75" s="93" t="n">
        <v>0.8848</v>
      </c>
      <c r="G75" s="93" t="n">
        <v>29.98</v>
      </c>
      <c r="H75" s="93" t="n">
        <v>3.087</v>
      </c>
      <c r="I75" s="93" t="n">
        <v>3.489</v>
      </c>
      <c r="J75" s="93" t="n">
        <v>30</v>
      </c>
      <c r="K75" s="93" t="n">
        <v>0.02</v>
      </c>
      <c r="L75" s="93" t="n">
        <v>0.51</v>
      </c>
      <c r="M75" s="93" t="s">
        <v>254</v>
      </c>
    </row>
    <row r="76" customFormat="false" ht="14.25" hidden="false" customHeight="true" outlineLevel="0" collapsed="false">
      <c r="A76" s="93" t="n">
        <v>12848</v>
      </c>
      <c r="B76" s="95" t="n">
        <v>45981</v>
      </c>
      <c r="C76" s="96" t="n">
        <v>0.499351851851852</v>
      </c>
      <c r="D76" s="93" t="s">
        <v>295</v>
      </c>
      <c r="E76" s="93" t="s">
        <v>253</v>
      </c>
      <c r="F76" s="93" t="n">
        <v>0.87617</v>
      </c>
      <c r="G76" s="93" t="n">
        <v>39.98</v>
      </c>
      <c r="H76" s="93" t="n">
        <v>2.304</v>
      </c>
      <c r="I76" s="93" t="n">
        <v>2.63</v>
      </c>
      <c r="J76" s="93" t="n">
        <v>40</v>
      </c>
      <c r="K76" s="93" t="n">
        <v>0.04</v>
      </c>
      <c r="L76" s="93" t="n">
        <v>0.61</v>
      </c>
      <c r="M76" s="93" t="s">
        <v>254</v>
      </c>
    </row>
    <row r="77" customFormat="false" ht="14.25" hidden="false" customHeight="true" outlineLevel="0" collapsed="false">
      <c r="A77" s="93" t="n">
        <v>12849</v>
      </c>
      <c r="B77" s="95" t="n">
        <v>45981</v>
      </c>
      <c r="C77" s="96" t="n">
        <v>0.505590277777778</v>
      </c>
      <c r="D77" s="93" t="s">
        <v>295</v>
      </c>
      <c r="E77" s="93" t="s">
        <v>253</v>
      </c>
      <c r="F77" s="93" t="n">
        <v>0.86742</v>
      </c>
      <c r="G77" s="93" t="n">
        <v>49.97</v>
      </c>
      <c r="H77" s="93" t="n">
        <v>1.783</v>
      </c>
      <c r="I77" s="93" t="n">
        <v>2.055</v>
      </c>
      <c r="J77" s="93" t="n">
        <v>50</v>
      </c>
      <c r="K77" s="93" t="n">
        <v>0.05</v>
      </c>
      <c r="L77" s="93" t="n">
        <v>0.72</v>
      </c>
      <c r="M77" s="93" t="s">
        <v>254</v>
      </c>
    </row>
    <row r="78" customFormat="false" ht="14.25" hidden="false" customHeight="true" outlineLevel="0" collapsed="false">
      <c r="A78" s="93" t="n">
        <v>12850</v>
      </c>
      <c r="B78" s="95" t="n">
        <v>45981</v>
      </c>
      <c r="C78" s="96" t="n">
        <v>0.515868055555556</v>
      </c>
      <c r="D78" s="93" t="s">
        <v>295</v>
      </c>
      <c r="E78" s="93" t="s">
        <v>253</v>
      </c>
      <c r="F78" s="93" t="n">
        <v>0.85853</v>
      </c>
      <c r="G78" s="93" t="n">
        <v>59.98</v>
      </c>
      <c r="H78" s="93" t="n">
        <v>1.42</v>
      </c>
      <c r="I78" s="93" t="n">
        <v>1.654</v>
      </c>
      <c r="J78" s="93" t="n">
        <v>60</v>
      </c>
      <c r="K78" s="93" t="n">
        <v>0.01</v>
      </c>
      <c r="L78" s="93" t="n">
        <v>1.01</v>
      </c>
      <c r="M78" s="93" t="s">
        <v>254</v>
      </c>
    </row>
    <row r="79" customFormat="false" ht="14.25" hidden="false" customHeight="true" outlineLevel="0" collapsed="false">
      <c r="A79" s="93" t="n">
        <v>12852</v>
      </c>
      <c r="B79" s="95" t="n">
        <v>45981</v>
      </c>
      <c r="C79" s="96" t="n">
        <v>0.56349537037037</v>
      </c>
      <c r="D79" s="93" t="s">
        <v>296</v>
      </c>
      <c r="E79" s="93" t="s">
        <v>292</v>
      </c>
      <c r="F79" s="93" t="n">
        <v>0.90416</v>
      </c>
      <c r="G79" s="93" t="n">
        <v>20.09</v>
      </c>
      <c r="H79" s="93" t="s">
        <v>289</v>
      </c>
      <c r="I79" s="93" t="s">
        <v>289</v>
      </c>
      <c r="J79" s="93" t="n">
        <v>20</v>
      </c>
      <c r="K79" s="93" t="s">
        <v>289</v>
      </c>
      <c r="L79" s="93" t="s">
        <v>289</v>
      </c>
      <c r="M79" s="93" t="s">
        <v>254</v>
      </c>
    </row>
    <row r="80" customFormat="false" ht="14.25" hidden="false" customHeight="true" outlineLevel="0" collapsed="false">
      <c r="A80" s="93" t="n">
        <v>12853</v>
      </c>
      <c r="B80" s="95" t="n">
        <v>45981</v>
      </c>
      <c r="C80" s="96" t="n">
        <v>0.570462962962963</v>
      </c>
      <c r="D80" s="93" t="s">
        <v>296</v>
      </c>
      <c r="E80" s="93" t="s">
        <v>292</v>
      </c>
      <c r="F80" s="93" t="n">
        <v>0.8958</v>
      </c>
      <c r="G80" s="93" t="n">
        <v>29.98</v>
      </c>
      <c r="H80" s="93" t="s">
        <v>289</v>
      </c>
      <c r="I80" s="93" t="s">
        <v>289</v>
      </c>
      <c r="J80" s="93" t="n">
        <v>30</v>
      </c>
      <c r="K80" s="93" t="s">
        <v>289</v>
      </c>
      <c r="L80" s="93" t="s">
        <v>289</v>
      </c>
      <c r="M80" s="93" t="s">
        <v>254</v>
      </c>
    </row>
    <row r="81" customFormat="false" ht="14.25" hidden="false" customHeight="true" outlineLevel="0" collapsed="false">
      <c r="A81" s="93" t="n">
        <v>12854</v>
      </c>
      <c r="B81" s="95" t="n">
        <v>45981</v>
      </c>
      <c r="C81" s="96" t="n">
        <v>0.57068287037037</v>
      </c>
      <c r="D81" s="93" t="s">
        <v>296</v>
      </c>
      <c r="E81" s="93" t="s">
        <v>293</v>
      </c>
      <c r="F81" s="93" t="s">
        <v>289</v>
      </c>
      <c r="G81" s="93" t="s">
        <v>289</v>
      </c>
      <c r="H81" s="93" t="s">
        <v>289</v>
      </c>
      <c r="I81" s="93" t="s">
        <v>289</v>
      </c>
      <c r="J81" s="93" t="s">
        <v>289</v>
      </c>
      <c r="K81" s="93" t="s">
        <v>289</v>
      </c>
      <c r="L81" s="93" t="s">
        <v>289</v>
      </c>
      <c r="M81" s="93" t="s">
        <v>254</v>
      </c>
    </row>
    <row r="82" customFormat="false" ht="14.25" hidden="false" customHeight="true" outlineLevel="0" collapsed="false">
      <c r="A82" s="93" t="n">
        <v>12855</v>
      </c>
      <c r="B82" s="95" t="n">
        <v>45981</v>
      </c>
      <c r="C82" s="96" t="n">
        <v>0.603912037037037</v>
      </c>
      <c r="D82" s="93" t="s">
        <v>296</v>
      </c>
      <c r="E82" s="93" t="s">
        <v>253</v>
      </c>
      <c r="F82" s="93" t="s">
        <v>289</v>
      </c>
      <c r="G82" s="93" t="s">
        <v>289</v>
      </c>
      <c r="H82" s="93" t="s">
        <v>289</v>
      </c>
      <c r="I82" s="93" t="s">
        <v>289</v>
      </c>
      <c r="J82" s="93" t="s">
        <v>289</v>
      </c>
      <c r="K82" s="93" t="s">
        <v>289</v>
      </c>
      <c r="L82" s="93" t="s">
        <v>289</v>
      </c>
      <c r="M82" s="93" t="s">
        <v>254</v>
      </c>
    </row>
    <row r="83" customFormat="false" ht="14.25" hidden="false" customHeight="true" outlineLevel="0" collapsed="false">
      <c r="A83" s="93" t="n">
        <v>12856</v>
      </c>
      <c r="B83" s="95" t="n">
        <v>45981</v>
      </c>
      <c r="C83" s="96" t="n">
        <v>0.576863425925926</v>
      </c>
      <c r="D83" s="93" t="s">
        <v>296</v>
      </c>
      <c r="E83" s="93" t="s">
        <v>253</v>
      </c>
      <c r="F83" s="93" t="n">
        <v>0.90411</v>
      </c>
      <c r="G83" s="93" t="n">
        <v>20.02</v>
      </c>
      <c r="H83" s="93" t="n">
        <v>4.948</v>
      </c>
      <c r="I83" s="93" t="n">
        <v>5.473</v>
      </c>
      <c r="J83" s="93" t="n">
        <v>20</v>
      </c>
      <c r="K83" s="93" t="n">
        <v>0.05</v>
      </c>
      <c r="L83" s="93" t="n">
        <v>0.58</v>
      </c>
      <c r="M83" s="93" t="s">
        <v>254</v>
      </c>
    </row>
    <row r="84" customFormat="false" ht="14.25" hidden="false" customHeight="true" outlineLevel="0" collapsed="false">
      <c r="A84" s="93" t="n">
        <v>12857</v>
      </c>
      <c r="B84" s="95" t="n">
        <v>45981</v>
      </c>
      <c r="C84" s="96" t="n">
        <v>0.58244212962963</v>
      </c>
      <c r="D84" s="93" t="s">
        <v>296</v>
      </c>
      <c r="E84" s="93" t="s">
        <v>253</v>
      </c>
      <c r="F84" s="93" t="n">
        <v>0.89579</v>
      </c>
      <c r="G84" s="93" t="n">
        <v>29.98</v>
      </c>
      <c r="H84" s="93" t="n">
        <v>3.51</v>
      </c>
      <c r="I84" s="93" t="n">
        <v>3.918</v>
      </c>
      <c r="J84" s="93" t="n">
        <v>30</v>
      </c>
      <c r="K84" s="93" t="n">
        <v>0.03</v>
      </c>
      <c r="L84" s="93" t="n">
        <v>0.49</v>
      </c>
      <c r="M84" s="93" t="s">
        <v>254</v>
      </c>
    </row>
    <row r="85" customFormat="false" ht="14.25" hidden="false" customHeight="true" outlineLevel="0" collapsed="false">
      <c r="A85" s="93" t="n">
        <v>12858</v>
      </c>
      <c r="B85" s="95" t="n">
        <v>45981</v>
      </c>
      <c r="C85" s="96" t="n">
        <v>0.587407407407407</v>
      </c>
      <c r="D85" s="93" t="s">
        <v>296</v>
      </c>
      <c r="E85" s="93" t="s">
        <v>253</v>
      </c>
      <c r="F85" s="93" t="n">
        <v>0.88735</v>
      </c>
      <c r="G85" s="93" t="n">
        <v>39.98</v>
      </c>
      <c r="H85" s="93" t="n">
        <v>2.61</v>
      </c>
      <c r="I85" s="93" t="n">
        <v>2.942</v>
      </c>
      <c r="J85" s="93" t="n">
        <v>40</v>
      </c>
      <c r="K85" s="93" t="n">
        <v>0.05</v>
      </c>
      <c r="L85" s="93" t="n">
        <v>0.62</v>
      </c>
      <c r="M85" s="93" t="s">
        <v>254</v>
      </c>
    </row>
    <row r="86" customFormat="false" ht="14.25" hidden="false" customHeight="true" outlineLevel="0" collapsed="false">
      <c r="A86" s="93" t="n">
        <v>12859</v>
      </c>
      <c r="B86" s="95" t="n">
        <v>45981</v>
      </c>
      <c r="C86" s="96" t="n">
        <v>0.593599537037037</v>
      </c>
      <c r="D86" s="93" t="s">
        <v>296</v>
      </c>
      <c r="E86" s="93" t="s">
        <v>253</v>
      </c>
      <c r="F86" s="93" t="n">
        <v>0.87883</v>
      </c>
      <c r="G86" s="93" t="n">
        <v>49.97</v>
      </c>
      <c r="H86" s="93" t="n">
        <v>2.016</v>
      </c>
      <c r="I86" s="93" t="n">
        <v>2.294</v>
      </c>
      <c r="J86" s="93" t="n">
        <v>50</v>
      </c>
      <c r="K86" s="93" t="n">
        <v>0.06</v>
      </c>
      <c r="L86" s="93" t="n">
        <v>0.73</v>
      </c>
      <c r="M86" s="93" t="s">
        <v>254</v>
      </c>
    </row>
    <row r="87" customFormat="false" ht="14.25" hidden="false" customHeight="true" outlineLevel="0" collapsed="false">
      <c r="A87" s="93" t="n">
        <v>12860</v>
      </c>
      <c r="B87" s="95" t="n">
        <v>45981</v>
      </c>
      <c r="C87" s="96" t="n">
        <v>0.603877314814815</v>
      </c>
      <c r="D87" s="93" t="s">
        <v>296</v>
      </c>
      <c r="E87" s="93" t="s">
        <v>253</v>
      </c>
      <c r="F87" s="93" t="n">
        <v>0.8702</v>
      </c>
      <c r="G87" s="93" t="n">
        <v>59.98</v>
      </c>
      <c r="H87" s="93" t="n">
        <v>1.605</v>
      </c>
      <c r="I87" s="93" t="n">
        <v>1.845</v>
      </c>
      <c r="J87" s="93" t="n">
        <v>60</v>
      </c>
      <c r="K87" s="93" t="n">
        <v>0</v>
      </c>
      <c r="L87" s="93" t="n">
        <v>0.92</v>
      </c>
      <c r="M87" s="93" t="s">
        <v>254</v>
      </c>
    </row>
    <row r="88" customFormat="false" ht="14.25" hidden="false" customHeight="true" outlineLevel="0" collapsed="false">
      <c r="A88" s="93" t="n">
        <v>12861</v>
      </c>
      <c r="B88" s="95" t="n">
        <v>45981</v>
      </c>
      <c r="C88" s="96" t="n">
        <v>0.652303240740741</v>
      </c>
      <c r="D88" s="93" t="s">
        <v>297</v>
      </c>
      <c r="E88" s="93" t="s">
        <v>253</v>
      </c>
      <c r="F88" s="93" t="s">
        <v>289</v>
      </c>
      <c r="G88" s="93" t="s">
        <v>289</v>
      </c>
      <c r="H88" s="93" t="s">
        <v>289</v>
      </c>
      <c r="I88" s="93" t="s">
        <v>289</v>
      </c>
      <c r="J88" s="93" t="s">
        <v>289</v>
      </c>
      <c r="K88" s="93" t="s">
        <v>289</v>
      </c>
      <c r="L88" s="93" t="s">
        <v>289</v>
      </c>
      <c r="M88" s="93" t="s">
        <v>254</v>
      </c>
    </row>
    <row r="89" customFormat="false" ht="14.25" hidden="false" customHeight="true" outlineLevel="0" collapsed="false">
      <c r="A89" s="93" t="n">
        <v>12862</v>
      </c>
      <c r="B89" s="95" t="n">
        <v>45981</v>
      </c>
      <c r="C89" s="96" t="n">
        <v>0.625011574074074</v>
      </c>
      <c r="D89" s="93" t="s">
        <v>297</v>
      </c>
      <c r="E89" s="93" t="s">
        <v>253</v>
      </c>
      <c r="F89" s="93" t="n">
        <v>0.91437</v>
      </c>
      <c r="G89" s="93" t="n">
        <v>20.1</v>
      </c>
      <c r="H89" s="93" t="n">
        <v>5.757</v>
      </c>
      <c r="I89" s="93" t="n">
        <v>6.296</v>
      </c>
      <c r="J89" s="93" t="n">
        <v>20</v>
      </c>
      <c r="K89" s="93" t="n">
        <v>0.05</v>
      </c>
      <c r="L89" s="93" t="n">
        <v>0.32</v>
      </c>
      <c r="M89" s="93" t="s">
        <v>254</v>
      </c>
    </row>
    <row r="90" customFormat="false" ht="14.25" hidden="false" customHeight="true" outlineLevel="0" collapsed="false">
      <c r="A90" s="93" t="n">
        <v>12863</v>
      </c>
      <c r="B90" s="95" t="n">
        <v>45981</v>
      </c>
      <c r="C90" s="96" t="n">
        <v>0.630983796296296</v>
      </c>
      <c r="D90" s="93" t="s">
        <v>297</v>
      </c>
      <c r="E90" s="93" t="s">
        <v>253</v>
      </c>
      <c r="F90" s="93" t="n">
        <v>0.90623</v>
      </c>
      <c r="G90" s="93" t="n">
        <v>29.98</v>
      </c>
      <c r="H90" s="93" t="n">
        <v>4.038</v>
      </c>
      <c r="I90" s="93" t="n">
        <v>4.456</v>
      </c>
      <c r="J90" s="93" t="n">
        <v>30</v>
      </c>
      <c r="K90" s="93" t="n">
        <v>0.04</v>
      </c>
      <c r="L90" s="93" t="n">
        <v>0.48</v>
      </c>
      <c r="M90" s="93" t="s">
        <v>254</v>
      </c>
    </row>
    <row r="91" customFormat="false" ht="14.25" hidden="false" customHeight="true" outlineLevel="0" collapsed="false">
      <c r="A91" s="93" t="n">
        <v>12864</v>
      </c>
      <c r="B91" s="95" t="n">
        <v>45981</v>
      </c>
      <c r="C91" s="96" t="n">
        <v>0.636226851851852</v>
      </c>
      <c r="D91" s="93" t="s">
        <v>297</v>
      </c>
      <c r="E91" s="93" t="s">
        <v>253</v>
      </c>
      <c r="F91" s="93" t="n">
        <v>0.89798</v>
      </c>
      <c r="G91" s="93" t="n">
        <v>39.98</v>
      </c>
      <c r="H91" s="93" t="n">
        <v>2.986</v>
      </c>
      <c r="I91" s="93" t="n">
        <v>3.325</v>
      </c>
      <c r="J91" s="93" t="n">
        <v>40</v>
      </c>
      <c r="K91" s="93" t="n">
        <v>0.02</v>
      </c>
      <c r="L91" s="93" t="n">
        <v>0.64</v>
      </c>
      <c r="M91" s="93" t="s">
        <v>254</v>
      </c>
    </row>
    <row r="92" customFormat="false" ht="14.25" hidden="false" customHeight="true" outlineLevel="0" collapsed="false">
      <c r="A92" s="93" t="n">
        <v>12865</v>
      </c>
      <c r="B92" s="95" t="n">
        <v>45981</v>
      </c>
      <c r="C92" s="96" t="n">
        <v>0.64212962962963</v>
      </c>
      <c r="D92" s="93" t="s">
        <v>297</v>
      </c>
      <c r="E92" s="93" t="s">
        <v>253</v>
      </c>
      <c r="F92" s="93" t="n">
        <v>0.88967</v>
      </c>
      <c r="G92" s="93" t="n">
        <v>49.97</v>
      </c>
      <c r="H92" s="93" t="n">
        <v>2.296</v>
      </c>
      <c r="I92" s="93" t="n">
        <v>2.581</v>
      </c>
      <c r="J92" s="93" t="n">
        <v>50</v>
      </c>
      <c r="K92" s="93" t="n">
        <v>0.12</v>
      </c>
      <c r="L92" s="93" t="n">
        <v>0.6</v>
      </c>
      <c r="M92" s="93" t="s">
        <v>254</v>
      </c>
    </row>
    <row r="93" customFormat="false" ht="14.25" hidden="false" customHeight="true" outlineLevel="0" collapsed="false">
      <c r="A93" s="93" t="n">
        <v>12866</v>
      </c>
      <c r="B93" s="95" t="n">
        <v>45981</v>
      </c>
      <c r="C93" s="96" t="n">
        <v>0.652268518518519</v>
      </c>
      <c r="D93" s="93" t="s">
        <v>297</v>
      </c>
      <c r="E93" s="93" t="s">
        <v>253</v>
      </c>
      <c r="F93" s="93" t="n">
        <v>0.88128</v>
      </c>
      <c r="G93" s="93" t="n">
        <v>59.98</v>
      </c>
      <c r="H93" s="93" t="n">
        <v>1.824</v>
      </c>
      <c r="I93" s="93" t="n">
        <v>2.069</v>
      </c>
      <c r="J93" s="93" t="n">
        <v>60</v>
      </c>
      <c r="K93" s="93" t="n">
        <v>0.04</v>
      </c>
      <c r="L93" s="93" t="n">
        <v>0.83</v>
      </c>
      <c r="M93" s="93" t="s">
        <v>254</v>
      </c>
    </row>
    <row r="94" customFormat="false" ht="14.25" hidden="false" customHeight="true" outlineLevel="0" collapsed="false">
      <c r="A94" s="93" t="n">
        <v>12868</v>
      </c>
      <c r="B94" s="95" t="n">
        <v>45981</v>
      </c>
      <c r="C94" s="96" t="n">
        <v>0.672511574074074</v>
      </c>
      <c r="D94" s="93" t="s">
        <v>298</v>
      </c>
      <c r="E94" s="93" t="s">
        <v>253</v>
      </c>
      <c r="F94" s="93" t="n">
        <v>0.92296</v>
      </c>
      <c r="G94" s="93" t="n">
        <v>20.03</v>
      </c>
      <c r="H94" s="93" t="n">
        <v>6.687</v>
      </c>
      <c r="I94" s="93" t="n">
        <v>7.245</v>
      </c>
      <c r="J94" s="93" t="n">
        <v>20</v>
      </c>
      <c r="K94" s="93" t="n">
        <v>0.11</v>
      </c>
      <c r="L94" s="93" t="n">
        <v>0.14</v>
      </c>
      <c r="M94" s="93" t="s">
        <v>254</v>
      </c>
    </row>
    <row r="95" customFormat="false" ht="14.25" hidden="false" customHeight="true" outlineLevel="0" collapsed="false">
      <c r="A95" s="93" t="n">
        <v>12869</v>
      </c>
      <c r="B95" s="95" t="n">
        <v>45981</v>
      </c>
      <c r="C95" s="96" t="n">
        <v>0.678923611111111</v>
      </c>
      <c r="D95" s="93" t="s">
        <v>298</v>
      </c>
      <c r="E95" s="93" t="s">
        <v>253</v>
      </c>
      <c r="F95" s="93" t="n">
        <v>0.91494</v>
      </c>
      <c r="G95" s="93" t="n">
        <v>29.98</v>
      </c>
      <c r="H95" s="93" t="n">
        <v>4.636</v>
      </c>
      <c r="I95" s="93" t="n">
        <v>5.067</v>
      </c>
      <c r="J95" s="93" t="n">
        <v>30</v>
      </c>
      <c r="K95" s="93" t="n">
        <v>0.09</v>
      </c>
      <c r="L95" s="93" t="n">
        <v>0.42</v>
      </c>
      <c r="M95" s="93" t="s">
        <v>254</v>
      </c>
    </row>
    <row r="96" customFormat="false" ht="14.25" hidden="false" customHeight="true" outlineLevel="0" collapsed="false">
      <c r="A96" s="93" t="n">
        <v>12870</v>
      </c>
      <c r="B96" s="95" t="n">
        <v>45981</v>
      </c>
      <c r="C96" s="96" t="n">
        <v>0.684479166666667</v>
      </c>
      <c r="D96" s="93" t="s">
        <v>298</v>
      </c>
      <c r="E96" s="93" t="s">
        <v>253</v>
      </c>
      <c r="F96" s="93" t="n">
        <v>0.90684</v>
      </c>
      <c r="G96" s="93" t="n">
        <v>39.98</v>
      </c>
      <c r="H96" s="93" t="n">
        <v>3.396</v>
      </c>
      <c r="I96" s="93" t="n">
        <v>3.745</v>
      </c>
      <c r="J96" s="93" t="n">
        <v>40</v>
      </c>
      <c r="K96" s="93" t="n">
        <v>0.02</v>
      </c>
      <c r="L96" s="93" t="n">
        <v>0.65</v>
      </c>
      <c r="M96" s="93" t="s">
        <v>254</v>
      </c>
    </row>
    <row r="97" customFormat="false" ht="14.25" hidden="false" customHeight="true" outlineLevel="0" collapsed="false">
      <c r="A97" s="93" t="n">
        <v>12871</v>
      </c>
      <c r="B97" s="95" t="n">
        <v>45981</v>
      </c>
      <c r="C97" s="96" t="n">
        <v>0.693634259259259</v>
      </c>
      <c r="D97" s="93" t="s">
        <v>298</v>
      </c>
      <c r="E97" s="93" t="s">
        <v>292</v>
      </c>
      <c r="F97" s="93" t="n">
        <v>0.8987</v>
      </c>
      <c r="G97" s="93" t="n">
        <v>49.97</v>
      </c>
      <c r="H97" s="93" t="n">
        <v>4.311</v>
      </c>
      <c r="I97" s="93" t="n">
        <v>4.797</v>
      </c>
      <c r="J97" s="93" t="n">
        <v>50</v>
      </c>
      <c r="K97" s="93" t="s">
        <v>289</v>
      </c>
      <c r="L97" s="93" t="s">
        <v>289</v>
      </c>
      <c r="M97" s="93" t="s">
        <v>254</v>
      </c>
    </row>
    <row r="98" customFormat="false" ht="14.25" hidden="false" customHeight="true" outlineLevel="0" collapsed="false">
      <c r="A98" s="93" t="n">
        <v>12872</v>
      </c>
      <c r="B98" s="95" t="n">
        <v>45981</v>
      </c>
      <c r="C98" s="96" t="n">
        <v>0.697962962962963</v>
      </c>
      <c r="D98" s="93" t="s">
        <v>298</v>
      </c>
      <c r="E98" s="93" t="s">
        <v>293</v>
      </c>
      <c r="F98" s="93" t="s">
        <v>289</v>
      </c>
      <c r="G98" s="93" t="s">
        <v>289</v>
      </c>
      <c r="H98" s="93" t="s">
        <v>289</v>
      </c>
      <c r="I98" s="93" t="s">
        <v>289</v>
      </c>
      <c r="J98" s="93" t="s">
        <v>289</v>
      </c>
      <c r="K98" s="93" t="s">
        <v>289</v>
      </c>
      <c r="L98" s="93" t="s">
        <v>289</v>
      </c>
      <c r="M98" s="93" t="s">
        <v>254</v>
      </c>
    </row>
    <row r="99" customFormat="false" ht="14.25" hidden="false" customHeight="true" outlineLevel="0" collapsed="false">
      <c r="A99" s="93" t="n">
        <v>12873</v>
      </c>
      <c r="B99" s="95" t="n">
        <v>45981</v>
      </c>
      <c r="C99" s="96" t="n">
        <v>0.713263888888889</v>
      </c>
      <c r="D99" s="93" t="s">
        <v>298</v>
      </c>
      <c r="E99" s="93" t="s">
        <v>253</v>
      </c>
      <c r="F99" s="93" t="s">
        <v>289</v>
      </c>
      <c r="G99" s="93" t="s">
        <v>289</v>
      </c>
      <c r="H99" s="93" t="s">
        <v>289</v>
      </c>
      <c r="I99" s="93" t="s">
        <v>289</v>
      </c>
      <c r="J99" s="93" t="s">
        <v>289</v>
      </c>
      <c r="K99" s="93" t="s">
        <v>289</v>
      </c>
      <c r="L99" s="93" t="s">
        <v>289</v>
      </c>
      <c r="M99" s="93" t="s">
        <v>254</v>
      </c>
    </row>
    <row r="100" customFormat="false" ht="14.25" hidden="false" customHeight="true" outlineLevel="0" collapsed="false">
      <c r="A100" s="93" t="n">
        <v>12874</v>
      </c>
      <c r="B100" s="95" t="n">
        <v>45981</v>
      </c>
      <c r="C100" s="96" t="n">
        <v>0.703460648148148</v>
      </c>
      <c r="D100" s="93" t="s">
        <v>298</v>
      </c>
      <c r="E100" s="93" t="s">
        <v>253</v>
      </c>
      <c r="F100" s="93" t="n">
        <v>0.89866</v>
      </c>
      <c r="G100" s="93" t="n">
        <v>50.02</v>
      </c>
      <c r="H100" s="93" t="n">
        <v>2.59</v>
      </c>
      <c r="I100" s="93" t="n">
        <v>2.882</v>
      </c>
      <c r="J100" s="93" t="n">
        <v>50</v>
      </c>
      <c r="K100" s="93" t="n">
        <v>0.01</v>
      </c>
      <c r="L100" s="93" t="n">
        <v>0.45</v>
      </c>
      <c r="M100" s="93" t="s">
        <v>254</v>
      </c>
    </row>
    <row r="101" customFormat="false" ht="14.25" hidden="false" customHeight="true" outlineLevel="0" collapsed="false">
      <c r="A101" s="93" t="n">
        <v>12875</v>
      </c>
      <c r="B101" s="95" t="n">
        <v>45981</v>
      </c>
      <c r="C101" s="96" t="n">
        <v>0.713229166666667</v>
      </c>
      <c r="D101" s="93" t="s">
        <v>298</v>
      </c>
      <c r="E101" s="93" t="s">
        <v>253</v>
      </c>
      <c r="F101" s="93" t="n">
        <v>0.89054</v>
      </c>
      <c r="G101" s="93" t="n">
        <v>59.98</v>
      </c>
      <c r="H101" s="93" t="n">
        <v>2.051</v>
      </c>
      <c r="I101" s="93" t="n">
        <v>2.303</v>
      </c>
      <c r="J101" s="93" t="n">
        <v>60</v>
      </c>
      <c r="K101" s="93" t="n">
        <v>0.05</v>
      </c>
      <c r="L101" s="93" t="n">
        <v>0.91</v>
      </c>
      <c r="M101" s="93" t="s">
        <v>254</v>
      </c>
    </row>
    <row r="102" customFormat="false" ht="14.25" hidden="false" customHeight="true" outlineLevel="0" collapsed="false">
      <c r="A102" s="93" t="n">
        <v>12876</v>
      </c>
      <c r="B102" s="95" t="n">
        <v>45981</v>
      </c>
      <c r="C102" s="96" t="n">
        <v>0.777118055555556</v>
      </c>
      <c r="D102" s="93" t="s">
        <v>299</v>
      </c>
      <c r="E102" s="93" t="s">
        <v>253</v>
      </c>
      <c r="F102" s="93" t="s">
        <v>289</v>
      </c>
      <c r="G102" s="93" t="s">
        <v>289</v>
      </c>
      <c r="H102" s="93" t="s">
        <v>289</v>
      </c>
      <c r="I102" s="93" t="s">
        <v>289</v>
      </c>
      <c r="J102" s="93" t="s">
        <v>289</v>
      </c>
      <c r="K102" s="93" t="s">
        <v>289</v>
      </c>
      <c r="L102" s="93" t="s">
        <v>289</v>
      </c>
      <c r="M102" s="93" t="s">
        <v>254</v>
      </c>
    </row>
    <row r="103" customFormat="false" ht="14.25" hidden="false" customHeight="true" outlineLevel="0" collapsed="false">
      <c r="A103" s="93" t="n">
        <v>12877</v>
      </c>
      <c r="B103" s="95" t="n">
        <v>45981</v>
      </c>
      <c r="C103" s="96" t="n">
        <v>0.747893518518519</v>
      </c>
      <c r="D103" s="93" t="s">
        <v>299</v>
      </c>
      <c r="E103" s="93" t="s">
        <v>253</v>
      </c>
      <c r="F103" s="93" t="n">
        <v>0.93115</v>
      </c>
      <c r="G103" s="93" t="n">
        <v>20.11</v>
      </c>
      <c r="H103" s="93" t="n">
        <v>7.915</v>
      </c>
      <c r="I103" s="93" t="n">
        <v>8.501</v>
      </c>
      <c r="J103" s="93" t="n">
        <v>20</v>
      </c>
      <c r="K103" s="93" t="n">
        <v>0.02</v>
      </c>
      <c r="L103" s="93" t="n">
        <v>0.44</v>
      </c>
      <c r="M103" s="93" t="s">
        <v>254</v>
      </c>
    </row>
    <row r="104" customFormat="false" ht="14.25" hidden="false" customHeight="true" outlineLevel="0" collapsed="false">
      <c r="A104" s="93" t="n">
        <v>12878</v>
      </c>
      <c r="B104" s="95" t="n">
        <v>45981</v>
      </c>
      <c r="C104" s="96" t="n">
        <v>0.754861111111111</v>
      </c>
      <c r="D104" s="93" t="s">
        <v>299</v>
      </c>
      <c r="E104" s="93" t="s">
        <v>253</v>
      </c>
      <c r="F104" s="93" t="n">
        <v>0.92328</v>
      </c>
      <c r="G104" s="93" t="n">
        <v>29.98</v>
      </c>
      <c r="H104" s="93" t="n">
        <v>5.372</v>
      </c>
      <c r="I104" s="93" t="n">
        <v>5.819</v>
      </c>
      <c r="J104" s="93" t="n">
        <v>30</v>
      </c>
      <c r="K104" s="93" t="n">
        <v>0.07</v>
      </c>
      <c r="L104" s="93" t="n">
        <v>0.54</v>
      </c>
      <c r="M104" s="93" t="s">
        <v>254</v>
      </c>
    </row>
    <row r="105" customFormat="false" ht="14.25" hidden="false" customHeight="true" outlineLevel="0" collapsed="false">
      <c r="A105" s="93" t="n">
        <v>12879</v>
      </c>
      <c r="B105" s="95" t="n">
        <v>45981</v>
      </c>
      <c r="C105" s="96" t="n">
        <v>0.760775462962963</v>
      </c>
      <c r="D105" s="93" t="s">
        <v>299</v>
      </c>
      <c r="E105" s="93" t="s">
        <v>253</v>
      </c>
      <c r="F105" s="93" t="n">
        <v>0.91532</v>
      </c>
      <c r="G105" s="93" t="n">
        <v>39.98</v>
      </c>
      <c r="H105" s="93" t="n">
        <v>3.883</v>
      </c>
      <c r="I105" s="93" t="n">
        <v>4.242</v>
      </c>
      <c r="J105" s="93" t="n">
        <v>40</v>
      </c>
      <c r="K105" s="93" t="n">
        <v>0.03</v>
      </c>
      <c r="L105" s="93" t="n">
        <v>0.55</v>
      </c>
      <c r="M105" s="93" t="s">
        <v>254</v>
      </c>
    </row>
    <row r="106" customFormat="false" ht="14.25" hidden="false" customHeight="true" outlineLevel="0" collapsed="false">
      <c r="A106" s="93" t="n">
        <v>12880</v>
      </c>
      <c r="B106" s="95" t="n">
        <v>45981</v>
      </c>
      <c r="C106" s="96" t="n">
        <v>0.766805555555556</v>
      </c>
      <c r="D106" s="93" t="s">
        <v>299</v>
      </c>
      <c r="E106" s="93" t="s">
        <v>253</v>
      </c>
      <c r="F106" s="93" t="n">
        <v>0.90733</v>
      </c>
      <c r="G106" s="93" t="n">
        <v>49.97</v>
      </c>
      <c r="H106" s="93" t="n">
        <v>2.945</v>
      </c>
      <c r="I106" s="93" t="n">
        <v>3.245</v>
      </c>
      <c r="J106" s="93" t="n">
        <v>50</v>
      </c>
      <c r="K106" s="93" t="n">
        <v>0.01</v>
      </c>
      <c r="L106" s="93" t="n">
        <v>0.69</v>
      </c>
      <c r="M106" s="93" t="s">
        <v>254</v>
      </c>
    </row>
    <row r="107" customFormat="false" ht="14.25" hidden="false" customHeight="true" outlineLevel="0" collapsed="false">
      <c r="A107" s="93" t="n">
        <v>12881</v>
      </c>
      <c r="B107" s="95" t="n">
        <v>45981</v>
      </c>
      <c r="C107" s="96" t="n">
        <v>0.777071759259259</v>
      </c>
      <c r="D107" s="93" t="s">
        <v>299</v>
      </c>
      <c r="E107" s="93" t="s">
        <v>253</v>
      </c>
      <c r="F107" s="93" t="n">
        <v>0.8993</v>
      </c>
      <c r="G107" s="93" t="n">
        <v>59.98</v>
      </c>
      <c r="H107" s="93" t="n">
        <v>2.317</v>
      </c>
      <c r="I107" s="93" t="n">
        <v>2.577</v>
      </c>
      <c r="J107" s="93" t="n">
        <v>60</v>
      </c>
      <c r="K107" s="93" t="n">
        <v>0.03</v>
      </c>
      <c r="L107" s="93" t="n">
        <v>0.95</v>
      </c>
      <c r="M107" s="93" t="s">
        <v>254</v>
      </c>
    </row>
    <row r="108" customFormat="false" ht="14.25" hidden="false" customHeight="true" outlineLevel="0" collapsed="false">
      <c r="A108" s="93" t="n">
        <v>12882</v>
      </c>
      <c r="B108" s="95" t="n">
        <v>45982</v>
      </c>
      <c r="C108" s="96" t="n">
        <v>0.422615740740741</v>
      </c>
      <c r="D108" s="93" t="s">
        <v>300</v>
      </c>
      <c r="E108" s="93" t="s">
        <v>253</v>
      </c>
      <c r="F108" s="93" t="s">
        <v>289</v>
      </c>
      <c r="G108" s="93" t="s">
        <v>289</v>
      </c>
      <c r="H108" s="93" t="s">
        <v>289</v>
      </c>
      <c r="I108" s="93" t="s">
        <v>289</v>
      </c>
      <c r="J108" s="93" t="s">
        <v>289</v>
      </c>
      <c r="K108" s="93" t="s">
        <v>289</v>
      </c>
      <c r="L108" s="93" t="s">
        <v>289</v>
      </c>
      <c r="M108" s="93" t="s">
        <v>254</v>
      </c>
    </row>
    <row r="109" customFormat="false" ht="14.25" hidden="false" customHeight="true" outlineLevel="0" collapsed="false">
      <c r="A109" s="93" t="n">
        <v>12883</v>
      </c>
      <c r="B109" s="95" t="n">
        <v>45982</v>
      </c>
      <c r="C109" s="96" t="n">
        <v>0.387546296296296</v>
      </c>
      <c r="D109" s="93" t="s">
        <v>300</v>
      </c>
      <c r="E109" s="93" t="s">
        <v>253</v>
      </c>
      <c r="F109" s="93" t="n">
        <v>0.93847</v>
      </c>
      <c r="G109" s="93" t="n">
        <v>20.06</v>
      </c>
      <c r="H109" s="93" t="n">
        <v>9.388</v>
      </c>
      <c r="I109" s="93" t="n">
        <v>10</v>
      </c>
      <c r="J109" s="93" t="n">
        <v>20</v>
      </c>
      <c r="K109" s="93" t="n">
        <v>0.01</v>
      </c>
      <c r="L109" s="93" t="n">
        <v>0.25</v>
      </c>
      <c r="M109" s="93" t="s">
        <v>254</v>
      </c>
    </row>
    <row r="110" customFormat="false" ht="14.25" hidden="false" customHeight="true" outlineLevel="0" collapsed="false">
      <c r="A110" s="93" t="n">
        <v>12884</v>
      </c>
      <c r="B110" s="95" t="n">
        <v>45982</v>
      </c>
      <c r="C110" s="96" t="n">
        <v>0.395196759259259</v>
      </c>
      <c r="D110" s="93" t="s">
        <v>300</v>
      </c>
      <c r="E110" s="93" t="s">
        <v>253</v>
      </c>
      <c r="F110" s="93" t="n">
        <v>0.93065</v>
      </c>
      <c r="G110" s="93" t="n">
        <v>29.97</v>
      </c>
      <c r="H110" s="93" t="n">
        <v>6.239</v>
      </c>
      <c r="I110" s="93" t="n">
        <v>6.704</v>
      </c>
      <c r="J110" s="93" t="n">
        <v>30</v>
      </c>
      <c r="K110" s="93" t="n">
        <v>0</v>
      </c>
      <c r="L110" s="93" t="n">
        <v>0.54</v>
      </c>
      <c r="M110" s="93" t="s">
        <v>254</v>
      </c>
    </row>
    <row r="111" customFormat="false" ht="14.25" hidden="false" customHeight="true" outlineLevel="0" collapsed="false">
      <c r="A111" s="93" t="n">
        <v>12885</v>
      </c>
      <c r="B111" s="95" t="n">
        <v>45982</v>
      </c>
      <c r="C111" s="96" t="n">
        <v>0.401909722222222</v>
      </c>
      <c r="D111" s="93" t="s">
        <v>300</v>
      </c>
      <c r="E111" s="93" t="s">
        <v>253</v>
      </c>
      <c r="F111" s="93" t="n">
        <v>0.92277</v>
      </c>
      <c r="G111" s="93" t="n">
        <v>39.97</v>
      </c>
      <c r="H111" s="93" t="n">
        <v>4.443</v>
      </c>
      <c r="I111" s="93" t="n">
        <v>4.815</v>
      </c>
      <c r="J111" s="93" t="n">
        <v>40</v>
      </c>
      <c r="K111" s="93" t="n">
        <v>0.05</v>
      </c>
      <c r="L111" s="93" t="n">
        <v>0.65</v>
      </c>
      <c r="M111" s="93" t="s">
        <v>254</v>
      </c>
    </row>
    <row r="112" customFormat="false" ht="14.25" hidden="false" customHeight="true" outlineLevel="0" collapsed="false">
      <c r="A112" s="93" t="n">
        <v>12886</v>
      </c>
      <c r="B112" s="95" t="n">
        <v>45982</v>
      </c>
      <c r="C112" s="96" t="n">
        <v>0.411851851851852</v>
      </c>
      <c r="D112" s="93" t="s">
        <v>300</v>
      </c>
      <c r="E112" s="93" t="s">
        <v>253</v>
      </c>
      <c r="F112" s="93" t="n">
        <v>0.91489</v>
      </c>
      <c r="G112" s="93" t="n">
        <v>49.98</v>
      </c>
      <c r="H112" s="93" t="n">
        <v>3.334</v>
      </c>
      <c r="I112" s="93" t="n">
        <v>3.644</v>
      </c>
      <c r="J112" s="93" t="n">
        <v>50</v>
      </c>
      <c r="K112" s="93" t="n">
        <v>0.1</v>
      </c>
      <c r="L112" s="93" t="n">
        <v>0.86</v>
      </c>
      <c r="M112" s="93" t="s">
        <v>254</v>
      </c>
    </row>
    <row r="113" customFormat="false" ht="14.25" hidden="false" customHeight="true" outlineLevel="0" collapsed="false">
      <c r="A113" s="93" t="n">
        <v>12887</v>
      </c>
      <c r="B113" s="95" t="n">
        <v>45982</v>
      </c>
      <c r="C113" s="96" t="n">
        <v>0.422581018518519</v>
      </c>
      <c r="D113" s="93" t="s">
        <v>300</v>
      </c>
      <c r="E113" s="93" t="s">
        <v>253</v>
      </c>
      <c r="F113" s="93" t="n">
        <v>0.90704</v>
      </c>
      <c r="G113" s="93" t="n">
        <v>59.98</v>
      </c>
      <c r="H113" s="93" t="n">
        <v>2.6</v>
      </c>
      <c r="I113" s="93" t="n">
        <v>2.867</v>
      </c>
      <c r="J113" s="93" t="n">
        <v>60</v>
      </c>
      <c r="K113" s="93" t="n">
        <v>0.03</v>
      </c>
      <c r="L113" s="93" t="n">
        <v>0.58</v>
      </c>
      <c r="M113" s="93" t="s">
        <v>254</v>
      </c>
    </row>
  </sheetData>
  <printOptions headings="false" gridLines="false" gridLinesSet="true" horizontalCentered="tru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7" activeCellId="1" sqref="B39:F39 E37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4.13"/>
    <col collapsed="false" customWidth="true" hidden="false" outlineLevel="0" max="2" min="2" style="1" width="13.75"/>
    <col collapsed="false" customWidth="true" hidden="false" outlineLevel="0" max="3" min="3" style="1" width="12.13"/>
    <col collapsed="false" customWidth="true" hidden="false" outlineLevel="0" max="4" min="4" style="1" width="17.5"/>
    <col collapsed="false" customWidth="true" hidden="false" outlineLevel="0" max="5" min="5" style="1" width="12.13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12</v>
      </c>
      <c r="B2" s="1" t="n">
        <v>1</v>
      </c>
      <c r="C2" s="1" t="n">
        <v>192.3</v>
      </c>
    </row>
    <row r="3" customFormat="false" ht="14.25" hidden="false" customHeight="true" outlineLevel="0" collapsed="false">
      <c r="A3" s="1" t="s">
        <v>17</v>
      </c>
      <c r="B3" s="1" t="n">
        <v>2</v>
      </c>
      <c r="C3" s="1" t="n">
        <v>88.15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278</v>
      </c>
      <c r="C7" s="1" t="s">
        <v>301</v>
      </c>
      <c r="D7" s="1" t="s">
        <v>280</v>
      </c>
      <c r="E7" s="1" t="s">
        <v>281</v>
      </c>
      <c r="F7" s="1" t="s">
        <v>302</v>
      </c>
      <c r="G7" s="1" t="s">
        <v>283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93" t="n">
        <v>0</v>
      </c>
      <c r="F8" s="93" t="n">
        <v>1</v>
      </c>
      <c r="G8" s="93" t="n">
        <f aca="false">IF(AND(E8=0,F8&gt;0),0,"")</f>
        <v>0</v>
      </c>
    </row>
    <row r="9" customFormat="false" ht="14.25" hidden="false" customHeight="true" outlineLevel="0" collapsed="false">
      <c r="A9" s="1" t="n">
        <v>5</v>
      </c>
      <c r="B9" s="5" t="n">
        <f aca="false">IF(D9=0, 0, IF(D9=1, A9, (D9*A9*$C$2)/($C$3*(1-D9)+$C$2*D9)))</f>
        <v>0.9754984020697</v>
      </c>
      <c r="C9" s="5" t="n">
        <f aca="false">A9-B9</f>
        <v>4.0245015979303</v>
      </c>
      <c r="D9" s="1" t="n">
        <v>0.1</v>
      </c>
      <c r="E9" s="93"/>
      <c r="F9" s="93"/>
      <c r="G9" s="93" t="str">
        <f aca="false">IFERROR((E9*purity_beta/MW_beta)/((E9*purity_beta/MW_beta)+(F9*purity_2m2boh/MW_2m2boh)),"")</f>
        <v/>
      </c>
    </row>
    <row r="10" customFormat="false" ht="14.25" hidden="false" customHeight="true" outlineLevel="0" collapsed="false">
      <c r="A10" s="1" t="n">
        <v>5</v>
      </c>
      <c r="B10" s="5" t="n">
        <f aca="false">IF(D10=0, 0, IF(D10=1, A10, (D10*A10*$C$2)/($C$3*(1-D10)+$C$2*D10)))</f>
        <v>1.7645439530189</v>
      </c>
      <c r="C10" s="5" t="n">
        <f aca="false">A10-B10</f>
        <v>3.2354560469811</v>
      </c>
      <c r="D10" s="1" t="n">
        <v>0.2</v>
      </c>
      <c r="E10" s="93"/>
      <c r="F10" s="93"/>
      <c r="G10" s="93" t="str">
        <f aca="false">IFERROR((E10*purity_beta/MW_beta)/((E10*purity_beta/MW_beta)+(F10*purity_2m2boh/MW_2m2boh)),"")</f>
        <v/>
      </c>
    </row>
    <row r="11" customFormat="false" ht="14.25" hidden="false" customHeight="true" outlineLevel="0" collapsed="false">
      <c r="A11" s="1" t="n">
        <v>5</v>
      </c>
      <c r="B11" s="5" t="n">
        <f aca="false">IF(D11=0, 0, IF(D11=1, A11, (D11*A11*$C$2)/($C$3*(1-D11)+$C$2*D11)))</f>
        <v>2.41593031533984</v>
      </c>
      <c r="C11" s="5" t="n">
        <f aca="false">A11-B11</f>
        <v>2.58406968466016</v>
      </c>
      <c r="D11" s="1" t="n">
        <v>0.3</v>
      </c>
      <c r="E11" s="93"/>
      <c r="F11" s="93"/>
      <c r="G11" s="93" t="str">
        <f aca="false">IFERROR((E11*purity_beta/MW_beta)/((E11*purity_beta/MW_beta)+(F11*purity_2m2boh/MW_2m2boh)),"")</f>
        <v/>
      </c>
    </row>
    <row r="12" customFormat="false" ht="14.25" hidden="false" customHeight="true" outlineLevel="0" collapsed="false">
      <c r="A12" s="1" t="n">
        <v>5</v>
      </c>
      <c r="B12" s="5" t="n">
        <f aca="false">IF(D12=0, 0, IF(D12=1, A12, (D12*A12*$C$2)/($C$3*(1-D12)+$C$2*D12)))</f>
        <v>2.96279177259071</v>
      </c>
      <c r="C12" s="5" t="n">
        <f aca="false">A12-B12</f>
        <v>2.03720822740929</v>
      </c>
      <c r="D12" s="1" t="n">
        <v>0.4</v>
      </c>
      <c r="E12" s="93"/>
      <c r="F12" s="93"/>
      <c r="G12" s="93" t="str">
        <f aca="false">IFERROR((E12*purity_beta/MW_beta)/((E12*purity_beta/MW_beta)+(F12*purity_2m2boh/MW_2m2boh)),"")</f>
        <v/>
      </c>
    </row>
    <row r="13" customFormat="false" ht="14.25" hidden="false" customHeight="true" outlineLevel="0" collapsed="false">
      <c r="A13" s="1" t="n">
        <v>5</v>
      </c>
      <c r="B13" s="5" t="n">
        <f aca="false">IF(D13=0, 0, IF(D13=1, A13, (D13*A13*$C$2)/($C$3*(1-D13)+$C$2*D13)))</f>
        <v>3.42841861294348</v>
      </c>
      <c r="C13" s="5" t="n">
        <f aca="false">A13-B13</f>
        <v>1.57158138705652</v>
      </c>
      <c r="D13" s="1" t="n">
        <v>0.5</v>
      </c>
      <c r="E13" s="93"/>
      <c r="F13" s="93"/>
      <c r="G13" s="93" t="str">
        <f aca="false">IFERROR((E13*purity_beta/MW_beta)/((E13*purity_beta/MW_beta)+(F13*purity_2m2boh/MW_2m2boh)),"")</f>
        <v/>
      </c>
    </row>
    <row r="14" customFormat="false" ht="14.25" hidden="false" customHeight="true" outlineLevel="0" collapsed="false">
      <c r="A14" s="1" t="n">
        <v>5</v>
      </c>
      <c r="B14" s="5" t="n">
        <f aca="false">IF(D14=0, 0, IF(D14=1, A14, (D14*A14*$C$2)/($C$3*(1-D14)+$C$2*D14)))</f>
        <v>3.82966011683484</v>
      </c>
      <c r="C14" s="5" t="n">
        <f aca="false">A14-B14</f>
        <v>1.17033988316516</v>
      </c>
      <c r="D14" s="1" t="n">
        <v>0.6</v>
      </c>
      <c r="E14" s="93"/>
      <c r="F14" s="93"/>
      <c r="G14" s="93" t="str">
        <f aca="false">IFERROR((E14*purity_beta/MW_beta)/((E14*purity_beta/MW_beta)+(F14*purity_2m2boh/MW_2m2boh)),"")</f>
        <v/>
      </c>
      <c r="H14" s="93"/>
    </row>
    <row r="15" customFormat="false" ht="14.25" hidden="false" customHeight="true" outlineLevel="0" collapsed="false">
      <c r="A15" s="1" t="n">
        <v>5</v>
      </c>
      <c r="B15" s="5" t="n">
        <f aca="false">IF(D15=0, 0, IF(D15=1, A15, (D15*A15*$C$2)/($C$3*(1-D15)+$C$2*D15)))</f>
        <v>4.17900717146317</v>
      </c>
      <c r="C15" s="5" t="n">
        <f aca="false">A15-B15</f>
        <v>0.820992828536835</v>
      </c>
      <c r="D15" s="1" t="n">
        <v>0.7</v>
      </c>
      <c r="E15" s="93"/>
      <c r="F15" s="93"/>
      <c r="G15" s="93" t="str">
        <f aca="false">IFERROR((E15*purity_beta/MW_beta)/((E15*purity_beta/MW_beta)+(F15*purity_2m2boh/MW_2m2boh)),"")</f>
        <v/>
      </c>
    </row>
    <row r="16" customFormat="false" ht="14.25" hidden="false" customHeight="true" outlineLevel="0" collapsed="false">
      <c r="A16" s="1" t="n">
        <v>5</v>
      </c>
      <c r="B16" s="5" t="n">
        <f aca="false">IF(D16=0, 0, IF(D16=1, A16, (D16*A16*$C$2)/($C$3*(1-D16)+$C$2*D16)))</f>
        <v>4.48591590365662</v>
      </c>
      <c r="C16" s="5" t="n">
        <f aca="false">A16-B16</f>
        <v>0.514084096343384</v>
      </c>
      <c r="D16" s="1" t="n">
        <v>0.8</v>
      </c>
      <c r="E16" s="93"/>
      <c r="F16" s="93"/>
      <c r="G16" s="93" t="str">
        <f aca="false">IFERROR((E16*purity_beta/MW_beta)/((E16*purity_beta/MW_beta)+(F16*purity_2m2boh/MW_2m2boh)),"")</f>
        <v/>
      </c>
    </row>
    <row r="17" customFormat="false" ht="14.25" hidden="false" customHeight="true" outlineLevel="0" collapsed="false">
      <c r="A17" s="1" t="n">
        <v>5</v>
      </c>
      <c r="B17" s="5" t="n">
        <f aca="false">IF(D17=0, 0, IF(D17=1, A17, (D17*A17*$C$2)/($C$3*(1-D17)+$C$2*D17)))</f>
        <v>4.75767655386645</v>
      </c>
      <c r="C17" s="5" t="n">
        <f aca="false">A17-B17</f>
        <v>0.242323446133546</v>
      </c>
      <c r="D17" s="1" t="n">
        <v>0.9</v>
      </c>
      <c r="E17" s="93"/>
      <c r="F17" s="93"/>
      <c r="G17" s="93" t="str">
        <f aca="false">IFERROR((E17*purity_beta/MW_beta)/((E17*purity_beta/MW_beta)+(F17*purity_2m2boh/MW_2m2boh)),"")</f>
        <v/>
      </c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93" t="n">
        <v>1</v>
      </c>
      <c r="F18" s="93" t="n">
        <v>0</v>
      </c>
      <c r="G18" s="93" t="n">
        <f aca="false">IF(AND(E18&gt;0,F18=0),1,IFERROR((E18/MW_beta)/((E18/MW_beta)+(F18/MW_2m2boh)),""))</f>
        <v>1</v>
      </c>
    </row>
    <row r="19" customFormat="false" ht="13.5" hidden="false" customHeight="true" outlineLevel="0" collapsed="false">
      <c r="B19" s="5"/>
    </row>
    <row r="20" customFormat="false" ht="14.25" hidden="false" customHeight="true" outlineLevel="0" collapsed="false">
      <c r="A20" s="78" t="s">
        <v>303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4.25" hidden="false" customHeight="true" outlineLevel="0" collapsed="false">
      <c r="A21" s="78"/>
      <c r="B21" s="78" t="s">
        <v>212</v>
      </c>
      <c r="G21" s="78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93" t="n">
        <f aca="false">G8</f>
        <v>0</v>
      </c>
      <c r="B23" s="78" t="n">
        <f aca="false">densidad_viscosidad_puros!G15</f>
        <v>0.80899</v>
      </c>
      <c r="C23" s="78" t="n">
        <f aca="false">densidad_viscosidad_puros!G16</f>
        <v>0.79979</v>
      </c>
      <c r="D23" s="78" t="n">
        <f aca="false">densidad_viscosidad_puros!G17</f>
        <v>0.79035</v>
      </c>
      <c r="E23" s="78" t="n">
        <f aca="false">densidad_viscosidad_puros!G18</f>
        <v>0.7806</v>
      </c>
      <c r="F23" s="78" t="n">
        <f aca="false">densidad_viscosidad_puros!G19</f>
        <v>0.77049</v>
      </c>
      <c r="G23" s="78" t="n">
        <f aca="false">IFERROR((($A23*MW_beta)+((1-$A23)*MW_2m2boh))/B23-(($A23*MW_beta/B$33)+((1-$A23)*MW_2m2boh/B$23)),"")</f>
        <v>0</v>
      </c>
      <c r="H23" s="78" t="n">
        <f aca="false">IFERROR((($A23*MW_beta)+((1-$A23)*MW_2m2boh))/C23-(($A23*MW_beta/C$33)+((1-$A23)*MW_2m2boh/C$23)),"")</f>
        <v>0</v>
      </c>
      <c r="I23" s="78" t="n">
        <f aca="false">IFERROR((($A23*MW_beta)+((1-$A23)*MW_2m2boh))/D23-(($A23*MW_beta/D$33)+((1-$A23)*MW_2m2boh/D$23)),"")</f>
        <v>0</v>
      </c>
      <c r="J23" s="78" t="n">
        <f aca="false">IFERROR((($A23*MW_beta)+((1-$A23)*MW_2m2boh))/E23-(($A23*MW_beta/E$33)+((1-$A23)*MW_2m2boh/E$23)),"")</f>
        <v>0</v>
      </c>
      <c r="K23" s="78" t="n">
        <f aca="false">IFERROR((($A23*MW_beta)+((1-$A23)*MW_2m2boh))/F23-(($A23*MW_beta/F$33)+((1-$A23)*MW_2m2boh/F$23)),"")</f>
        <v>0</v>
      </c>
    </row>
    <row r="24" customFormat="false" ht="14.25" hidden="false" customHeight="true" outlineLevel="0" collapsed="false">
      <c r="A24" s="88" t="str">
        <f aca="false">G9</f>
        <v/>
      </c>
      <c r="B24" s="93"/>
      <c r="C24" s="97"/>
      <c r="D24" s="93"/>
      <c r="E24" s="93"/>
      <c r="F24" s="93"/>
      <c r="G24" s="78" t="str">
        <f aca="false">IFERROR((($A24*MW_beta)+((1-$A24)*MW_2m2boh))/B24-(($A24*MW_beta/B$33)+((1-$A24)*MW_2m2boh/B$23)),"")</f>
        <v/>
      </c>
      <c r="H24" s="78" t="str">
        <f aca="false">IFERROR((($A24*MW_beta)+((1-$A24)*MW_2m2boh))/C24-(($A24*MW_beta/C$33)+((1-$A24)*MW_2m2boh/C$23)),"")</f>
        <v/>
      </c>
      <c r="I24" s="78" t="str">
        <f aca="false">IFERROR((($A24*MW_beta)+((1-$A24)*MW_2m2boh))/D24-(($A24*MW_beta/D$33)+((1-$A24)*MW_2m2boh/D$23)),"")</f>
        <v/>
      </c>
      <c r="J24" s="78" t="str">
        <f aca="false">IFERROR((($A24*MW_beta)+((1-$A24)*MW_2m2boh))/E24-(($A24*MW_beta/E$33)+((1-$A24)*MW_2m2boh/E$23)),"")</f>
        <v/>
      </c>
      <c r="K24" s="78" t="str">
        <f aca="false">IFERROR((($A24*MW_beta)+((1-$A24)*MW_2m2boh))/F24-(($A24*MW_beta/F$33)+((1-$A24)*MW_2m2boh/F$23)),"")</f>
        <v/>
      </c>
    </row>
    <row r="25" customFormat="false" ht="14.25" hidden="false" customHeight="true" outlineLevel="0" collapsed="false">
      <c r="A25" s="88" t="str">
        <f aca="false">G10</f>
        <v/>
      </c>
      <c r="B25" s="93"/>
      <c r="C25" s="97"/>
      <c r="D25" s="93"/>
      <c r="E25" s="93"/>
      <c r="F25" s="93"/>
      <c r="G25" s="78" t="str">
        <f aca="false">IFERROR((($A25*MW_beta)+((1-$A25)*MW_2m2boh))/B25-(($A25*MW_beta/B$33)+((1-$A25)*MW_2m2boh/B$23)),"")</f>
        <v/>
      </c>
      <c r="H25" s="78" t="str">
        <f aca="false">IFERROR((($A25*MW_beta)+((1-$A25)*MW_2m2boh))/C25-(($A25*MW_beta/C$33)+((1-$A25)*MW_2m2boh/C$23)),"")</f>
        <v/>
      </c>
      <c r="I25" s="78" t="str">
        <f aca="false">IFERROR((($A25*MW_beta)+((1-$A25)*MW_2m2boh))/D25-(($A25*MW_beta/D$33)+((1-$A25)*MW_2m2boh/D$23)),"")</f>
        <v/>
      </c>
      <c r="J25" s="78" t="str">
        <f aca="false">IFERROR((($A25*MW_beta)+((1-$A25)*MW_2m2boh))/E25-(($A25*MW_beta/E$33)+((1-$A25)*MW_2m2boh/E$23)),"")</f>
        <v/>
      </c>
      <c r="K25" s="78" t="str">
        <f aca="false">IFERROR((($A25*MW_beta)+((1-$A25)*MW_2m2boh))/F25-(($A25*MW_beta/F$33)+((1-$A25)*MW_2m2boh/F$23)),"")</f>
        <v/>
      </c>
    </row>
    <row r="26" customFormat="false" ht="14.25" hidden="false" customHeight="true" outlineLevel="0" collapsed="false">
      <c r="A26" s="88" t="str">
        <f aca="false">G11</f>
        <v/>
      </c>
      <c r="B26" s="93"/>
      <c r="C26" s="97"/>
      <c r="D26" s="93"/>
      <c r="E26" s="93"/>
      <c r="F26" s="93"/>
      <c r="G26" s="78" t="str">
        <f aca="false">IFERROR((($A26*MW_beta)+((1-$A26)*MW_2m2boh))/B26-(($A26*MW_beta/B$33)+((1-$A26)*MW_2m2boh/B$23)),"")</f>
        <v/>
      </c>
      <c r="H26" s="78" t="str">
        <f aca="false">IFERROR((($A26*MW_beta)+((1-$A26)*MW_2m2boh))/C26-(($A26*MW_beta/C$33)+((1-$A26)*MW_2m2boh/C$23)),"")</f>
        <v/>
      </c>
      <c r="I26" s="78" t="str">
        <f aca="false">IFERROR((($A26*MW_beta)+((1-$A26)*MW_2m2boh))/D26-(($A26*MW_beta/D$33)+((1-$A26)*MW_2m2boh/D$23)),"")</f>
        <v/>
      </c>
      <c r="J26" s="78" t="str">
        <f aca="false">IFERROR((($A26*MW_beta)+((1-$A26)*MW_2m2boh))/E26-(($A26*MW_beta/E$33)+((1-$A26)*MW_2m2boh/E$23)),"")</f>
        <v/>
      </c>
      <c r="K26" s="78" t="str">
        <f aca="false">IFERROR((($A26*MW_beta)+((1-$A26)*MW_2m2boh))/F26-(($A26*MW_beta/F$33)+((1-$A26)*MW_2m2boh/F$23)),"")</f>
        <v/>
      </c>
    </row>
    <row r="27" customFormat="false" ht="14.25" hidden="false" customHeight="true" outlineLevel="0" collapsed="false">
      <c r="A27" s="88" t="str">
        <f aca="false">G12</f>
        <v/>
      </c>
      <c r="B27" s="93"/>
      <c r="C27" s="97"/>
      <c r="D27" s="93"/>
      <c r="E27" s="93"/>
      <c r="F27" s="93"/>
      <c r="G27" s="78" t="str">
        <f aca="false">IFERROR((($A27*MW_beta)+((1-$A27)*MW_2m2boh))/B27-(($A27*MW_beta/B$33)+((1-$A27)*MW_2m2boh/B$23)),"")</f>
        <v/>
      </c>
      <c r="H27" s="78" t="str">
        <f aca="false">IFERROR((($A27*MW_beta)+((1-$A27)*MW_2m2boh))/C27-(($A27*MW_beta/C$33)+((1-$A27)*MW_2m2boh/C$23)),"")</f>
        <v/>
      </c>
      <c r="I27" s="78" t="str">
        <f aca="false">IFERROR((($A27*MW_beta)+((1-$A27)*MW_2m2boh))/D27-(($A27*MW_beta/D$33)+((1-$A27)*MW_2m2boh/D$23)),"")</f>
        <v/>
      </c>
      <c r="J27" s="78" t="str">
        <f aca="false">IFERROR((($A27*MW_beta)+((1-$A27)*MW_2m2boh))/E27-(($A27*MW_beta/E$33)+((1-$A27)*MW_2m2boh/E$23)),"")</f>
        <v/>
      </c>
      <c r="K27" s="78" t="str">
        <f aca="false">IFERROR((($A27*MW_beta)+((1-$A27)*MW_2m2boh))/F27-(($A27*MW_beta/F$33)+((1-$A27)*MW_2m2boh/F$23)),"")</f>
        <v/>
      </c>
    </row>
    <row r="28" customFormat="false" ht="14.25" hidden="false" customHeight="true" outlineLevel="0" collapsed="false">
      <c r="A28" s="88" t="str">
        <f aca="false">G13</f>
        <v/>
      </c>
      <c r="B28" s="93"/>
      <c r="C28" s="93"/>
      <c r="D28" s="93"/>
      <c r="E28" s="93"/>
      <c r="F28" s="93"/>
      <c r="G28" s="78" t="str">
        <f aca="false">IFERROR((($A28*MW_beta)+((1-$A28)*MW_2m2boh))/B28-(($A28*MW_beta/B$33)+((1-$A28)*MW_2m2boh/B$23)),"")</f>
        <v/>
      </c>
      <c r="H28" s="78" t="str">
        <f aca="false">IFERROR((($A28*MW_beta)+((1-$A28)*MW_2m2boh))/C28-(($A28*MW_beta/C$33)+((1-$A28)*MW_2m2boh/C$23)),"")</f>
        <v/>
      </c>
      <c r="I28" s="78" t="str">
        <f aca="false">IFERROR((($A28*MW_beta)+((1-$A28)*MW_2m2boh))/D28-(($A28*MW_beta/D$33)+((1-$A28)*MW_2m2boh/D$23)),"")</f>
        <v/>
      </c>
      <c r="J28" s="78" t="str">
        <f aca="false">IFERROR((($A28*MW_beta)+((1-$A28)*MW_2m2boh))/E28-(($A28*MW_beta/E$33)+((1-$A28)*MW_2m2boh/E$23)),"")</f>
        <v/>
      </c>
      <c r="K28" s="78" t="str">
        <f aca="false">IFERROR((($A28*MW_beta)+((1-$A28)*MW_2m2boh))/F28-(($A28*MW_beta/F$33)+((1-$A28)*MW_2m2boh/F$23)),"")</f>
        <v/>
      </c>
    </row>
    <row r="29" customFormat="false" ht="14.25" hidden="false" customHeight="true" outlineLevel="0" collapsed="false">
      <c r="A29" s="88" t="str">
        <f aca="false">G14</f>
        <v/>
      </c>
      <c r="B29" s="93"/>
      <c r="C29" s="93"/>
      <c r="D29" s="93"/>
      <c r="E29" s="93"/>
      <c r="F29" s="93"/>
      <c r="G29" s="78" t="str">
        <f aca="false">IFERROR((($A29*MW_beta)+((1-$A29)*MW_2m2boh))/B29-(($A29*MW_beta/B$33)+((1-$A29)*MW_2m2boh/B$23)),"")</f>
        <v/>
      </c>
      <c r="H29" s="78" t="str">
        <f aca="false">IFERROR((($A29*MW_beta)+((1-$A29)*MW_2m2boh))/C29-(($A29*MW_beta/C$33)+((1-$A29)*MW_2m2boh/C$23)),"")</f>
        <v/>
      </c>
      <c r="I29" s="78" t="str">
        <f aca="false">IFERROR((($A29*MW_beta)+((1-$A29)*MW_2m2boh))/D29-(($A29*MW_beta/D$33)+((1-$A29)*MW_2m2boh/D$23)),"")</f>
        <v/>
      </c>
      <c r="J29" s="78" t="str">
        <f aca="false">IFERROR((($A29*MW_beta)+((1-$A29)*MW_2m2boh))/E29-(($A29*MW_beta/E$33)+((1-$A29)*MW_2m2boh/E$23)),"")</f>
        <v/>
      </c>
      <c r="K29" s="78" t="str">
        <f aca="false">IFERROR((($A29*MW_beta)+((1-$A29)*MW_2m2boh))/F29-(($A29*MW_beta/F$33)+((1-$A29)*MW_2m2boh/F$23)),"")</f>
        <v/>
      </c>
    </row>
    <row r="30" customFormat="false" ht="14.25" hidden="false" customHeight="true" outlineLevel="0" collapsed="false">
      <c r="A30" s="88" t="str">
        <f aca="false">G15</f>
        <v/>
      </c>
      <c r="B30" s="93"/>
      <c r="C30" s="93"/>
      <c r="D30" s="93"/>
      <c r="E30" s="93"/>
      <c r="F30" s="93"/>
      <c r="G30" s="78" t="str">
        <f aca="false">IFERROR((($A30*MW_beta)+((1-$A30)*MW_2m2boh))/B30-(($A30*MW_beta/B$33)+((1-$A30)*MW_2m2boh/B$23)),"")</f>
        <v/>
      </c>
      <c r="H30" s="78" t="str">
        <f aca="false">IFERROR((($A30*MW_beta)+((1-$A30)*MW_2m2boh))/C30-(($A30*MW_beta/C$33)+((1-$A30)*MW_2m2boh/C$23)),"")</f>
        <v/>
      </c>
      <c r="I30" s="78" t="str">
        <f aca="false">IFERROR((($A30*MW_beta)+((1-$A30)*MW_2m2boh))/D30-(($A30*MW_beta/D$33)+((1-$A30)*MW_2m2boh/D$23)),"")</f>
        <v/>
      </c>
      <c r="J30" s="78" t="str">
        <f aca="false">IFERROR((($A30*MW_beta)+((1-$A30)*MW_2m2boh))/E30-(($A30*MW_beta/E$33)+((1-$A30)*MW_2m2boh/E$23)),"")</f>
        <v/>
      </c>
      <c r="K30" s="78" t="str">
        <f aca="false">IFERROR((($A30*MW_beta)+((1-$A30)*MW_2m2boh))/F30-(($A30*MW_beta/F$33)+((1-$A30)*MW_2m2boh/F$23)),"")</f>
        <v/>
      </c>
    </row>
    <row r="31" customFormat="false" ht="14.25" hidden="false" customHeight="true" outlineLevel="0" collapsed="false">
      <c r="A31" s="88" t="str">
        <f aca="false">G16</f>
        <v/>
      </c>
      <c r="B31" s="93"/>
      <c r="C31" s="93"/>
      <c r="D31" s="93"/>
      <c r="E31" s="93"/>
      <c r="F31" s="97"/>
      <c r="G31" s="78" t="str">
        <f aca="false">IFERROR((($A31*MW_beta)+((1-$A31)*MW_2m2boh))/B31-(($A31*MW_beta/B$33)+((1-$A31)*MW_2m2boh/B$23)),"")</f>
        <v/>
      </c>
      <c r="H31" s="78" t="str">
        <f aca="false">IFERROR((($A31*MW_beta)+((1-$A31)*MW_2m2boh))/C31-(($A31*MW_beta/C$33)+((1-$A31)*MW_2m2boh/C$23)),"")</f>
        <v/>
      </c>
      <c r="I31" s="78" t="str">
        <f aca="false">IFERROR((($A31*MW_beta)+((1-$A31)*MW_2m2boh))/D31-(($A31*MW_beta/D$33)+((1-$A31)*MW_2m2boh/D$23)),"")</f>
        <v/>
      </c>
      <c r="J31" s="78" t="str">
        <f aca="false">IFERROR((($A31*MW_beta)+((1-$A31)*MW_2m2boh))/E31-(($A31*MW_beta/E$33)+((1-$A31)*MW_2m2boh/E$23)),"")</f>
        <v/>
      </c>
      <c r="K31" s="78" t="str">
        <f aca="false">IFERROR((($A31*MW_beta)+((1-$A31)*MW_2m2boh))/F31-(($A31*MW_beta/F$33)+((1-$A31)*MW_2m2boh/F$23)),"")</f>
        <v/>
      </c>
    </row>
    <row r="32" customFormat="false" ht="14.25" hidden="false" customHeight="true" outlineLevel="0" collapsed="false">
      <c r="A32" s="98" t="str">
        <f aca="false">G17</f>
        <v/>
      </c>
      <c r="B32" s="93"/>
      <c r="C32" s="93"/>
      <c r="D32" s="93"/>
      <c r="E32" s="93"/>
      <c r="F32" s="93"/>
      <c r="G32" s="78" t="str">
        <f aca="false">IFERROR((($A32*MW_beta)+((1-$A32)*MW_2m2boh))/B32-(($A32*MW_beta/B$33)+((1-$A32)*MW_2m2boh/B$23)),"")</f>
        <v/>
      </c>
      <c r="H32" s="78" t="str">
        <f aca="false">IFERROR((($A32*MW_beta)+((1-$A32)*MW_2m2boh))/C32-(($A32*MW_beta/C$33)+((1-$A32)*MW_2m2boh/C$23)),"")</f>
        <v/>
      </c>
      <c r="I32" s="78" t="str">
        <f aca="false">IFERROR((($A32*MW_beta)+((1-$A32)*MW_2m2boh))/D32-(($A32*MW_beta/D$33)+((1-$A32)*MW_2m2boh/D$23)),"")</f>
        <v/>
      </c>
      <c r="J32" s="78" t="str">
        <f aca="false">IFERROR((($A32*MW_beta)+((1-$A32)*MW_2m2boh))/E32-(($A32*MW_beta/E$33)+((1-$A32)*MW_2m2boh/E$23)),"")</f>
        <v/>
      </c>
      <c r="K32" s="78" t="str">
        <f aca="false">IFERROR((($A32*MW_beta)+((1-$A32)*MW_2m2boh))/F32-(($A32*MW_beta/F$33)+((1-$A32)*MW_2m2boh/F$23)),"")</f>
        <v/>
      </c>
    </row>
    <row r="33" customFormat="false" ht="14.25" hidden="false" customHeight="true" outlineLevel="0" collapsed="false">
      <c r="A33" s="93" t="n">
        <f aca="false">G18</f>
        <v>1</v>
      </c>
      <c r="B33" s="93" t="n">
        <f aca="false">densidad_viscosidad_puros!G65</f>
        <v>0.94498</v>
      </c>
      <c r="C33" s="93" t="n">
        <f aca="false">densidad_viscosidad_puros!G66</f>
        <v>0.93726</v>
      </c>
      <c r="D33" s="93" t="n">
        <f aca="false">densidad_viscosidad_puros!G67</f>
        <v>0.9295</v>
      </c>
      <c r="E33" s="93" t="n">
        <f aca="false">densidad_viscosidad_puros!G68</f>
        <v>0.92172</v>
      </c>
      <c r="F33" s="93" t="n">
        <f aca="false">densidad_viscosidad_puros!G69</f>
        <v>0.91396</v>
      </c>
      <c r="G33" s="78" t="n">
        <f aca="false">IFERROR((($A33*MW_beta)+((1-$A33)*MW_2m2boh))/B33-(($A33*MW_beta/B$33)+((1-$A33)*MW_2m2boh/B$23)),"")</f>
        <v>0</v>
      </c>
      <c r="H33" s="78" t="n">
        <f aca="false">IFERROR((($A33*MW_beta)+((1-$A33)*MW_2m2boh))/C33-(($A33*MW_beta/C$33)+((1-$A33)*MW_2m2boh/C$23)),"")</f>
        <v>0</v>
      </c>
      <c r="I33" s="78" t="n">
        <f aca="false">IFERROR((($A33*MW_beta)+((1-$A33)*MW_2m2boh))/D33-(($A33*MW_beta/D$33)+((1-$A33)*MW_2m2boh/D$23)),"")</f>
        <v>0</v>
      </c>
      <c r="J33" s="78" t="n">
        <f aca="false">IFERROR((($A33*MW_beta)+((1-$A33)*MW_2m2boh))/E33-(($A33*MW_beta/E$33)+((1-$A33)*MW_2m2boh/E$23)),"")</f>
        <v>0</v>
      </c>
      <c r="K33" s="78" t="n">
        <f aca="false">IFERROR((($A33*MW_beta)+((1-$A33)*MW_2m2boh))/F33-(($A33*MW_beta/F$33)+((1-$A33)*MW_2m2boh/F$23)),"")</f>
        <v>0</v>
      </c>
    </row>
    <row r="34" customFormat="false" ht="14.25" hidden="false" customHeight="true" outlineLevel="0" collapsed="false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  <c r="G35" s="78"/>
      <c r="H35" s="78"/>
      <c r="I35" s="78"/>
      <c r="J35" s="78"/>
      <c r="K35" s="78"/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78"/>
      <c r="H36" s="92"/>
      <c r="I36" s="78"/>
      <c r="J36" s="92"/>
      <c r="K36" s="78"/>
    </row>
    <row r="37" customFormat="false" ht="14.25" hidden="false" customHeight="true" outlineLevel="0" collapsed="false">
      <c r="A37" s="93" t="n">
        <f aca="false">G8</f>
        <v>0</v>
      </c>
      <c r="B37" s="78" t="n">
        <f aca="false">densidad_viscosidad_puros!I15</f>
        <v>4.244</v>
      </c>
      <c r="C37" s="78" t="n">
        <f aca="false">densidad_viscosidad_puros!I16</f>
        <v>2.776</v>
      </c>
      <c r="D37" s="78" t="n">
        <f aca="false">densidad_viscosidad_puros!I17</f>
        <v>1.918</v>
      </c>
      <c r="E37" s="78" t="n">
        <f aca="false">densidad_viscosidad_puros!I18</f>
        <v>1.397</v>
      </c>
      <c r="F37" s="78" t="n">
        <f aca="false">densidad_viscosidad_puros!I19</f>
        <v>1.036</v>
      </c>
      <c r="G37" s="78"/>
      <c r="H37" s="78"/>
      <c r="I37" s="78"/>
      <c r="J37" s="78"/>
      <c r="K37" s="78"/>
    </row>
    <row r="38" customFormat="false" ht="14.25" hidden="false" customHeight="true" outlineLevel="0" collapsed="false">
      <c r="A38" s="88" t="str">
        <f aca="false">G9</f>
        <v/>
      </c>
      <c r="B38" s="78"/>
      <c r="C38" s="92"/>
      <c r="D38" s="78"/>
      <c r="E38" s="78"/>
      <c r="F38" s="78"/>
      <c r="G38" s="78"/>
      <c r="H38" s="78"/>
      <c r="I38" s="78"/>
      <c r="J38" s="78"/>
      <c r="K38" s="78"/>
    </row>
    <row r="39" customFormat="false" ht="14.25" hidden="false" customHeight="true" outlineLevel="0" collapsed="false">
      <c r="A39" s="88" t="str">
        <f aca="false">G10</f>
        <v/>
      </c>
      <c r="B39" s="78"/>
      <c r="C39" s="92"/>
      <c r="D39" s="78"/>
      <c r="E39" s="78"/>
      <c r="F39" s="78"/>
      <c r="G39" s="78"/>
      <c r="H39" s="78"/>
      <c r="I39" s="78"/>
      <c r="J39" s="78"/>
      <c r="K39" s="78"/>
    </row>
    <row r="40" customFormat="false" ht="14.25" hidden="false" customHeight="true" outlineLevel="0" collapsed="false">
      <c r="A40" s="88" t="str">
        <f aca="false">G11</f>
        <v/>
      </c>
      <c r="B40" s="78"/>
      <c r="C40" s="92"/>
      <c r="D40" s="78"/>
      <c r="E40" s="78"/>
      <c r="F40" s="78"/>
      <c r="G40" s="78"/>
      <c r="H40" s="78"/>
      <c r="I40" s="78"/>
      <c r="J40" s="78"/>
      <c r="K40" s="78"/>
    </row>
    <row r="41" customFormat="false" ht="14.25" hidden="false" customHeight="true" outlineLevel="0" collapsed="false">
      <c r="A41" s="88" t="str">
        <f aca="false">G12</f>
        <v/>
      </c>
      <c r="B41" s="78"/>
      <c r="C41" s="78"/>
      <c r="D41" s="78"/>
      <c r="E41" s="78"/>
      <c r="F41" s="78"/>
      <c r="G41" s="78"/>
      <c r="H41" s="78"/>
      <c r="I41" s="78"/>
      <c r="J41" s="78"/>
      <c r="K41" s="78"/>
    </row>
    <row r="42" customFormat="false" ht="14.25" hidden="false" customHeight="true" outlineLevel="0" collapsed="false">
      <c r="A42" s="88" t="str">
        <f aca="false">G13</f>
        <v/>
      </c>
      <c r="B42" s="78"/>
      <c r="C42" s="92"/>
      <c r="D42" s="78"/>
      <c r="E42" s="78"/>
      <c r="F42" s="78"/>
      <c r="G42" s="78"/>
      <c r="H42" s="78"/>
      <c r="I42" s="78"/>
      <c r="J42" s="78"/>
      <c r="K42" s="78"/>
    </row>
    <row r="43" customFormat="false" ht="14.25" hidden="false" customHeight="true" outlineLevel="0" collapsed="false">
      <c r="A43" s="88" t="str">
        <f aca="false">G14</f>
        <v/>
      </c>
      <c r="B43" s="78"/>
      <c r="C43" s="78"/>
      <c r="D43" s="78"/>
      <c r="E43" s="78"/>
      <c r="F43" s="78"/>
      <c r="G43" s="78"/>
      <c r="H43" s="78"/>
      <c r="I43" s="78"/>
      <c r="J43" s="78"/>
      <c r="K43" s="78"/>
    </row>
    <row r="44" customFormat="false" ht="14.25" hidden="false" customHeight="true" outlineLevel="0" collapsed="false">
      <c r="A44" s="88" t="str">
        <f aca="false">G15</f>
        <v/>
      </c>
      <c r="B44" s="78"/>
      <c r="C44" s="78"/>
      <c r="D44" s="78"/>
      <c r="E44" s="78"/>
      <c r="F44" s="78"/>
      <c r="G44" s="78"/>
      <c r="H44" s="78"/>
      <c r="I44" s="78"/>
      <c r="J44" s="78"/>
      <c r="K44" s="78"/>
    </row>
    <row r="45" customFormat="false" ht="14.25" hidden="false" customHeight="true" outlineLevel="0" collapsed="false">
      <c r="A45" s="88" t="str">
        <f aca="false">G16</f>
        <v/>
      </c>
      <c r="B45" s="78"/>
      <c r="C45" s="78"/>
      <c r="D45" s="78"/>
      <c r="E45" s="78"/>
      <c r="F45" s="92"/>
      <c r="G45" s="78"/>
      <c r="H45" s="78"/>
      <c r="I45" s="78"/>
      <c r="J45" s="78"/>
      <c r="K45" s="78"/>
    </row>
    <row r="46" customFormat="false" ht="14.25" hidden="false" customHeight="true" outlineLevel="0" collapsed="false">
      <c r="A46" s="98" t="str">
        <f aca="false">G17</f>
        <v/>
      </c>
      <c r="B46" s="78"/>
      <c r="C46" s="78"/>
      <c r="D46" s="78"/>
      <c r="E46" s="78"/>
      <c r="F46" s="78"/>
      <c r="G46" s="78"/>
      <c r="H46" s="78"/>
      <c r="I46" s="78"/>
      <c r="J46" s="78"/>
      <c r="K46" s="78"/>
    </row>
    <row r="47" customFormat="false" ht="14.25" hidden="false" customHeight="true" outlineLevel="0" collapsed="false">
      <c r="A47" s="93" t="n">
        <f aca="false">G18</f>
        <v>1</v>
      </c>
      <c r="B47" s="78" t="n">
        <f aca="false">densidad_viscosidad_puros!I65</f>
        <v>11.31</v>
      </c>
      <c r="C47" s="78" t="n">
        <f aca="false">densidad_viscosidad_puros!I66</f>
        <v>7.323</v>
      </c>
      <c r="D47" s="78" t="n">
        <f aca="false">densidad_viscosidad_puros!I67</f>
        <v>5.121</v>
      </c>
      <c r="E47" s="78" t="n">
        <f aca="false">densidad_viscosidad_puros!I68</f>
        <v>3.792</v>
      </c>
      <c r="F47" s="78" t="n">
        <f aca="false">densidad_viscosidad_puros!I69</f>
        <v>2.938</v>
      </c>
      <c r="G47" s="78"/>
      <c r="H47" s="78"/>
      <c r="I47" s="78"/>
      <c r="J47" s="78"/>
      <c r="K47" s="78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4.25" hidden="false" customHeight="true" outlineLevel="0" collapsed="false">
      <c r="B50" s="1" t="s">
        <v>304</v>
      </c>
      <c r="E50" s="1" t="s">
        <v>305</v>
      </c>
      <c r="I50" s="78"/>
    </row>
    <row r="51" customFormat="false" ht="14.25" hidden="false" customHeight="true" outlineLevel="0" collapsed="false">
      <c r="I51" s="78"/>
    </row>
    <row r="52" customFormat="false" ht="14.25" hidden="false" customHeight="true" outlineLevel="0" collapsed="false">
      <c r="B52" s="1" t="s">
        <v>306</v>
      </c>
      <c r="D52" s="74" t="s">
        <v>307</v>
      </c>
      <c r="E52" s="74"/>
      <c r="F52" s="74"/>
    </row>
    <row r="53" customFormat="false" ht="14.25" hidden="false" customHeight="true" outlineLevel="0" collapsed="false">
      <c r="A53" s="1" t="s">
        <v>308</v>
      </c>
      <c r="B53" s="1" t="s">
        <v>309</v>
      </c>
      <c r="C53" s="1" t="s">
        <v>310</v>
      </c>
      <c r="D53" s="1" t="s">
        <v>311</v>
      </c>
      <c r="E53" s="1" t="s">
        <v>312</v>
      </c>
      <c r="F53" s="1" t="s">
        <v>313</v>
      </c>
    </row>
    <row r="54" customFormat="false" ht="13.5" hidden="false" customHeight="true" outlineLevel="0" collapsed="false">
      <c r="A54" s="1" t="n">
        <v>1</v>
      </c>
      <c r="B54" s="5" t="n">
        <f aca="false">B9/$B$33</f>
        <v>1.03229528886294</v>
      </c>
      <c r="C54" s="5" t="n">
        <f aca="false">C9/$B$23</f>
        <v>4.97472354161399</v>
      </c>
    </row>
    <row r="55" customFormat="false" ht="13.5" hidden="false" customHeight="true" outlineLevel="0" collapsed="false">
      <c r="A55" s="1" t="n">
        <v>2</v>
      </c>
      <c r="B55" s="5" t="n">
        <f aca="false">B10/$B$33</f>
        <v>1.86728179751836</v>
      </c>
      <c r="C55" s="5" t="n">
        <f aca="false">C10/$B$23</f>
        <v>3.99937705902557</v>
      </c>
    </row>
    <row r="56" customFormat="false" ht="13.5" hidden="false" customHeight="true" outlineLevel="0" collapsed="false">
      <c r="A56" s="1" t="n">
        <v>3</v>
      </c>
      <c r="B56" s="5" t="n">
        <f aca="false">B11/$B$33</f>
        <v>2.55659412404478</v>
      </c>
      <c r="C56" s="5" t="n">
        <f aca="false">C11/$B$23</f>
        <v>3.19419236907769</v>
      </c>
    </row>
    <row r="57" customFormat="false" ht="13.5" hidden="false" customHeight="true" outlineLevel="0" collapsed="false">
      <c r="A57" s="1" t="n">
        <v>4</v>
      </c>
      <c r="B57" s="5" t="n">
        <f aca="false">B12/$B$33</f>
        <v>3.13529574445037</v>
      </c>
      <c r="C57" s="5" t="n">
        <f aca="false">C12/$B$23</f>
        <v>2.51821187827945</v>
      </c>
    </row>
    <row r="58" customFormat="false" ht="13.5" hidden="false" customHeight="true" outlineLevel="0" collapsed="false">
      <c r="A58" s="1" t="n">
        <v>5</v>
      </c>
      <c r="B58" s="5" t="n">
        <f aca="false">B13/$B$33</f>
        <v>3.62803298793994</v>
      </c>
      <c r="C58" s="5" t="n">
        <f aca="false">C13/$B$23</f>
        <v>1.94264624662421</v>
      </c>
    </row>
    <row r="59" customFormat="false" ht="13.5" hidden="false" customHeight="true" outlineLevel="0" collapsed="false">
      <c r="A59" s="1" t="n">
        <v>6</v>
      </c>
      <c r="B59" s="5" t="n">
        <f aca="false">B14/$B$33</f>
        <v>4.05263615826244</v>
      </c>
      <c r="C59" s="5" t="n">
        <f aca="false">C14/$B$23</f>
        <v>1.44666792316983</v>
      </c>
    </row>
    <row r="60" customFormat="false" ht="13.5" hidden="false" customHeight="true" outlineLevel="0" collapsed="false">
      <c r="A60" s="1" t="n">
        <v>7</v>
      </c>
      <c r="B60" s="5" t="n">
        <f aca="false">B15/$B$33</f>
        <v>4.42232340521827</v>
      </c>
      <c r="C60" s="5" t="n">
        <f aca="false">C15/$B$23</f>
        <v>1.0148368070518</v>
      </c>
    </row>
    <row r="61" customFormat="false" ht="13.5" hidden="false" customHeight="true" outlineLevel="0" collapsed="false">
      <c r="A61" s="1" t="n">
        <v>8</v>
      </c>
      <c r="B61" s="5" t="n">
        <f aca="false">B16/$B$33</f>
        <v>4.74710142400539</v>
      </c>
      <c r="C61" s="5" t="n">
        <f aca="false">C16/$B$23</f>
        <v>0.635464092687653</v>
      </c>
    </row>
    <row r="62" customFormat="false" ht="13.5" hidden="false" customHeight="true" outlineLevel="0" collapsed="false">
      <c r="A62" s="1" t="n">
        <v>9</v>
      </c>
      <c r="B62" s="5" t="n">
        <f aca="false">B17/$B$33</f>
        <v>5.03468491805801</v>
      </c>
      <c r="C62" s="5" t="n">
        <f aca="false">C17/$B$23</f>
        <v>0.299538246620534</v>
      </c>
    </row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3" activeCellId="1" sqref="B39:F39 L13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5"/>
    <col collapsed="false" customWidth="true" hidden="false" outlineLevel="0" max="3" min="3" style="1" width="16.5"/>
    <col collapsed="false" customWidth="true" hidden="false" outlineLevel="0" max="4" min="4" style="1" width="28.25"/>
    <col collapsed="false" customWidth="true" hidden="false" outlineLevel="0" max="5" min="5" style="1" width="22.88"/>
    <col collapsed="false" customWidth="true" hidden="false" outlineLevel="0" max="6" min="6" style="1" width="18.25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12</v>
      </c>
      <c r="B2" s="1" t="n">
        <v>1</v>
      </c>
      <c r="C2" s="1" t="n">
        <v>192.3</v>
      </c>
    </row>
    <row r="3" customFormat="false" ht="14.25" hidden="false" customHeight="true" outlineLevel="0" collapsed="false">
      <c r="A3" s="1" t="s">
        <v>20</v>
      </c>
      <c r="B3" s="1" t="n">
        <v>2</v>
      </c>
      <c r="C3" s="1" t="n">
        <v>102.17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278</v>
      </c>
      <c r="C7" s="1" t="s">
        <v>314</v>
      </c>
      <c r="D7" s="1" t="s">
        <v>280</v>
      </c>
      <c r="E7" s="1" t="s">
        <v>281</v>
      </c>
      <c r="F7" s="1" t="s">
        <v>315</v>
      </c>
      <c r="G7" s="1" t="s">
        <v>283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78"/>
      <c r="F8" s="78"/>
      <c r="G8" s="78" t="str">
        <f aca="false">IF(AND(E8=0,F8&gt;0),0,"")</f>
        <v/>
      </c>
    </row>
    <row r="9" customFormat="false" ht="14.25" hidden="false" customHeight="true" outlineLevel="0" collapsed="false">
      <c r="A9" s="1" t="n">
        <v>5</v>
      </c>
      <c r="B9" s="5" t="n">
        <f aca="false">IF(D9=0, 0, IF(D9=1, A9, (D9*A9*$C$2)/($C$3*(1-D9)+$C$2*D9)))</f>
        <v>0.864790480559078</v>
      </c>
      <c r="C9" s="5" t="n">
        <f aca="false">A9-B9</f>
        <v>4.13520951944092</v>
      </c>
      <c r="D9" s="1" t="n">
        <v>0.1</v>
      </c>
      <c r="E9" s="78"/>
      <c r="F9" s="78"/>
      <c r="G9" s="78" t="str">
        <f aca="false">IFERROR((E9*purity_beta/MW_beta)/((E9*purity_beta/MW_beta)+(F9*purity_hexoh/MW_hexoh)),"")</f>
        <v/>
      </c>
    </row>
    <row r="10" customFormat="false" ht="14.25" hidden="false" customHeight="true" outlineLevel="0" collapsed="false">
      <c r="A10" s="1" t="n">
        <v>5</v>
      </c>
      <c r="B10" s="5" t="n">
        <f aca="false">IF(D10=0, 0, IF(D10=1, A10, (D10*A10*$C$2)/($C$3*(1-D10)+$C$2*D10)))</f>
        <v>1.59988685147592</v>
      </c>
      <c r="C10" s="5" t="n">
        <f aca="false">A10-B10</f>
        <v>3.40011314852408</v>
      </c>
      <c r="D10" s="1" t="n">
        <v>0.2</v>
      </c>
      <c r="E10" s="78"/>
      <c r="F10" s="78"/>
      <c r="G10" s="78" t="str">
        <f aca="false">IFERROR((E10*purity_beta/MW_beta)/((E10*purity_beta/MW_beta)+(F10*purity_hexoh/MW_hexoh)),"")</f>
        <v/>
      </c>
    </row>
    <row r="11" customFormat="false" ht="14.25" hidden="false" customHeight="true" outlineLevel="0" collapsed="false">
      <c r="A11" s="1" t="n">
        <v>5</v>
      </c>
      <c r="B11" s="5" t="n">
        <f aca="false">IF(D11=0, 0, IF(D11=1, A11, (D11*A11*$C$2)/($C$3*(1-D11)+$C$2*D11)))</f>
        <v>2.23242962951497</v>
      </c>
      <c r="C11" s="5" t="n">
        <f aca="false">A11-B11</f>
        <v>2.76757037048503</v>
      </c>
      <c r="D11" s="1" t="n">
        <v>0.3</v>
      </c>
      <c r="E11" s="78"/>
      <c r="F11" s="78"/>
      <c r="G11" s="78" t="str">
        <f aca="false">IFERROR((E11*purity_beta/MW_beta)/((E11*purity_beta/MW_beta)+(F11*purity_hexoh/MW_hexoh)),"")</f>
        <v/>
      </c>
    </row>
    <row r="12" customFormat="false" ht="14.25" hidden="false" customHeight="true" outlineLevel="0" collapsed="false">
      <c r="A12" s="1" t="n">
        <v>5</v>
      </c>
      <c r="B12" s="5" t="n">
        <f aca="false">IF(D12=0, 0, IF(D12=1, A12, (D12*A12*$C$2)/($C$3*(1-D12)+$C$2*D12)))</f>
        <v>2.78248035768546</v>
      </c>
      <c r="C12" s="5" t="n">
        <f aca="false">A12-B12</f>
        <v>2.21751964231454</v>
      </c>
      <c r="D12" s="1" t="n">
        <v>0.4</v>
      </c>
      <c r="E12" s="78"/>
      <c r="F12" s="78"/>
      <c r="G12" s="78" t="str">
        <f aca="false">IFERROR((E12*purity_beta/MW_beta)/((E12*purity_beta/MW_beta)+(F12*purity_hexoh/MW_hexoh)),"")</f>
        <v/>
      </c>
    </row>
    <row r="13" customFormat="false" ht="14.25" hidden="false" customHeight="true" outlineLevel="0" collapsed="false">
      <c r="A13" s="1" t="n">
        <v>5</v>
      </c>
      <c r="B13" s="5" t="n">
        <f aca="false">IF(D13=0, 0, IF(D13=1, A13, (D13*A13*$C$2)/($C$3*(1-D13)+$C$2*D13)))</f>
        <v>3.26518830441132</v>
      </c>
      <c r="C13" s="5" t="n">
        <f aca="false">A13-B13</f>
        <v>1.73481169558869</v>
      </c>
      <c r="D13" s="1" t="n">
        <v>0.5</v>
      </c>
      <c r="E13" s="78"/>
      <c r="F13" s="78"/>
      <c r="G13" s="78" t="str">
        <f aca="false">IFERROR((E13*purity_beta/MW_beta)/((E13*purity_beta/MW_beta)+(F13*purity_hexoh/MW_hexoh)),"")</f>
        <v/>
      </c>
    </row>
    <row r="14" customFormat="false" ht="14.25" hidden="false" customHeight="true" outlineLevel="0" collapsed="false">
      <c r="A14" s="1" t="n">
        <v>5</v>
      </c>
      <c r="B14" s="5" t="n">
        <f aca="false">IF(D14=0, 0, IF(D14=1, A14, (D14*A14*$C$2)/($C$3*(1-D14)+$C$2*D14)))</f>
        <v>3.69220726025293</v>
      </c>
      <c r="C14" s="5" t="n">
        <f aca="false">A14-B14</f>
        <v>1.30779273974707</v>
      </c>
      <c r="D14" s="1" t="n">
        <v>0.6</v>
      </c>
      <c r="E14" s="78"/>
      <c r="F14" s="78"/>
      <c r="G14" s="78" t="str">
        <f aca="false">IFERROR((E14*purity_beta/MW_beta)/((E14*purity_beta/MW_beta)+(F14*purity_hexoh/MW_hexoh)),"")</f>
        <v/>
      </c>
    </row>
    <row r="15" customFormat="false" ht="14.25" hidden="false" customHeight="true" outlineLevel="0" collapsed="false">
      <c r="A15" s="1" t="n">
        <v>5</v>
      </c>
      <c r="B15" s="5" t="n">
        <f aca="false">IF(D15=0, 0, IF(D15=1, A15, (D15*A15*$C$2)/($C$3*(1-D15)+$C$2*D15)))</f>
        <v>4.07264871929857</v>
      </c>
      <c r="C15" s="5" t="n">
        <f aca="false">A15-B15</f>
        <v>0.927351280701435</v>
      </c>
      <c r="D15" s="1" t="n">
        <v>0.7</v>
      </c>
      <c r="E15" s="78"/>
      <c r="F15" s="78"/>
      <c r="G15" s="78" t="str">
        <f aca="false">IFERROR((E15*purity_beta/MW_beta)/((E15*purity_beta/MW_beta)+(F15*purity_hexoh/MW_hexoh)),"")</f>
        <v/>
      </c>
    </row>
    <row r="16" customFormat="false" ht="14.25" hidden="false" customHeight="true" outlineLevel="0" collapsed="false">
      <c r="A16" s="1" t="n">
        <v>5</v>
      </c>
      <c r="B16" s="5" t="n">
        <f aca="false">IF(D16=0, 0, IF(D16=1, A16, (D16*A16*$C$2)/($C$3*(1-D16)+$C$2*D16)))</f>
        <v>4.41373928411582</v>
      </c>
      <c r="C16" s="5" t="n">
        <f aca="false">A16-B16</f>
        <v>0.586260715884183</v>
      </c>
      <c r="D16" s="1" t="n">
        <v>0.8</v>
      </c>
      <c r="E16" s="78"/>
      <c r="F16" s="78"/>
      <c r="G16" s="78" t="str">
        <f aca="false">IFERROR((E16*purity_beta/MW_beta)/((E16*purity_beta/MW_beta)+(F16*purity_hexoh/MW_hexoh)),"")</f>
        <v/>
      </c>
    </row>
    <row r="17" customFormat="false" ht="14.25" hidden="false" customHeight="true" outlineLevel="0" collapsed="false">
      <c r="A17" s="1" t="n">
        <v>5</v>
      </c>
      <c r="B17" s="5" t="n">
        <f aca="false">IF(D17=0, 0, IF(D17=1, A17, (D17*A17*$C$2)/($C$3*(1-D17)+$C$2*D17)))</f>
        <v>4.72128410634688</v>
      </c>
      <c r="C17" s="5" t="n">
        <f aca="false">A17-B17</f>
        <v>0.278715893653124</v>
      </c>
      <c r="D17" s="1" t="n">
        <v>0.9</v>
      </c>
      <c r="E17" s="78"/>
      <c r="F17" s="78"/>
      <c r="G17" s="78" t="str">
        <f aca="false">IFERROR((E17*purity_beta/MW_beta)/((E17*purity_beta/MW_beta)+(F17*purity_hexoh/MW_hexoh)),"")</f>
        <v/>
      </c>
    </row>
    <row r="18" customFormat="false" ht="14.25" hidden="false" customHeight="true" outlineLevel="0" collapsed="false">
      <c r="A18" s="1" t="n">
        <v>5</v>
      </c>
      <c r="B18" s="5" t="n">
        <f aca="false">IF(D18=0, 0, IF(D18=1, A18, (D18*A18*$C$2)/($C$3*(1-D18)+$C$2*D18)))</f>
        <v>5</v>
      </c>
      <c r="C18" s="5" t="n">
        <f aca="false">A18-B18</f>
        <v>0</v>
      </c>
      <c r="D18" s="1" t="n">
        <v>1</v>
      </c>
      <c r="E18" s="78"/>
      <c r="F18" s="78"/>
      <c r="G18" s="78" t="str">
        <f aca="false">IF(AND(E18&gt;0,F18=0),1,IFERROR((E18/MW_beta)/((E18/MW_beta)+(F18/MW_hexoh)),""))</f>
        <v/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78" t="s">
        <v>303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4.25" hidden="false" customHeight="true" outlineLevel="0" collapsed="false">
      <c r="A21" s="78"/>
      <c r="B21" s="78" t="s">
        <v>212</v>
      </c>
      <c r="G21" s="78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78" t="str">
        <f aca="false">G8</f>
        <v/>
      </c>
      <c r="B23" s="78" t="n">
        <f aca="false">densidad_viscosidad_puros!G25</f>
        <v>0.81883</v>
      </c>
      <c r="C23" s="78" t="n">
        <f aca="false">densidad_viscosidad_puros!G26</f>
        <v>0.81174</v>
      </c>
      <c r="D23" s="78" t="n">
        <f aca="false">densidad_viscosidad_puros!G27</f>
        <v>0.80455</v>
      </c>
      <c r="E23" s="78" t="n">
        <f aca="false">densidad_viscosidad_puros!G28</f>
        <v>0.79722</v>
      </c>
      <c r="F23" s="78" t="n">
        <f aca="false">densidad_viscosidad_puros!G29</f>
        <v>0.78971</v>
      </c>
      <c r="G23" s="78" t="str">
        <f aca="false">IFERROR((($A23*MW_beta)+((1-$A23)*MW_hexoh))/B23-(($A23*MW_beta/B$33)+((1-$A23)*MW_hexoh/B$23)),"")</f>
        <v/>
      </c>
      <c r="H23" s="78" t="str">
        <f aca="false">IFERROR((($A23*MW_beta)+((1-$A23)*MW_hexoh))/C23-(($A23*MW_beta/C$33)+((1-$A23)*MW_hexoh/C$23)),"")</f>
        <v/>
      </c>
      <c r="I23" s="78" t="str">
        <f aca="false">IFERROR((($A23*MW_beta)+((1-$A23)*MW_hexoh))/D23-(($A23*MW_beta/D$33)+((1-$A23)*MW_hexoh/D$23)),"")</f>
        <v/>
      </c>
      <c r="J23" s="78" t="str">
        <f aca="false">IFERROR((($A23*MW_beta)+((1-$A23)*MW_hexoh))/E23-(($A23*MW_beta/E$33)+((1-$A23)*MW_hexoh/E$23)),"")</f>
        <v/>
      </c>
      <c r="K23" s="78" t="str">
        <f aca="false">IFERROR((($A23*MW_beta)+((1-$A23)*MW_hexoh))/F23-(($A23*MW_beta/F$33)+((1-$A23)*MW_hexoh/F$23)),"")</f>
        <v/>
      </c>
    </row>
    <row r="24" customFormat="false" ht="14.25" hidden="false" customHeight="true" outlineLevel="0" collapsed="false">
      <c r="A24" s="78" t="str">
        <f aca="false">G9</f>
        <v/>
      </c>
      <c r="B24" s="78"/>
      <c r="C24" s="92"/>
      <c r="D24" s="78"/>
      <c r="E24" s="78"/>
      <c r="F24" s="78"/>
      <c r="G24" s="78" t="str">
        <f aca="false">IFERROR((($A24*MW_beta)+((1-$A24)*MW_hexoh))/B24-(($A24*MW_beta/B$33)+((1-$A24)*MW_hexoh/B$23)),"")</f>
        <v/>
      </c>
      <c r="H24" s="78" t="str">
        <f aca="false">IFERROR((($A24*MW_beta)+((1-$A24)*MW_hexoh))/C24-(($A24*MW_beta/C$33)+((1-$A24)*MW_hexoh/C$23)),"")</f>
        <v/>
      </c>
      <c r="I24" s="78" t="str">
        <f aca="false">IFERROR((($A24*MW_beta)+((1-$A24)*MW_hexoh))/D24-(($A24*MW_beta/D$33)+((1-$A24)*MW_hexoh/D$23)),"")</f>
        <v/>
      </c>
      <c r="J24" s="78" t="str">
        <f aca="false">IFERROR((($A24*MW_beta)+((1-$A24)*MW_hexoh))/E24-(($A24*MW_beta/E$33)+((1-$A24)*MW_hexoh/E$23)),"")</f>
        <v/>
      </c>
      <c r="K24" s="78" t="str">
        <f aca="false">IFERROR((($A24*MW_beta)+((1-$A24)*MW_hexoh))/F24-(($A24*MW_beta/F$33)+((1-$A24)*MW_hexoh/F$23)),"")</f>
        <v/>
      </c>
    </row>
    <row r="25" customFormat="false" ht="14.25" hidden="false" customHeight="true" outlineLevel="0" collapsed="false">
      <c r="A25" s="78" t="str">
        <f aca="false">G10</f>
        <v/>
      </c>
      <c r="B25" s="78"/>
      <c r="C25" s="92"/>
      <c r="D25" s="78"/>
      <c r="E25" s="78"/>
      <c r="F25" s="78"/>
      <c r="G25" s="78" t="str">
        <f aca="false">IFERROR((($A25*MW_beta)+((1-$A25)*MW_hexoh))/B25-(($A25*MW_beta/B$33)+((1-$A25)*MW_hexoh/B$23)),"")</f>
        <v/>
      </c>
      <c r="H25" s="78" t="str">
        <f aca="false">IFERROR((($A25*MW_beta)+((1-$A25)*MW_hexoh))/C25-(($A25*MW_beta/C$33)+((1-$A25)*MW_hexoh/C$23)),"")</f>
        <v/>
      </c>
      <c r="I25" s="78" t="str">
        <f aca="false">IFERROR((($A25*MW_beta)+((1-$A25)*MW_hexoh))/D25-(($A25*MW_beta/D$33)+((1-$A25)*MW_hexoh/D$23)),"")</f>
        <v/>
      </c>
      <c r="J25" s="78" t="str">
        <f aca="false">IFERROR((($A25*MW_beta)+((1-$A25)*MW_hexoh))/E25-(($A25*MW_beta/E$33)+((1-$A25)*MW_hexoh/E$23)),"")</f>
        <v/>
      </c>
      <c r="K25" s="78" t="str">
        <f aca="false">IFERROR((($A25*MW_beta)+((1-$A25)*MW_hexoh))/F25-(($A25*MW_beta/F$33)+((1-$A25)*MW_hexoh/F$23)),"")</f>
        <v/>
      </c>
    </row>
    <row r="26" customFormat="false" ht="14.25" hidden="false" customHeight="true" outlineLevel="0" collapsed="false">
      <c r="A26" s="78" t="str">
        <f aca="false">G11</f>
        <v/>
      </c>
      <c r="B26" s="78"/>
      <c r="C26" s="92"/>
      <c r="D26" s="78"/>
      <c r="E26" s="78"/>
      <c r="F26" s="78"/>
      <c r="G26" s="78" t="str">
        <f aca="false">IFERROR((($A26*MW_beta)+((1-$A26)*MW_hexoh))/B26-(($A26*MW_beta/B$33)+((1-$A26)*MW_hexoh/B$23)),"")</f>
        <v/>
      </c>
      <c r="H26" s="78" t="str">
        <f aca="false">IFERROR((($A26*MW_beta)+((1-$A26)*MW_hexoh))/C26-(($A26*MW_beta/C$33)+((1-$A26)*MW_hexoh/C$23)),"")</f>
        <v/>
      </c>
      <c r="I26" s="78" t="str">
        <f aca="false">IFERROR((($A26*MW_beta)+((1-$A26)*MW_hexoh))/D26-(($A26*MW_beta/D$33)+((1-$A26)*MW_hexoh/D$23)),"")</f>
        <v/>
      </c>
      <c r="J26" s="78" t="str">
        <f aca="false">IFERROR((($A26*MW_beta)+((1-$A26)*MW_hexoh))/E26-(($A26*MW_beta/E$33)+((1-$A26)*MW_hexoh/E$23)),"")</f>
        <v/>
      </c>
      <c r="K26" s="78" t="str">
        <f aca="false">IFERROR((($A26*MW_beta)+((1-$A26)*MW_hexoh))/F26-(($A26*MW_beta/F$33)+((1-$A26)*MW_hexoh/F$23)),"")</f>
        <v/>
      </c>
    </row>
    <row r="27" customFormat="false" ht="14.25" hidden="false" customHeight="true" outlineLevel="0" collapsed="false">
      <c r="A27" s="78" t="str">
        <f aca="false">G12</f>
        <v/>
      </c>
      <c r="B27" s="78"/>
      <c r="C27" s="78"/>
      <c r="D27" s="78"/>
      <c r="E27" s="78"/>
      <c r="F27" s="78"/>
      <c r="G27" s="78" t="str">
        <f aca="false">IFERROR((($A27*MW_beta)+((1-$A27)*MW_hexoh))/B27-(($A27*MW_beta/B$33)+((1-$A27)*MW_hexoh/B$23)),"")</f>
        <v/>
      </c>
      <c r="H27" s="78" t="str">
        <f aca="false">IFERROR((($A27*MW_beta)+((1-$A27)*MW_hexoh))/C27-(($A27*MW_beta/C$33)+((1-$A27)*MW_hexoh/C$23)),"")</f>
        <v/>
      </c>
      <c r="I27" s="78" t="str">
        <f aca="false">IFERROR((($A27*MW_beta)+((1-$A27)*MW_hexoh))/D27-(($A27*MW_beta/D$33)+((1-$A27)*MW_hexoh/D$23)),"")</f>
        <v/>
      </c>
      <c r="J27" s="78" t="str">
        <f aca="false">IFERROR((($A27*MW_beta)+((1-$A27)*MW_hexoh))/E27-(($A27*MW_beta/E$33)+((1-$A27)*MW_hexoh/E$23)),"")</f>
        <v/>
      </c>
      <c r="K27" s="78" t="str">
        <f aca="false">IFERROR((($A27*MW_beta)+((1-$A27)*MW_hexoh))/F27-(($A27*MW_beta/F$33)+((1-$A27)*MW_hexoh/F$23)),"")</f>
        <v/>
      </c>
    </row>
    <row r="28" customFormat="false" ht="14.25" hidden="false" customHeight="true" outlineLevel="0" collapsed="false">
      <c r="A28" s="78" t="str">
        <f aca="false">G13</f>
        <v/>
      </c>
      <c r="B28" s="78"/>
      <c r="C28" s="92"/>
      <c r="D28" s="78"/>
      <c r="E28" s="78"/>
      <c r="F28" s="78"/>
      <c r="G28" s="78" t="str">
        <f aca="false">IFERROR((($A28*MW_beta)+((1-$A28)*MW_hexoh))/B28-(($A28*MW_beta/B$33)+((1-$A28)*MW_hexoh/B$23)),"")</f>
        <v/>
      </c>
      <c r="H28" s="78" t="str">
        <f aca="false">IFERROR((($A28*MW_beta)+((1-$A28)*MW_hexoh))/C28-(($A28*MW_beta/C$33)+((1-$A28)*MW_hexoh/C$23)),"")</f>
        <v/>
      </c>
      <c r="I28" s="78" t="str">
        <f aca="false">IFERROR((($A28*MW_beta)+((1-$A28)*MW_hexoh))/D28-(($A28*MW_beta/D$33)+((1-$A28)*MW_hexoh/D$23)),"")</f>
        <v/>
      </c>
      <c r="J28" s="78" t="str">
        <f aca="false">IFERROR((($A28*MW_beta)+((1-$A28)*MW_hexoh))/E28-(($A28*MW_beta/E$33)+((1-$A28)*MW_hexoh/E$23)),"")</f>
        <v/>
      </c>
      <c r="K28" s="78" t="str">
        <f aca="false">IFERROR((($A28*MW_beta)+((1-$A28)*MW_hexoh))/F28-(($A28*MW_beta/F$33)+((1-$A28)*MW_hexoh/F$23)),"")</f>
        <v/>
      </c>
    </row>
    <row r="29" customFormat="false" ht="14.25" hidden="false" customHeight="true" outlineLevel="0" collapsed="false">
      <c r="A29" s="78" t="str">
        <f aca="false">G14</f>
        <v/>
      </c>
      <c r="B29" s="78"/>
      <c r="C29" s="78"/>
      <c r="D29" s="78"/>
      <c r="E29" s="78"/>
      <c r="F29" s="78"/>
      <c r="G29" s="78" t="str">
        <f aca="false">IFERROR((($A29*MW_beta)+((1-$A29)*MW_hexoh))/B29-(($A29*MW_beta/B$33)+((1-$A29)*MW_hexoh/B$23)),"")</f>
        <v/>
      </c>
      <c r="H29" s="78" t="str">
        <f aca="false">IFERROR((($A29*MW_beta)+((1-$A29)*MW_hexoh))/C29-(($A29*MW_beta/C$33)+((1-$A29)*MW_hexoh/C$23)),"")</f>
        <v/>
      </c>
      <c r="I29" s="78" t="str">
        <f aca="false">IFERROR((($A29*MW_beta)+((1-$A29)*MW_hexoh))/D29-(($A29*MW_beta/D$33)+((1-$A29)*MW_hexoh/D$23)),"")</f>
        <v/>
      </c>
      <c r="J29" s="78" t="str">
        <f aca="false">IFERROR((($A29*MW_beta)+((1-$A29)*MW_hexoh))/E29-(($A29*MW_beta/E$33)+((1-$A29)*MW_hexoh/E$23)),"")</f>
        <v/>
      </c>
      <c r="K29" s="78" t="str">
        <f aca="false">IFERROR((($A29*MW_beta)+((1-$A29)*MW_hexoh))/F29-(($A29*MW_beta/F$33)+((1-$A29)*MW_hexoh/F$23)),"")</f>
        <v/>
      </c>
    </row>
    <row r="30" customFormat="false" ht="14.25" hidden="false" customHeight="true" outlineLevel="0" collapsed="false">
      <c r="A30" s="78" t="str">
        <f aca="false">G15</f>
        <v/>
      </c>
      <c r="B30" s="78"/>
      <c r="C30" s="78"/>
      <c r="D30" s="78"/>
      <c r="E30" s="78"/>
      <c r="F30" s="78"/>
      <c r="G30" s="78" t="str">
        <f aca="false">IFERROR((($A30*MW_beta)+((1-$A30)*MW_hexoh))/B30-(($A30*MW_beta/B$33)+((1-$A30)*MW_hexoh/B$23)),"")</f>
        <v/>
      </c>
      <c r="H30" s="78" t="str">
        <f aca="false">IFERROR((($A30*MW_beta)+((1-$A30)*MW_hexoh))/C30-(($A30*MW_beta/C$33)+((1-$A30)*MW_hexoh/C$23)),"")</f>
        <v/>
      </c>
      <c r="I30" s="78" t="str">
        <f aca="false">IFERROR((($A30*MW_beta)+((1-$A30)*MW_hexoh))/D30-(($A30*MW_beta/D$33)+((1-$A30)*MW_hexoh/D$23)),"")</f>
        <v/>
      </c>
      <c r="J30" s="78" t="str">
        <f aca="false">IFERROR((($A30*MW_beta)+((1-$A30)*MW_hexoh))/E30-(($A30*MW_beta/E$33)+((1-$A30)*MW_hexoh/E$23)),"")</f>
        <v/>
      </c>
      <c r="K30" s="78" t="str">
        <f aca="false">IFERROR((($A30*MW_beta)+((1-$A30)*MW_hexoh))/F30-(($A30*MW_beta/F$33)+((1-$A30)*MW_hexoh/F$23)),"")</f>
        <v/>
      </c>
    </row>
    <row r="31" customFormat="false" ht="14.25" hidden="false" customHeight="true" outlineLevel="0" collapsed="false">
      <c r="A31" s="78" t="str">
        <f aca="false">G16</f>
        <v/>
      </c>
      <c r="B31" s="78"/>
      <c r="C31" s="78"/>
      <c r="D31" s="78"/>
      <c r="E31" s="78"/>
      <c r="F31" s="92"/>
      <c r="G31" s="78" t="str">
        <f aca="false">IFERROR((($A31*MW_beta)+((1-$A31)*MW_hexoh))/B31-(($A31*MW_beta/B$33)+((1-$A31)*MW_hexoh/B$23)),"")</f>
        <v/>
      </c>
      <c r="H31" s="78" t="str">
        <f aca="false">IFERROR((($A31*MW_beta)+((1-$A31)*MW_hexoh))/C31-(($A31*MW_beta/C$33)+((1-$A31)*MW_hexoh/C$23)),"")</f>
        <v/>
      </c>
      <c r="I31" s="78" t="str">
        <f aca="false">IFERROR((($A31*MW_beta)+((1-$A31)*MW_hexoh))/D31-(($A31*MW_beta/D$33)+((1-$A31)*MW_hexoh/D$23)),"")</f>
        <v/>
      </c>
      <c r="J31" s="78" t="str">
        <f aca="false">IFERROR((($A31*MW_beta)+((1-$A31)*MW_hexoh))/E31-(($A31*MW_beta/E$33)+((1-$A31)*MW_hexoh/E$23)),"")</f>
        <v/>
      </c>
      <c r="K31" s="78" t="str">
        <f aca="false">IFERROR((($A31*MW_beta)+((1-$A31)*MW_hexoh))/F31-(($A31*MW_beta/F$33)+((1-$A31)*MW_hexoh/F$23)),"")</f>
        <v/>
      </c>
    </row>
    <row r="32" customFormat="false" ht="14.25" hidden="false" customHeight="true" outlineLevel="0" collapsed="false">
      <c r="A32" s="78" t="str">
        <f aca="false">G17</f>
        <v/>
      </c>
      <c r="B32" s="78"/>
      <c r="C32" s="78"/>
      <c r="D32" s="78"/>
      <c r="E32" s="78"/>
      <c r="F32" s="78"/>
      <c r="G32" s="78" t="str">
        <f aca="false">IFERROR((($A32*MW_beta)+((1-$A32)*MW_hexoh))/B32-(($A32*MW_beta/B$33)+((1-$A32)*MW_hexoh/B$23)),"")</f>
        <v/>
      </c>
      <c r="H32" s="78" t="str">
        <f aca="false">IFERROR((($A32*MW_beta)+((1-$A32)*MW_hexoh))/C32-(($A32*MW_beta/C$33)+((1-$A32)*MW_hexoh/C$23)),"")</f>
        <v/>
      </c>
      <c r="I32" s="78" t="str">
        <f aca="false">IFERROR((($A32*MW_beta)+((1-$A32)*MW_hexoh))/D32-(($A32*MW_beta/D$33)+((1-$A32)*MW_hexoh/D$23)),"")</f>
        <v/>
      </c>
      <c r="J32" s="78" t="str">
        <f aca="false">IFERROR((($A32*MW_beta)+((1-$A32)*MW_hexoh))/E32-(($A32*MW_beta/E$33)+((1-$A32)*MW_hexoh/E$23)),"")</f>
        <v/>
      </c>
      <c r="K32" s="78" t="str">
        <f aca="false">IFERROR((($A32*MW_beta)+((1-$A32)*MW_hexoh))/F32-(($A32*MW_beta/F$33)+((1-$A32)*MW_hexoh/F$23)),"")</f>
        <v/>
      </c>
    </row>
    <row r="33" customFormat="false" ht="14.25" hidden="false" customHeight="true" outlineLevel="0" collapsed="false">
      <c r="A33" s="78" t="str">
        <f aca="false">G18</f>
        <v/>
      </c>
      <c r="B33" s="78" t="n">
        <f aca="false">densidad_viscosidad_puros!G65</f>
        <v>0.94498</v>
      </c>
      <c r="C33" s="78" t="n">
        <f aca="false">densidad_viscosidad_puros!G66</f>
        <v>0.93726</v>
      </c>
      <c r="D33" s="78" t="n">
        <f aca="false">densidad_viscosidad_puros!G67</f>
        <v>0.9295</v>
      </c>
      <c r="E33" s="78" t="n">
        <f aca="false">densidad_viscosidad_puros!G68</f>
        <v>0.92172</v>
      </c>
      <c r="F33" s="78" t="n">
        <f aca="false">densidad_viscosidad_puros!G69</f>
        <v>0.91396</v>
      </c>
      <c r="G33" s="78" t="str">
        <f aca="false">IFERROR((($A33*MW_beta)+((1-$A33)*MW_hexoh))/B33-(($A33*MW_beta/B$33)+((1-$A33)*MW_hexoh/B$23)),"")</f>
        <v/>
      </c>
      <c r="H33" s="78" t="str">
        <f aca="false">IFERROR((($A33*MW_beta)+((1-$A33)*MW_hexoh))/C33-(($A33*MW_beta/C$33)+((1-$A33)*MW_hexoh/C$23)),"")</f>
        <v/>
      </c>
      <c r="I33" s="78" t="str">
        <f aca="false">IFERROR((($A33*MW_beta)+((1-$A33)*MW_hexoh))/D33-(($A33*MW_beta/D$33)+((1-$A33)*MW_hexoh/D$23)),"")</f>
        <v/>
      </c>
      <c r="J33" s="78" t="str">
        <f aca="false">IFERROR((($A33*MW_beta)+((1-$A33)*MW_hexoh))/E33-(($A33*MW_beta/E$33)+((1-$A33)*MW_hexoh/E$23)),"")</f>
        <v/>
      </c>
      <c r="K33" s="78" t="str">
        <f aca="false">IFERROR((($A33*MW_beta)+((1-$A33)*MW_hexoh))/F33-(($A33*MW_beta/F$33)+((1-$A33)*MW_hexoh/F$23)),"")</f>
        <v/>
      </c>
    </row>
    <row r="34" customFormat="false" ht="14.25" hidden="false" customHeight="true" outlineLevel="0" collapsed="false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78"/>
      <c r="H36" s="78"/>
      <c r="I36" s="78"/>
      <c r="J36" s="78"/>
      <c r="K36" s="78"/>
    </row>
    <row r="37" customFormat="false" ht="14.25" hidden="false" customHeight="true" outlineLevel="0" collapsed="false">
      <c r="A37" s="78" t="str">
        <f aca="false">G8</f>
        <v/>
      </c>
      <c r="B37" s="78" t="n">
        <f aca="false">densidad_viscosidad_puros!I25</f>
        <v>5.278</v>
      </c>
      <c r="C37" s="78" t="n">
        <f aca="false">densidad_viscosidad_puros!I26</f>
        <v>3.881</v>
      </c>
      <c r="D37" s="78" t="n">
        <f aca="false">densidad_viscosidad_puros!I27</f>
        <v>2.919</v>
      </c>
      <c r="E37" s="78" t="n">
        <f aca="false">densidad_viscosidad_puros!I28</f>
        <v>2.24</v>
      </c>
      <c r="F37" s="78" t="n">
        <f aca="false">densidad_viscosidad_puros!I29</f>
        <v>1.75</v>
      </c>
      <c r="G37" s="78"/>
      <c r="H37" s="78"/>
      <c r="I37" s="78"/>
      <c r="J37" s="78"/>
      <c r="K37" s="78"/>
    </row>
    <row r="38" customFormat="false" ht="14.25" hidden="false" customHeight="true" outlineLevel="0" collapsed="false">
      <c r="A38" s="78" t="str">
        <f aca="false">G9</f>
        <v/>
      </c>
      <c r="B38" s="78"/>
      <c r="C38" s="92"/>
      <c r="D38" s="78"/>
      <c r="E38" s="78"/>
      <c r="F38" s="78"/>
      <c r="G38" s="78"/>
      <c r="H38" s="78"/>
      <c r="I38" s="78"/>
      <c r="J38" s="78"/>
      <c r="K38" s="78"/>
    </row>
    <row r="39" customFormat="false" ht="14.25" hidden="false" customHeight="true" outlineLevel="0" collapsed="false">
      <c r="A39" s="78" t="str">
        <f aca="false">G10</f>
        <v/>
      </c>
      <c r="B39" s="78"/>
      <c r="C39" s="92"/>
      <c r="D39" s="78"/>
      <c r="E39" s="78"/>
      <c r="F39" s="78"/>
      <c r="G39" s="78"/>
      <c r="H39" s="78"/>
      <c r="I39" s="78"/>
      <c r="J39" s="78"/>
      <c r="K39" s="78"/>
    </row>
    <row r="40" customFormat="false" ht="14.25" hidden="false" customHeight="true" outlineLevel="0" collapsed="false">
      <c r="A40" s="78" t="str">
        <f aca="false">G11</f>
        <v/>
      </c>
      <c r="B40" s="78"/>
      <c r="C40" s="92"/>
      <c r="D40" s="78"/>
      <c r="E40" s="78"/>
      <c r="F40" s="78"/>
      <c r="G40" s="78"/>
      <c r="H40" s="78"/>
      <c r="I40" s="78"/>
      <c r="J40" s="78"/>
      <c r="K40" s="78"/>
    </row>
    <row r="41" customFormat="false" ht="14.25" hidden="false" customHeight="true" outlineLevel="0" collapsed="false">
      <c r="A41" s="78" t="str">
        <f aca="false">G12</f>
        <v/>
      </c>
      <c r="B41" s="78"/>
      <c r="C41" s="78"/>
      <c r="D41" s="78"/>
      <c r="E41" s="78"/>
      <c r="F41" s="78"/>
      <c r="G41" s="78"/>
      <c r="H41" s="78"/>
      <c r="I41" s="78"/>
      <c r="J41" s="78"/>
      <c r="K41" s="78"/>
    </row>
    <row r="42" customFormat="false" ht="14.25" hidden="false" customHeight="true" outlineLevel="0" collapsed="false">
      <c r="A42" s="78" t="str">
        <f aca="false">G13</f>
        <v/>
      </c>
      <c r="B42" s="78"/>
      <c r="C42" s="92"/>
      <c r="D42" s="78"/>
      <c r="E42" s="78"/>
      <c r="F42" s="78"/>
      <c r="G42" s="78"/>
      <c r="H42" s="78"/>
      <c r="I42" s="78"/>
      <c r="J42" s="78"/>
      <c r="K42" s="78"/>
    </row>
    <row r="43" customFormat="false" ht="14.25" hidden="false" customHeight="true" outlineLevel="0" collapsed="false">
      <c r="A43" s="78" t="str">
        <f aca="false">G14</f>
        <v/>
      </c>
      <c r="B43" s="78"/>
      <c r="C43" s="78"/>
      <c r="D43" s="78"/>
      <c r="E43" s="78"/>
      <c r="F43" s="78"/>
      <c r="G43" s="78"/>
      <c r="H43" s="78"/>
      <c r="I43" s="78"/>
      <c r="J43" s="78"/>
      <c r="K43" s="78"/>
    </row>
    <row r="44" customFormat="false" ht="14.25" hidden="false" customHeight="true" outlineLevel="0" collapsed="false">
      <c r="A44" s="78" t="str">
        <f aca="false">G15</f>
        <v/>
      </c>
      <c r="B44" s="78"/>
      <c r="C44" s="78"/>
      <c r="D44" s="78"/>
      <c r="E44" s="78"/>
      <c r="F44" s="78"/>
      <c r="G44" s="78"/>
      <c r="H44" s="78"/>
      <c r="I44" s="78"/>
      <c r="J44" s="78"/>
      <c r="K44" s="78"/>
    </row>
    <row r="45" customFormat="false" ht="14.25" hidden="false" customHeight="true" outlineLevel="0" collapsed="false">
      <c r="A45" s="78" t="str">
        <f aca="false">G16</f>
        <v/>
      </c>
      <c r="B45" s="78"/>
      <c r="C45" s="78"/>
      <c r="D45" s="78"/>
      <c r="E45" s="78"/>
      <c r="F45" s="92"/>
      <c r="G45" s="78"/>
      <c r="H45" s="78"/>
      <c r="I45" s="78"/>
      <c r="J45" s="78"/>
      <c r="K45" s="78"/>
    </row>
    <row r="46" customFormat="false" ht="14.25" hidden="false" customHeight="true" outlineLevel="0" collapsed="false">
      <c r="A46" s="78" t="str">
        <f aca="false">G17</f>
        <v/>
      </c>
      <c r="B46" s="78"/>
      <c r="C46" s="78"/>
      <c r="D46" s="78"/>
      <c r="E46" s="78"/>
      <c r="F46" s="78"/>
      <c r="G46" s="78"/>
      <c r="H46" s="78"/>
      <c r="I46" s="78"/>
      <c r="J46" s="78"/>
      <c r="K46" s="78"/>
    </row>
    <row r="47" customFormat="false" ht="14.25" hidden="false" customHeight="true" outlineLevel="0" collapsed="false">
      <c r="A47" s="78" t="str">
        <f aca="false">G18</f>
        <v/>
      </c>
      <c r="B47" s="78" t="n">
        <f aca="false">densidad_viscosidad_puros!I65</f>
        <v>11.31</v>
      </c>
      <c r="C47" s="78" t="n">
        <f aca="false">densidad_viscosidad_puros!I66</f>
        <v>7.323</v>
      </c>
      <c r="D47" s="78" t="n">
        <f aca="false">densidad_viscosidad_puros!I67</f>
        <v>5.121</v>
      </c>
      <c r="E47" s="78" t="n">
        <f aca="false">densidad_viscosidad_puros!I68</f>
        <v>3.792</v>
      </c>
      <c r="F47" s="78" t="n">
        <f aca="false">densidad_viscosidad_puros!I69</f>
        <v>2.938</v>
      </c>
      <c r="G47" s="78"/>
      <c r="H47" s="78"/>
      <c r="I47" s="78"/>
      <c r="J47" s="78"/>
      <c r="K47" s="78"/>
    </row>
    <row r="48" customFormat="false" ht="13.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>
      <c r="B50" s="1" t="s">
        <v>316</v>
      </c>
      <c r="E50" s="1" t="s">
        <v>317</v>
      </c>
    </row>
    <row r="51" customFormat="false" ht="14.25" hidden="false" customHeight="true" outlineLevel="0" collapsed="false"/>
    <row r="52" customFormat="false" ht="14.25" hidden="false" customHeight="true" outlineLevel="0" collapsed="false">
      <c r="B52" s="1" t="s">
        <v>306</v>
      </c>
      <c r="D52" s="1" t="s">
        <v>307</v>
      </c>
    </row>
    <row r="53" customFormat="false" ht="14.25" hidden="false" customHeight="true" outlineLevel="0" collapsed="false">
      <c r="A53" s="1" t="s">
        <v>308</v>
      </c>
      <c r="B53" s="1" t="s">
        <v>309</v>
      </c>
      <c r="C53" s="1" t="s">
        <v>318</v>
      </c>
      <c r="D53" s="1" t="s">
        <v>311</v>
      </c>
      <c r="E53" s="1" t="s">
        <v>312</v>
      </c>
      <c r="F53" s="1" t="s">
        <v>319</v>
      </c>
    </row>
    <row r="54" customFormat="false" ht="14.25" hidden="false" customHeight="true" outlineLevel="0" collapsed="false">
      <c r="A54" s="1" t="n">
        <v>1</v>
      </c>
    </row>
    <row r="55" customFormat="false" ht="14.25" hidden="false" customHeight="true" outlineLevel="0" collapsed="false">
      <c r="A55" s="1" t="n">
        <v>2</v>
      </c>
    </row>
    <row r="56" customFormat="false" ht="14.25" hidden="false" customHeight="true" outlineLevel="0" collapsed="false">
      <c r="A56" s="1" t="n">
        <v>3</v>
      </c>
    </row>
    <row r="57" customFormat="false" ht="14.25" hidden="false" customHeight="true" outlineLevel="0" collapsed="false">
      <c r="A57" s="1" t="n">
        <v>4</v>
      </c>
    </row>
    <row r="58" customFormat="false" ht="14.25" hidden="false" customHeight="true" outlineLevel="0" collapsed="false">
      <c r="A58" s="1" t="n">
        <v>5</v>
      </c>
    </row>
    <row r="59" customFormat="false" ht="14.25" hidden="false" customHeight="true" outlineLevel="0" collapsed="false">
      <c r="A59" s="1" t="n">
        <v>6</v>
      </c>
    </row>
    <row r="60" customFormat="false" ht="14.25" hidden="false" customHeight="true" outlineLevel="0" collapsed="false">
      <c r="A60" s="1" t="n">
        <v>7</v>
      </c>
    </row>
    <row r="61" customFormat="false" ht="14.25" hidden="false" customHeight="true" outlineLevel="0" collapsed="false">
      <c r="A61" s="1" t="n">
        <v>8</v>
      </c>
    </row>
    <row r="62" customFormat="false" ht="14.25" hidden="false" customHeight="true" outlineLevel="0" collapsed="false">
      <c r="A62" s="1" t="n">
        <v>9</v>
      </c>
    </row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B17" colorId="64" zoomScale="100" zoomScaleNormal="100" zoomScalePageLayoutView="100" workbookViewId="0">
      <selection pane="topLeft" activeCell="C17" activeCellId="1" sqref="B39:F39 C17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12</v>
      </c>
      <c r="B2" s="1" t="n">
        <v>1</v>
      </c>
      <c r="C2" s="1" t="n">
        <v>192.3</v>
      </c>
    </row>
    <row r="3" customFormat="false" ht="14.25" hidden="false" customHeight="true" outlineLevel="0" collapsed="false">
      <c r="A3" s="1" t="s">
        <v>23</v>
      </c>
      <c r="B3" s="1" t="n">
        <v>2</v>
      </c>
      <c r="C3" s="1" t="n">
        <v>130.23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278</v>
      </c>
      <c r="C7" s="1" t="s">
        <v>320</v>
      </c>
      <c r="D7" s="1" t="s">
        <v>280</v>
      </c>
      <c r="E7" s="1" t="s">
        <v>281</v>
      </c>
      <c r="F7" s="1" t="s">
        <v>321</v>
      </c>
      <c r="G7" s="1" t="s">
        <v>283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G8" s="1" t="str">
        <f aca="false">IF(AND(E8=0,F8&gt;0),0,"")</f>
        <v/>
      </c>
    </row>
    <row r="9" customFormat="false" ht="14.25" hidden="false" customHeight="true" outlineLevel="0" collapsed="false">
      <c r="A9" s="1" t="n">
        <v>5</v>
      </c>
      <c r="B9" s="1" t="n">
        <f aca="false">IF(D9=0, 0, IF(D9=1, A9, (D9*A9*$C$2)/($C$3*(1-D9)+$C$2*D9)))</f>
        <v>0.704720860177225</v>
      </c>
      <c r="C9" s="1" t="n">
        <f aca="false">A9-B9</f>
        <v>4.29527913982278</v>
      </c>
      <c r="D9" s="1" t="n">
        <v>0.1</v>
      </c>
      <c r="G9" s="1" t="str">
        <f aca="false">IFERROR((E9*purity_beta/MW_beta)/((E9*purity_beta/MW_beta)+(F9*purity_octoh/MW_octoh)),"")</f>
        <v/>
      </c>
    </row>
    <row r="10" customFormat="false" ht="14.25" hidden="false" customHeight="true" outlineLevel="0" collapsed="false">
      <c r="A10" s="1" t="n">
        <v>5</v>
      </c>
      <c r="B10" s="1" t="n">
        <f aca="false">IF(D10=0, 0, IF(D10=1, A10, (D10*A10*$C$2)/($C$3*(1-D10)+$C$2*D10)))</f>
        <v>1.34811138218222</v>
      </c>
      <c r="C10" s="1" t="n">
        <f aca="false">A10-B10</f>
        <v>3.65188861781778</v>
      </c>
      <c r="D10" s="1" t="n">
        <v>0.2</v>
      </c>
      <c r="G10" s="1" t="str">
        <f aca="false">IFERROR((E10*purity_beta/MW_beta)/((E10*purity_beta/MW_beta)+(F10*purity_octoh/MW_octoh)),"")</f>
        <v/>
      </c>
    </row>
    <row r="11" customFormat="false" ht="14.25" hidden="false" customHeight="true" outlineLevel="0" collapsed="false">
      <c r="A11" s="1" t="n">
        <v>5</v>
      </c>
      <c r="B11" s="1" t="n">
        <f aca="false">IF(D11=0, 0, IF(D11=1, A11, (D11*A11*$C$2)/($C$3*(1-D11)+$C$2*D11)))</f>
        <v>1.93784388415261</v>
      </c>
      <c r="C11" s="1" t="n">
        <f aca="false">A11-B11</f>
        <v>3.06215611584739</v>
      </c>
      <c r="D11" s="1" t="n">
        <v>0.3</v>
      </c>
      <c r="E11" s="93"/>
      <c r="F11" s="93"/>
      <c r="G11" s="93" t="str">
        <f aca="false">IFERROR((E11*purity_beta/MW_beta)/((E11*purity_beta/MW_beta)+(F11*purity_octoh/MW_octoh)),"")</f>
        <v/>
      </c>
    </row>
    <row r="12" customFormat="false" ht="14.25" hidden="false" customHeight="true" outlineLevel="0" collapsed="false">
      <c r="A12" s="1" t="n">
        <v>5</v>
      </c>
      <c r="B12" s="1" t="n">
        <f aca="false">IF(D12=0, 0, IF(D12=1, A12, (D12*A12*$C$2)/($C$3*(1-D12)+$C$2*D12)))</f>
        <v>2.48036218705259</v>
      </c>
      <c r="C12" s="1" t="n">
        <f aca="false">A12-B12</f>
        <v>2.51963781294741</v>
      </c>
      <c r="D12" s="1" t="n">
        <v>0.4</v>
      </c>
      <c r="G12" s="1" t="str">
        <f aca="false">IFERROR((E12*purity_beta/MW_beta)/((E12*purity_beta/MW_beta)+(F12*purity_octoh/MW_octoh)),"")</f>
        <v/>
      </c>
    </row>
    <row r="13" customFormat="false" ht="14.25" hidden="false" customHeight="true" outlineLevel="0" collapsed="false">
      <c r="A13" s="1" t="n">
        <v>5</v>
      </c>
      <c r="B13" s="1" t="n">
        <f aca="false">IF(D13=0, 0, IF(D13=1, A13, (D13*A13*$C$2)/($C$3*(1-D13)+$C$2*D13)))</f>
        <v>2.98111803553158</v>
      </c>
      <c r="C13" s="1" t="n">
        <f aca="false">A13-B13</f>
        <v>2.01888196446842</v>
      </c>
      <c r="D13" s="1" t="n">
        <v>0.5</v>
      </c>
      <c r="G13" s="1" t="str">
        <f aca="false">IFERROR((E13*purity_beta/MW_beta)/((E13*purity_beta/MW_beta)+(F13*purity_octoh/MW_octoh)),"")</f>
        <v/>
      </c>
    </row>
    <row r="14" customFormat="false" ht="14.25" hidden="false" customHeight="true" outlineLevel="0" collapsed="false">
      <c r="A14" s="1" t="n">
        <v>5</v>
      </c>
      <c r="B14" s="1" t="n">
        <f aca="false">IF(D14=0, 0, IF(D14=1, A14, (D14*A14*$C$2)/($C$3*(1-D14)+$C$2*D14)))</f>
        <v>3.44475494411006</v>
      </c>
      <c r="C14" s="1" t="n">
        <f aca="false">A14-B14</f>
        <v>1.55524505588994</v>
      </c>
      <c r="D14" s="1" t="n">
        <v>0.6</v>
      </c>
      <c r="E14" s="93"/>
      <c r="F14" s="93"/>
      <c r="G14" s="93" t="str">
        <f aca="false">IFERROR((E14*purity_beta/MW_beta)/((E14*purity_beta/MW_beta)+(F14*purity_octoh/MW_octoh)),"")</f>
        <v/>
      </c>
    </row>
    <row r="15" customFormat="false" ht="14.25" hidden="false" customHeight="true" outlineLevel="0" collapsed="false">
      <c r="A15" s="1" t="n">
        <v>5</v>
      </c>
      <c r="B15" s="1" t="n">
        <f aca="false">IF(D15=0, 0, IF(D15=1, A15, (D15*A15*$C$2)/($C$3*(1-D15)+$C$2*D15)))</f>
        <v>3.875252621215</v>
      </c>
      <c r="C15" s="1" t="n">
        <f aca="false">A15-B15</f>
        <v>1.124747378785</v>
      </c>
      <c r="D15" s="1" t="n">
        <v>0.7</v>
      </c>
      <c r="G15" s="1" t="str">
        <f aca="false">IFERROR((E15*purity_beta/MW_beta)/((E15*purity_beta/MW_beta)+(F15*purity_octoh/MW_octoh)),"")</f>
        <v/>
      </c>
    </row>
    <row r="16" customFormat="false" ht="14.25" hidden="false" customHeight="true" outlineLevel="0" collapsed="false">
      <c r="A16" s="1" t="n">
        <v>5</v>
      </c>
      <c r="B16" s="1" t="n">
        <f aca="false">IF(D16=0, 0, IF(D16=1, A16, (D16*A16*$C$2)/($C$3*(1-D16)+$C$2*D16)))</f>
        <v>4.27604149294553</v>
      </c>
      <c r="C16" s="1" t="n">
        <f aca="false">A16-B16</f>
        <v>0.723958507054468</v>
      </c>
      <c r="D16" s="1" t="n">
        <v>0.8</v>
      </c>
      <c r="G16" s="1" t="str">
        <f aca="false">IFERROR((E16*purity_beta/MW_beta)/((E16*purity_beta/MW_beta)+(F16*purity_octoh/MW_octoh)),"")</f>
        <v/>
      </c>
    </row>
    <row r="17" customFormat="false" ht="14.25" hidden="false" customHeight="true" outlineLevel="0" collapsed="false">
      <c r="A17" s="1" t="n">
        <v>5</v>
      </c>
      <c r="B17" s="1" t="n">
        <f aca="false">IF(D17=0, 0, IF(D17=1, A17, (D17*A17*$C$2)/($C$3*(1-D17)+$C$2*D17)))</f>
        <v>4.65009430768487</v>
      </c>
      <c r="C17" s="1" t="n">
        <f aca="false">A17-B17</f>
        <v>0.349905692315133</v>
      </c>
      <c r="D17" s="1" t="n">
        <v>0.9</v>
      </c>
      <c r="G17" s="1" t="str">
        <f aca="false">IFERROR((E17*purity_beta/MW_beta)/((E17*purity_beta/MW_beta)+(F17*purity_octoh/MW_octoh)),"")</f>
        <v/>
      </c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G18" s="1" t="str">
        <f aca="false">IF(AND(E18&gt;0,F18=0),1,IFERROR((E18/MW_beta)/((E18/MW_beta)+(F18/MW_octoh)),""))</f>
        <v/>
      </c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>
      <c r="B21" s="1" t="s">
        <v>212</v>
      </c>
      <c r="G21" s="1" t="s">
        <v>284</v>
      </c>
    </row>
    <row r="22" customFormat="false" ht="13.5" hidden="false" customHeight="true" outlineLevel="0" collapsed="false">
      <c r="A22" s="1" t="s">
        <v>285</v>
      </c>
      <c r="B22" s="1" t="n">
        <v>20</v>
      </c>
      <c r="C22" s="1" t="n">
        <v>30</v>
      </c>
      <c r="D22" s="1" t="n">
        <v>40</v>
      </c>
      <c r="E22" s="1" t="n">
        <v>50</v>
      </c>
      <c r="F22" s="1" t="n">
        <v>60</v>
      </c>
      <c r="G22" s="1" t="n">
        <v>20</v>
      </c>
      <c r="H22" s="1" t="n">
        <v>30</v>
      </c>
      <c r="I22" s="1" t="n">
        <v>40</v>
      </c>
      <c r="J22" s="1" t="n">
        <v>50</v>
      </c>
      <c r="K22" s="1" t="n">
        <v>60</v>
      </c>
    </row>
    <row r="23" customFormat="false" ht="13.5" hidden="false" customHeight="true" outlineLevel="0" collapsed="false">
      <c r="A23" s="1" t="str">
        <f aca="false">G8</f>
        <v/>
      </c>
      <c r="B23" s="1" t="n">
        <f aca="false">densidad_viscosidad_puros!G35</f>
        <v>0.82518</v>
      </c>
      <c r="C23" s="1" t="n">
        <f aca="false">densidad_viscosidad_puros!G36</f>
        <v>0.81835</v>
      </c>
      <c r="D23" s="1" t="n">
        <f aca="false">densidad_viscosidad_puros!G37</f>
        <v>0.81141</v>
      </c>
      <c r="E23" s="1" t="n">
        <f aca="false">densidad_viscosidad_puros!G38</f>
        <v>0.80433</v>
      </c>
      <c r="F23" s="1" t="n">
        <f aca="false">densidad_viscosidad_puros!G39</f>
        <v>0.79719</v>
      </c>
      <c r="G23" s="1" t="str">
        <f aca="false">IFERROR((($A23*MW_beta)+((1-$A23)*MW_octoh))/B23-(($A23*MW_beta/B$33)+((1-$A23)*MW_octoh/B$23)),"")</f>
        <v/>
      </c>
      <c r="H23" s="1" t="str">
        <f aca="false">IFERROR((($A23*MW_beta)+((1-$A23)*MW_octoh))/C23-(($A23*MW_beta/C$33)+((1-$A23)*MW_octoh/C$23)),"")</f>
        <v/>
      </c>
      <c r="I23" s="1" t="str">
        <f aca="false">IFERROR((($A23*MW_beta)+((1-$A23)*MW_octoh))/D23-(($A23*MW_beta/D$33)+((1-$A23)*MW_octoh/D$23)),"")</f>
        <v/>
      </c>
      <c r="J23" s="1" t="str">
        <f aca="false">IFERROR((($A23*MW_beta)+((1-$A23)*MW_octoh))/E23-(($A23*MW_beta/E$33)+((1-$A23)*MW_octoh/E$23)),"")</f>
        <v/>
      </c>
      <c r="K23" s="1" t="str">
        <f aca="false">IFERROR((($A23*MW_beta)+((1-$A23)*MW_octoh))/F23-(($A23*MW_beta/F$33)+((1-$A23)*MW_octoh/F$23)),"")</f>
        <v/>
      </c>
    </row>
    <row r="24" customFormat="false" ht="13.5" hidden="false" customHeight="true" outlineLevel="0" collapsed="false">
      <c r="A24" s="1" t="str">
        <f aca="false">G9</f>
        <v/>
      </c>
      <c r="G24" s="1" t="str">
        <f aca="false">IFERROR((($A24*MW_beta)+((1-$A24)*MW_octoh))/B24-(($A24*MW_beta/B$33)+((1-$A24)*MW_octoh/B$23)),"")</f>
        <v/>
      </c>
      <c r="H24" s="1" t="str">
        <f aca="false">IFERROR((($A24*MW_beta)+((1-$A24)*MW_octoh))/C24-(($A24*MW_beta/C$33)+((1-$A24)*MW_octoh/C$23)),"")</f>
        <v/>
      </c>
      <c r="I24" s="1" t="str">
        <f aca="false">IFERROR((($A24*MW_beta)+((1-$A24)*MW_octoh))/D24-(($A24*MW_beta/D$33)+((1-$A24)*MW_octoh/D$23)),"")</f>
        <v/>
      </c>
      <c r="J24" s="1" t="str">
        <f aca="false">IFERROR((($A24*MW_beta)+((1-$A24)*MW_octoh))/E24-(($A24*MW_beta/E$33)+((1-$A24)*MW_octoh/E$23)),"")</f>
        <v/>
      </c>
      <c r="K24" s="1" t="str">
        <f aca="false">IFERROR((($A24*MW_beta)+((1-$A24)*MW_octoh))/F24-(($A24*MW_beta/F$33)+((1-$A24)*MW_octoh/F$23)),"")</f>
        <v/>
      </c>
    </row>
    <row r="25" customFormat="false" ht="13.5" hidden="false" customHeight="true" outlineLevel="0" collapsed="false">
      <c r="A25" s="1" t="str">
        <f aca="false">G10</f>
        <v/>
      </c>
      <c r="G25" s="1" t="str">
        <f aca="false">IFERROR((($A25*MW_beta)+((1-$A25)*MW_octoh))/B25-(($A25*MW_beta/B$33)+((1-$A25)*MW_octoh/B$23)),"")</f>
        <v/>
      </c>
      <c r="H25" s="1" t="str">
        <f aca="false">IFERROR((($A25*MW_beta)+((1-$A25)*MW_octoh))/C25-(($A25*MW_beta/C$33)+((1-$A25)*MW_octoh/C$23)),"")</f>
        <v/>
      </c>
      <c r="I25" s="1" t="str">
        <f aca="false">IFERROR((($A25*MW_beta)+((1-$A25)*MW_octoh))/D25-(($A25*MW_beta/D$33)+((1-$A25)*MW_octoh/D$23)),"")</f>
        <v/>
      </c>
      <c r="J25" s="1" t="str">
        <f aca="false">IFERROR((($A25*MW_beta)+((1-$A25)*MW_octoh))/E25-(($A25*MW_beta/E$33)+((1-$A25)*MW_octoh/E$23)),"")</f>
        <v/>
      </c>
      <c r="K25" s="1" t="str">
        <f aca="false">IFERROR((($A25*MW_beta)+((1-$A25)*MW_octoh))/F25-(($A25*MW_beta/F$33)+((1-$A25)*MW_octoh/F$23)),"")</f>
        <v/>
      </c>
    </row>
    <row r="26" customFormat="false" ht="13.5" hidden="false" customHeight="true" outlineLevel="0" collapsed="false">
      <c r="A26" s="1" t="str">
        <f aca="false">G11</f>
        <v/>
      </c>
      <c r="G26" s="1" t="str">
        <f aca="false">IFERROR((($A26*MW_beta)+((1-$A26)*MW_octoh))/B26-(($A26*MW_beta/B$33)+((1-$A26)*MW_octoh/B$23)),"")</f>
        <v/>
      </c>
      <c r="H26" s="1" t="str">
        <f aca="false">IFERROR((($A26*MW_beta)+((1-$A26)*MW_octoh))/C26-(($A26*MW_beta/C$33)+((1-$A26)*MW_octoh/C$23)),"")</f>
        <v/>
      </c>
      <c r="I26" s="1" t="str">
        <f aca="false">IFERROR((($A26*MW_beta)+((1-$A26)*MW_octoh))/D26-(($A26*MW_beta/D$33)+((1-$A26)*MW_octoh/D$23)),"")</f>
        <v/>
      </c>
      <c r="J26" s="1" t="str">
        <f aca="false">IFERROR((($A26*MW_beta)+((1-$A26)*MW_octoh))/E26-(($A26*MW_beta/E$33)+((1-$A26)*MW_octoh/E$23)),"")</f>
        <v/>
      </c>
      <c r="K26" s="1" t="str">
        <f aca="false">IFERROR((($A26*MW_beta)+((1-$A26)*MW_octoh))/F26-(($A26*MW_beta/F$33)+((1-$A26)*MW_octoh/F$23)),"")</f>
        <v/>
      </c>
    </row>
    <row r="27" customFormat="false" ht="13.5" hidden="false" customHeight="true" outlineLevel="0" collapsed="false">
      <c r="A27" s="1" t="str">
        <f aca="false">G12</f>
        <v/>
      </c>
      <c r="G27" s="1" t="str">
        <f aca="false">IFERROR((($A27*MW_beta)+((1-$A27)*MW_octoh))/B27-(($A27*MW_beta/B$33)+((1-$A27)*MW_octoh/B$23)),"")</f>
        <v/>
      </c>
      <c r="H27" s="1" t="str">
        <f aca="false">IFERROR((($A27*MW_beta)+((1-$A27)*MW_octoh))/C27-(($A27*MW_beta/C$33)+((1-$A27)*MW_octoh/C$23)),"")</f>
        <v/>
      </c>
      <c r="I27" s="1" t="str">
        <f aca="false">IFERROR((($A27*MW_beta)+((1-$A27)*MW_octoh))/D27-(($A27*MW_beta/D$33)+((1-$A27)*MW_octoh/D$23)),"")</f>
        <v/>
      </c>
      <c r="J27" s="1" t="str">
        <f aca="false">IFERROR((($A27*MW_beta)+((1-$A27)*MW_octoh))/E27-(($A27*MW_beta/E$33)+((1-$A27)*MW_octoh/E$23)),"")</f>
        <v/>
      </c>
      <c r="K27" s="1" t="str">
        <f aca="false">IFERROR((($A27*MW_beta)+((1-$A27)*MW_octoh))/F27-(($A27*MW_beta/F$33)+((1-$A27)*MW_octoh/F$23)),"")</f>
        <v/>
      </c>
    </row>
    <row r="28" customFormat="false" ht="13.5" hidden="false" customHeight="true" outlineLevel="0" collapsed="false">
      <c r="A28" s="1" t="str">
        <f aca="false">G13</f>
        <v/>
      </c>
      <c r="G28" s="1" t="str">
        <f aca="false">IFERROR((($A28*MW_beta)+((1-$A28)*MW_octoh))/B28-(($A28*MW_beta/B$33)+((1-$A28)*MW_octoh/B$23)),"")</f>
        <v/>
      </c>
      <c r="H28" s="1" t="str">
        <f aca="false">IFERROR((($A28*MW_beta)+((1-$A28)*MW_octoh))/C28-(($A28*MW_beta/C$33)+((1-$A28)*MW_octoh/C$23)),"")</f>
        <v/>
      </c>
      <c r="I28" s="1" t="str">
        <f aca="false">IFERROR((($A28*MW_beta)+((1-$A28)*MW_octoh))/D28-(($A28*MW_beta/D$33)+((1-$A28)*MW_octoh/D$23)),"")</f>
        <v/>
      </c>
      <c r="J28" s="1" t="str">
        <f aca="false">IFERROR((($A28*MW_beta)+((1-$A28)*MW_octoh))/E28-(($A28*MW_beta/E$33)+((1-$A28)*MW_octoh/E$23)),"")</f>
        <v/>
      </c>
      <c r="K28" s="1" t="str">
        <f aca="false">IFERROR((($A28*MW_beta)+((1-$A28)*MW_octoh))/F28-(($A28*MW_beta/F$33)+((1-$A28)*MW_octoh/F$23)),"")</f>
        <v/>
      </c>
    </row>
    <row r="29" customFormat="false" ht="13.5" hidden="false" customHeight="true" outlineLevel="0" collapsed="false">
      <c r="A29" s="1" t="str">
        <f aca="false">G14</f>
        <v/>
      </c>
      <c r="G29" s="1" t="str">
        <f aca="false">IFERROR((($A29*MW_beta)+((1-$A29)*MW_octoh))/B29-(($A29*MW_beta/B$33)+((1-$A29)*MW_octoh/B$23)),"")</f>
        <v/>
      </c>
      <c r="H29" s="1" t="str">
        <f aca="false">IFERROR((($A29*MW_beta)+((1-$A29)*MW_octoh))/C29-(($A29*MW_beta/C$33)+((1-$A29)*MW_octoh/C$23)),"")</f>
        <v/>
      </c>
      <c r="I29" s="1" t="str">
        <f aca="false">IFERROR((($A29*MW_beta)+((1-$A29)*MW_octoh))/D29-(($A29*MW_beta/D$33)+((1-$A29)*MW_octoh/D$23)),"")</f>
        <v/>
      </c>
      <c r="J29" s="1" t="str">
        <f aca="false">IFERROR((($A29*MW_beta)+((1-$A29)*MW_octoh))/E29-(($A29*MW_beta/E$33)+((1-$A29)*MW_octoh/E$23)),"")</f>
        <v/>
      </c>
      <c r="K29" s="1" t="str">
        <f aca="false">IFERROR((($A29*MW_beta)+((1-$A29)*MW_octoh))/F29-(($A29*MW_beta/F$33)+((1-$A29)*MW_octoh/F$23)),"")</f>
        <v/>
      </c>
    </row>
    <row r="30" customFormat="false" ht="13.5" hidden="false" customHeight="true" outlineLevel="0" collapsed="false">
      <c r="A30" s="1" t="str">
        <f aca="false">G15</f>
        <v/>
      </c>
      <c r="G30" s="1" t="str">
        <f aca="false">IFERROR((($A30*MW_beta)+((1-$A30)*MW_octoh))/B30-(($A30*MW_beta/B$33)+((1-$A30)*MW_octoh/B$23)),"")</f>
        <v/>
      </c>
      <c r="H30" s="1" t="str">
        <f aca="false">IFERROR((($A30*MW_beta)+((1-$A30)*MW_octoh))/C30-(($A30*MW_beta/C$33)+((1-$A30)*MW_octoh/C$23)),"")</f>
        <v/>
      </c>
      <c r="I30" s="1" t="str">
        <f aca="false">IFERROR((($A30*MW_beta)+((1-$A30)*MW_octoh))/D30-(($A30*MW_beta/D$33)+((1-$A30)*MW_octoh/D$23)),"")</f>
        <v/>
      </c>
      <c r="J30" s="1" t="str">
        <f aca="false">IFERROR((($A30*MW_beta)+((1-$A30)*MW_octoh))/E30-(($A30*MW_beta/E$33)+((1-$A30)*MW_octoh/E$23)),"")</f>
        <v/>
      </c>
      <c r="K30" s="1" t="str">
        <f aca="false">IFERROR((($A30*MW_beta)+((1-$A30)*MW_octoh))/F30-(($A30*MW_beta/F$33)+((1-$A30)*MW_octoh/F$23)),"")</f>
        <v/>
      </c>
    </row>
    <row r="31" customFormat="false" ht="13.5" hidden="false" customHeight="true" outlineLevel="0" collapsed="false">
      <c r="A31" s="1" t="str">
        <f aca="false">G16</f>
        <v/>
      </c>
      <c r="G31" s="1" t="str">
        <f aca="false">IFERROR((($A31*MW_beta)+((1-$A31)*MW_octoh))/B31-(($A31*MW_beta/B$33)+((1-$A31)*MW_octoh/B$23)),"")</f>
        <v/>
      </c>
      <c r="H31" s="1" t="str">
        <f aca="false">IFERROR((($A31*MW_beta)+((1-$A31)*MW_octoh))/C31-(($A31*MW_beta/C$33)+((1-$A31)*MW_octoh/C$23)),"")</f>
        <v/>
      </c>
      <c r="I31" s="1" t="str">
        <f aca="false">IFERROR((($A31*MW_beta)+((1-$A31)*MW_octoh))/D31-(($A31*MW_beta/D$33)+((1-$A31)*MW_octoh/D$23)),"")</f>
        <v/>
      </c>
      <c r="J31" s="1" t="str">
        <f aca="false">IFERROR((($A31*MW_beta)+((1-$A31)*MW_octoh))/E31-(($A31*MW_beta/E$33)+((1-$A31)*MW_octoh/E$23)),"")</f>
        <v/>
      </c>
      <c r="K31" s="1" t="str">
        <f aca="false">IFERROR((($A31*MW_beta)+((1-$A31)*MW_octoh))/F31-(($A31*MW_beta/F$33)+((1-$A31)*MW_octoh/F$23)),"")</f>
        <v/>
      </c>
    </row>
    <row r="32" customFormat="false" ht="13.5" hidden="false" customHeight="true" outlineLevel="0" collapsed="false">
      <c r="A32" s="1" t="str">
        <f aca="false">G17</f>
        <v/>
      </c>
      <c r="G32" s="1" t="str">
        <f aca="false">IFERROR((($A32*MW_beta)+((1-$A32)*MW_octoh))/B32-(($A32*MW_beta/B$33)+((1-$A32)*MW_octoh/B$23)),"")</f>
        <v/>
      </c>
      <c r="H32" s="1" t="str">
        <f aca="false">IFERROR((($A32*MW_beta)+((1-$A32)*MW_octoh))/C32-(($A32*MW_beta/C$33)+((1-$A32)*MW_octoh/C$23)),"")</f>
        <v/>
      </c>
      <c r="I32" s="1" t="str">
        <f aca="false">IFERROR((($A32*MW_beta)+((1-$A32)*MW_octoh))/D32-(($A32*MW_beta/D$33)+((1-$A32)*MW_octoh/D$23)),"")</f>
        <v/>
      </c>
      <c r="J32" s="1" t="str">
        <f aca="false">IFERROR((($A32*MW_beta)+((1-$A32)*MW_octoh))/E32-(($A32*MW_beta/E$33)+((1-$A32)*MW_octoh/E$23)),"")</f>
        <v/>
      </c>
      <c r="K32" s="1" t="str">
        <f aca="false">IFERROR((($A32*MW_beta)+((1-$A32)*MW_octoh))/F32-(($A32*MW_beta/F$33)+((1-$A32)*MW_octoh/F$23)),"")</f>
        <v/>
      </c>
    </row>
    <row r="33" customFormat="false" ht="13.5" hidden="false" customHeight="true" outlineLevel="0" collapsed="false">
      <c r="A33" s="1" t="str">
        <f aca="false">G18</f>
        <v/>
      </c>
      <c r="B33" s="1" t="n">
        <f aca="false">densidad_viscosidad_puros!G65</f>
        <v>0.94498</v>
      </c>
      <c r="C33" s="1" t="n">
        <f aca="false">densidad_viscosidad_puros!G66</f>
        <v>0.93726</v>
      </c>
      <c r="D33" s="1" t="n">
        <f aca="false">densidad_viscosidad_puros!G67</f>
        <v>0.9295</v>
      </c>
      <c r="E33" s="1" t="n">
        <f aca="false">densidad_viscosidad_puros!G68</f>
        <v>0.92172</v>
      </c>
      <c r="F33" s="1" t="n">
        <f aca="false">densidad_viscosidad_puros!G69</f>
        <v>0.91396</v>
      </c>
      <c r="G33" s="1" t="str">
        <f aca="false">IFERROR((($A33*MW_beta)+((1-$A33)*MW_octoh))/B33-(($A33*MW_beta/B$33)+((1-$A33)*MW_octoh/B$23)),"")</f>
        <v/>
      </c>
      <c r="H33" s="1" t="str">
        <f aca="false">IFERROR((($A33*MW_beta)+((1-$A33)*MW_octoh))/C33-(($A33*MW_beta/C$33)+((1-$A33)*MW_octoh/C$23)),"")</f>
        <v/>
      </c>
      <c r="I33" s="1" t="str">
        <f aca="false">IFERROR((($A33*MW_beta)+((1-$A33)*MW_octoh))/D33-(($A33*MW_beta/D$33)+((1-$A33)*MW_octoh/D$23)),"")</f>
        <v/>
      </c>
      <c r="J33" s="1" t="str">
        <f aca="false">IFERROR((($A33*MW_beta)+((1-$A33)*MW_octoh))/E33-(($A33*MW_beta/E$33)+((1-$A33)*MW_octoh/E$23)),"")</f>
        <v/>
      </c>
      <c r="K33" s="1" t="str">
        <f aca="false">IFERROR((($A33*MW_beta)+((1-$A33)*MW_octoh))/F33-(($A33*MW_beta/F$33)+((1-$A33)*MW_octoh/F$23)),"")</f>
        <v/>
      </c>
    </row>
    <row r="34" customFormat="false" ht="13.5" hidden="false" customHeight="true" outlineLevel="0" collapsed="false"/>
    <row r="35" customFormat="false" ht="13.5" hidden="false" customHeight="true" outlineLevel="0" collapsed="false">
      <c r="B35" s="1" t="s">
        <v>214</v>
      </c>
    </row>
    <row r="36" customFormat="false" ht="13.5" hidden="false" customHeight="true" outlineLevel="0" collapsed="false">
      <c r="A36" s="1" t="s">
        <v>285</v>
      </c>
      <c r="B36" s="1" t="n">
        <v>20</v>
      </c>
      <c r="C36" s="1" t="n">
        <v>30</v>
      </c>
      <c r="D36" s="1" t="n">
        <v>40</v>
      </c>
      <c r="E36" s="1" t="n">
        <v>50</v>
      </c>
      <c r="F36" s="1" t="n">
        <v>60</v>
      </c>
    </row>
    <row r="37" customFormat="false" ht="13.5" hidden="false" customHeight="true" outlineLevel="0" collapsed="false">
      <c r="A37" s="1" t="str">
        <f aca="false">G8</f>
        <v/>
      </c>
      <c r="B37" s="1" t="n">
        <f aca="false">densidad_viscosidad_puros!I35</f>
        <v>8.801</v>
      </c>
      <c r="C37" s="1" t="n">
        <f aca="false">densidad_viscosidad_puros!I36</f>
        <v>6.146</v>
      </c>
      <c r="D37" s="1" t="n">
        <f aca="false">densidad_viscosidad_puros!I37</f>
        <v>4.454</v>
      </c>
      <c r="E37" s="1" t="n">
        <f aca="false">densidad_viscosidad_puros!I38</f>
        <v>3.292</v>
      </c>
      <c r="F37" s="1" t="n">
        <f aca="false">densidad_viscosidad_puros!I39</f>
        <v>2.511</v>
      </c>
    </row>
    <row r="38" customFormat="false" ht="13.5" hidden="false" customHeight="true" outlineLevel="0" collapsed="false">
      <c r="A38" s="1" t="str">
        <f aca="false">G9</f>
        <v/>
      </c>
    </row>
    <row r="39" customFormat="false" ht="13.5" hidden="false" customHeight="true" outlineLevel="0" collapsed="false">
      <c r="A39" s="1" t="str">
        <f aca="false">G10</f>
        <v/>
      </c>
    </row>
    <row r="40" customFormat="false" ht="13.5" hidden="false" customHeight="true" outlineLevel="0" collapsed="false">
      <c r="A40" s="1" t="str">
        <f aca="false">G11</f>
        <v/>
      </c>
    </row>
    <row r="41" customFormat="false" ht="13.5" hidden="false" customHeight="true" outlineLevel="0" collapsed="false">
      <c r="A41" s="1" t="str">
        <f aca="false">G12</f>
        <v/>
      </c>
    </row>
    <row r="42" customFormat="false" ht="13.5" hidden="false" customHeight="true" outlineLevel="0" collapsed="false">
      <c r="A42" s="1" t="str">
        <f aca="false">G13</f>
        <v/>
      </c>
    </row>
    <row r="43" customFormat="false" ht="13.5" hidden="false" customHeight="true" outlineLevel="0" collapsed="false">
      <c r="A43" s="1" t="str">
        <f aca="false">G14</f>
        <v/>
      </c>
    </row>
    <row r="44" customFormat="false" ht="13.5" hidden="false" customHeight="true" outlineLevel="0" collapsed="false">
      <c r="A44" s="1" t="str">
        <f aca="false">G15</f>
        <v/>
      </c>
    </row>
    <row r="45" customFormat="false" ht="13.5" hidden="false" customHeight="true" outlineLevel="0" collapsed="false">
      <c r="A45" s="1" t="str">
        <f aca="false">G16</f>
        <v/>
      </c>
    </row>
    <row r="46" customFormat="false" ht="13.5" hidden="false" customHeight="true" outlineLevel="0" collapsed="false">
      <c r="A46" s="1" t="str">
        <f aca="false">G17</f>
        <v/>
      </c>
    </row>
    <row r="47" customFormat="false" ht="13.5" hidden="false" customHeight="true" outlineLevel="0" collapsed="false">
      <c r="A47" s="1" t="str">
        <f aca="false">G18</f>
        <v/>
      </c>
      <c r="B47" s="1" t="n">
        <f aca="false">densidad_viscosidad_puros!I65</f>
        <v>11.31</v>
      </c>
      <c r="C47" s="1" t="n">
        <f aca="false">densidad_viscosidad_puros!I66</f>
        <v>7.323</v>
      </c>
      <c r="D47" s="1" t="n">
        <f aca="false">densidad_viscosidad_puros!I67</f>
        <v>5.121</v>
      </c>
      <c r="E47" s="1" t="n">
        <f aca="false">densidad_viscosidad_puros!I68</f>
        <v>3.792</v>
      </c>
      <c r="F47" s="1" t="n">
        <f aca="false">densidad_viscosidad_puros!I69</f>
        <v>2.938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E10" activeCellId="1" sqref="B39:F39 E10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12</v>
      </c>
      <c r="B2" s="1" t="n">
        <v>1</v>
      </c>
      <c r="C2" s="1" t="n">
        <v>192.3</v>
      </c>
    </row>
    <row r="3" customFormat="false" ht="14.25" hidden="false" customHeight="true" outlineLevel="0" collapsed="false">
      <c r="A3" s="1" t="s">
        <v>26</v>
      </c>
      <c r="B3" s="1" t="n">
        <v>2</v>
      </c>
      <c r="C3" s="1" t="n">
        <v>100.16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278</v>
      </c>
      <c r="C7" s="1" t="s">
        <v>322</v>
      </c>
      <c r="D7" s="1" t="s">
        <v>280</v>
      </c>
      <c r="E7" s="1" t="s">
        <v>281</v>
      </c>
      <c r="F7" s="1" t="s">
        <v>323</v>
      </c>
      <c r="G7" s="1" t="s">
        <v>283</v>
      </c>
    </row>
    <row r="8" customFormat="false" ht="14.25" hidden="false" customHeight="true" outlineLevel="0" collapsed="false">
      <c r="A8" s="1" t="n">
        <v>6</v>
      </c>
      <c r="B8" s="1" t="n">
        <f aca="false">IF(D8=0, 0, IF(D8=1, A8, (D8*A8*$C$2)/($C$3*(1-D8)+$C$2*D8)))</f>
        <v>0</v>
      </c>
      <c r="C8" s="1" t="n">
        <f aca="false">A8-B8</f>
        <v>6</v>
      </c>
      <c r="D8" s="1" t="n">
        <v>0</v>
      </c>
      <c r="E8" s="78" t="n">
        <v>0</v>
      </c>
      <c r="F8" s="78" t="n">
        <v>1</v>
      </c>
      <c r="G8" s="78" t="n">
        <f aca="false">IF(AND(E8=0,F8&gt;0),0,"")</f>
        <v>0</v>
      </c>
    </row>
    <row r="9" customFormat="false" ht="14.25" hidden="false" customHeight="true" outlineLevel="0" collapsed="false">
      <c r="A9" s="1" t="n">
        <v>6</v>
      </c>
      <c r="B9" s="1" t="n">
        <f aca="false">IF(D9=0, 0, IF(D9=1, A9, (D9*A9*$C$2)/($C$3*(1-D9)+$C$2*D9)))</f>
        <v>1.05491250205716</v>
      </c>
      <c r="C9" s="1" t="n">
        <f aca="false">A9-B9</f>
        <v>4.94508749794284</v>
      </c>
      <c r="D9" s="1" t="n">
        <v>0.1</v>
      </c>
      <c r="E9" s="78"/>
      <c r="F9" s="78"/>
      <c r="G9" s="78" t="str">
        <f aca="false">IFERROR((E9*purity_beta/MW_beta)/((E9*purity_beta/MW_beta)+(F9*purity_mibk/MW_mibk)),"")</f>
        <v/>
      </c>
    </row>
    <row r="10" customFormat="false" ht="14.25" hidden="false" customHeight="true" outlineLevel="0" collapsed="false">
      <c r="A10" s="1" t="n">
        <v>6</v>
      </c>
      <c r="B10" s="1" t="n">
        <f aca="false">IF(D10=0, 0, IF(D10=1, A10, (D10*A10*$C$2)/($C$3*(1-D10)+$C$2*D10)))</f>
        <v>1.94589671804904</v>
      </c>
      <c r="C10" s="1" t="n">
        <f aca="false">A10-B10</f>
        <v>4.05410328195096</v>
      </c>
      <c r="D10" s="1" t="n">
        <v>0.2</v>
      </c>
      <c r="E10" s="78"/>
      <c r="F10" s="78"/>
      <c r="G10" s="78" t="str">
        <f aca="false">IFERROR((E10*purity_beta/MW_beta)/((E10*purity_beta/MW_beta)+(F10*purity_mibk/MW_mibk)),"")</f>
        <v/>
      </c>
    </row>
    <row r="11" customFormat="false" ht="14.25" hidden="false" customHeight="true" outlineLevel="0" collapsed="false">
      <c r="A11" s="1" t="n">
        <v>6</v>
      </c>
      <c r="B11" s="1" t="n">
        <f aca="false">IF(D11=0, 0, IF(D11=1, A11, (D11*A11*$C$2)/($C$3*(1-D11)+$C$2*D11)))</f>
        <v>2.70840831911864</v>
      </c>
      <c r="C11" s="1" t="n">
        <f aca="false">A11-B11</f>
        <v>3.29159168088136</v>
      </c>
      <c r="D11" s="1" t="n">
        <v>0.3</v>
      </c>
      <c r="E11" s="78"/>
      <c r="F11" s="78"/>
      <c r="G11" s="78" t="str">
        <f aca="false">IFERROR((E11*purity_beta/MW_beta)/((E11*purity_beta/MW_beta)+(F11*purity_mibk/MW_mibk)),"")</f>
        <v/>
      </c>
    </row>
    <row r="12" customFormat="false" ht="14.25" hidden="false" customHeight="true" outlineLevel="0" collapsed="false">
      <c r="A12" s="1" t="n">
        <v>6</v>
      </c>
      <c r="B12" s="1" t="n">
        <f aca="false">IF(D12=0, 0, IF(D12=1, A12, (D12*A12*$C$2)/($C$3*(1-D12)+$C$2*D12)))</f>
        <v>3.36836573830794</v>
      </c>
      <c r="C12" s="1" t="n">
        <f aca="false">A12-B12</f>
        <v>2.63163426169207</v>
      </c>
      <c r="D12" s="1" t="n">
        <v>0.4</v>
      </c>
      <c r="G12" s="1" t="str">
        <f aca="false">IFERROR((E12*purity_beta/MW_beta)/((E12*purity_beta/MW_beta)+(F12*purity_mibk/MW_mibk)),"")</f>
        <v/>
      </c>
    </row>
    <row r="13" customFormat="false" ht="14.25" hidden="false" customHeight="true" outlineLevel="0" collapsed="false">
      <c r="A13" s="1" t="n">
        <v>6</v>
      </c>
      <c r="B13" s="1" t="n">
        <f aca="false">IF(D13=0, 0, IF(D13=1, A13, (D13*A13*$C$2)/($C$3*(1-D13)+$C$2*D13)))</f>
        <v>3.94515489297682</v>
      </c>
      <c r="C13" s="1" t="n">
        <f aca="false">A13-B13</f>
        <v>2.05484510702318</v>
      </c>
      <c r="D13" s="1" t="n">
        <v>0.5</v>
      </c>
      <c r="E13" s="78"/>
      <c r="F13" s="78"/>
      <c r="G13" s="78" t="str">
        <f aca="false">IFERROR((E13*purity_beta/MW_beta)/((E13*purity_beta/MW_beta)+(F13*purity_mibk/MW_mibk)),"")</f>
        <v/>
      </c>
    </row>
    <row r="14" customFormat="false" ht="14.25" hidden="false" customHeight="true" outlineLevel="0" collapsed="false">
      <c r="A14" s="1" t="n">
        <v>6</v>
      </c>
      <c r="B14" s="1" t="n">
        <f aca="false">IF(D14=0, 0, IF(D14=1, A14, (D14*A14*$C$2)/($C$3*(1-D14)+$C$2*D14)))</f>
        <v>4.45356527109441</v>
      </c>
      <c r="C14" s="1" t="n">
        <f aca="false">A14-B14</f>
        <v>1.54643472890559</v>
      </c>
      <c r="D14" s="1" t="n">
        <v>0.6</v>
      </c>
      <c r="E14" s="78"/>
      <c r="F14" s="78"/>
      <c r="G14" s="78" t="str">
        <f aca="false">IFERROR((E14*purity_beta/MW_beta)/((E14*purity_beta/MW_beta)+(F14*purity_mibk/MW_mibk)),"")</f>
        <v/>
      </c>
    </row>
    <row r="15" customFormat="false" ht="14.25" hidden="false" customHeight="true" outlineLevel="0" collapsed="false">
      <c r="A15" s="1" t="n">
        <v>6</v>
      </c>
      <c r="B15" s="1" t="n">
        <f aca="false">IF(D15=0, 0, IF(D15=1, A15, (D15*A15*$C$2)/($C$3*(1-D15)+$C$2*D15)))</f>
        <v>4.90507597565864</v>
      </c>
      <c r="C15" s="1" t="n">
        <f aca="false">A15-B15</f>
        <v>1.09492402434136</v>
      </c>
      <c r="D15" s="1" t="n">
        <v>0.7</v>
      </c>
      <c r="G15" s="1" t="str">
        <f aca="false">IFERROR((E15*purity_beta/MW_beta)/((E15*purity_beta/MW_beta)+(F15*purity_mibk/MW_mibk)),"")</f>
        <v/>
      </c>
    </row>
    <row r="16" customFormat="false" ht="14.25" hidden="false" customHeight="true" outlineLevel="0" collapsed="false">
      <c r="A16" s="1" t="n">
        <v>6</v>
      </c>
      <c r="B16" s="1" t="n">
        <f aca="false">IF(D16=0, 0, IF(D16=1, A16, (D16*A16*$C$2)/($C$3*(1-D16)+$C$2*D16)))</f>
        <v>5.30873286095519</v>
      </c>
      <c r="C16" s="1" t="n">
        <f aca="false">A16-B16</f>
        <v>0.691267139044814</v>
      </c>
      <c r="D16" s="1" t="n">
        <v>0.8</v>
      </c>
      <c r="E16" s="78"/>
      <c r="F16" s="78"/>
      <c r="G16" s="78" t="str">
        <f aca="false">IFERROR((E16*purity_beta/MW_beta)/((E16*purity_beta/MW_beta)+(F16*purity_mibk/MW_mibk)),"")</f>
        <v/>
      </c>
    </row>
    <row r="17" customFormat="false" ht="14.25" hidden="false" customHeight="true" outlineLevel="0" collapsed="false">
      <c r="A17" s="1" t="n">
        <v>6</v>
      </c>
      <c r="B17" s="1" t="n">
        <f aca="false">IF(D17=0, 0, IF(D17=1, A17, (D17*A17*$C$2)/($C$3*(1-D17)+$C$2*D17)))</f>
        <v>5.67176081185891</v>
      </c>
      <c r="C17" s="1" t="n">
        <f aca="false">A17-B17</f>
        <v>0.328239188141092</v>
      </c>
      <c r="D17" s="1" t="n">
        <v>0.9</v>
      </c>
      <c r="E17" s="78"/>
      <c r="F17" s="78"/>
      <c r="G17" s="78" t="str">
        <f aca="false">IFERROR((E17*purity_beta/MW_beta)/((E17*purity_beta/MW_beta)+(F17*purity_mibk/MW_mibk)),"")</f>
        <v/>
      </c>
    </row>
    <row r="18" customFormat="false" ht="14.25" hidden="false" customHeight="true" outlineLevel="0" collapsed="false">
      <c r="A18" s="1" t="n">
        <v>6</v>
      </c>
      <c r="B18" s="1" t="n">
        <f aca="false">IF(D18=0, 0, IF(D18=1, A18, (D18*A18*$C$2)/($C$3*(1-D18)+$C$2*D18)))</f>
        <v>6</v>
      </c>
      <c r="C18" s="1" t="n">
        <f aca="false">A18-B18</f>
        <v>0</v>
      </c>
      <c r="D18" s="1" t="n">
        <v>1</v>
      </c>
      <c r="E18" s="78" t="n">
        <v>1</v>
      </c>
      <c r="F18" s="78" t="n">
        <v>0</v>
      </c>
      <c r="G18" s="78" t="n">
        <f aca="false">IF(AND(E18&gt;0,F18=0),1,IFERROR((E18/MW_beta)/((E18/MW_beta)+(F18/MW_mibk)),""))</f>
        <v>1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78" t="s">
        <v>303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4.25" hidden="false" customHeight="true" outlineLevel="0" collapsed="false">
      <c r="A21" s="78"/>
      <c r="B21" s="78" t="s">
        <v>212</v>
      </c>
      <c r="G21" s="78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78" t="n">
        <f aca="false">G8</f>
        <v>0</v>
      </c>
      <c r="B23" s="99" t="n">
        <f aca="false">densidad_viscosidad_puros!G45</f>
        <v>0.80143</v>
      </c>
      <c r="C23" s="99" t="n">
        <f aca="false">densidad_viscosidad_puros!G46</f>
        <v>0.79234</v>
      </c>
      <c r="D23" s="99" t="n">
        <f aca="false">densidad_viscosidad_puros!G47</f>
        <v>0.78314</v>
      </c>
      <c r="E23" s="99" t="n">
        <f aca="false">densidad_viscosidad_puros!G48</f>
        <v>0.77383</v>
      </c>
      <c r="F23" s="99" t="n">
        <f aca="false">densidad_viscosidad_puros!G49</f>
        <v>0.76444</v>
      </c>
      <c r="G23" s="78" t="n">
        <f aca="false">IFERROR((($A23*MW_beta)+((1-$A23)*MW_mibk))/B23-(($A23*MW_beta/B$33)+((1-$A23)*MW_mibk/B$23)),"")</f>
        <v>0</v>
      </c>
      <c r="H23" s="78" t="n">
        <f aca="false">IFERROR((($A23*MW_beta)+((1-$A23)*MW_mibk))/C23-(($A23*MW_beta/C$33)+((1-$A23)*MW_mibk/C$23)),"")</f>
        <v>0</v>
      </c>
      <c r="I23" s="78" t="n">
        <f aca="false">IFERROR((($A23*MW_beta)+((1-$A23)*MW_mibk))/D23-(($A23*MW_beta/D$33)+((1-$A23)*MW_mibk/D$23)),"")</f>
        <v>0</v>
      </c>
      <c r="J23" s="78" t="n">
        <f aca="false">IFERROR((($A23*MW_beta)+((1-$A23)*MW_mibk))/E23-(($A23*MW_beta/E$33)+((1-$A23)*MW_mibk/E$23)),"")</f>
        <v>0</v>
      </c>
      <c r="K23" s="78" t="n">
        <f aca="false">IFERROR((($A23*MW_beta)+((1-$A23)*MW_mibk))/F23-(($A23*MW_beta/F$33)+((1-$A23)*MW_mibk/F$23)),"")</f>
        <v>0</v>
      </c>
    </row>
    <row r="24" customFormat="false" ht="14.25" hidden="false" customHeight="true" outlineLevel="0" collapsed="false">
      <c r="A24" s="78" t="str">
        <f aca="false">G9</f>
        <v/>
      </c>
      <c r="B24" s="78" t="n">
        <v>0.81671</v>
      </c>
      <c r="C24" s="92" t="n">
        <v>0.80775</v>
      </c>
      <c r="D24" s="78" t="n">
        <v>0.79866</v>
      </c>
      <c r="E24" s="78" t="n">
        <v>0.7895</v>
      </c>
      <c r="F24" s="78" t="n">
        <v>0.78026</v>
      </c>
      <c r="G24" s="78" t="str">
        <f aca="false">IFERROR((($A24*MW_beta)+((1-$A24)*MW_mibk))/B24-(($A24*MW_beta/B$33)+((1-$A24)*MW_mibk/B$23)),"")</f>
        <v/>
      </c>
      <c r="H24" s="78" t="str">
        <f aca="false">IFERROR((($A24*MW_beta)+((1-$A24)*MW_mibk))/C24-(($A24*MW_beta/C$33)+((1-$A24)*MW_mibk/C$23)),"")</f>
        <v/>
      </c>
      <c r="I24" s="78" t="str">
        <f aca="false">IFERROR((($A24*MW_beta)+((1-$A24)*MW_mibk))/D24-(($A24*MW_beta/D$33)+((1-$A24)*MW_mibk/D$23)),"")</f>
        <v/>
      </c>
      <c r="J24" s="78" t="str">
        <f aca="false">IFERROR((($A24*MW_beta)+((1-$A24)*MW_mibk))/E24-(($A24*MW_beta/E$33)+((1-$A24)*MW_mibk/E$23)),"")</f>
        <v/>
      </c>
      <c r="K24" s="78" t="str">
        <f aca="false">IFERROR((($A24*MW_beta)+((1-$A24)*MW_mibk))/F24-(($A24*MW_beta/F$33)+((1-$A24)*MW_mibk/F$23)),"")</f>
        <v/>
      </c>
    </row>
    <row r="25" customFormat="false" ht="14.25" hidden="false" customHeight="true" outlineLevel="0" collapsed="false">
      <c r="A25" s="78" t="str">
        <f aca="false">G10</f>
        <v/>
      </c>
      <c r="B25" s="78" t="n">
        <v>0.83112</v>
      </c>
      <c r="C25" s="92" t="n">
        <v>0.8223</v>
      </c>
      <c r="D25" s="78" t="n">
        <v>0.81337</v>
      </c>
      <c r="E25" s="78" t="n">
        <v>0.80438</v>
      </c>
      <c r="F25" s="78" t="n">
        <v>0.79532</v>
      </c>
      <c r="G25" s="78" t="str">
        <f aca="false">IFERROR((($A25*MW_beta)+((1-$A25)*MW_mibk))/B25-(($A25*MW_beta/B$33)+((1-$A25)*MW_mibk/B$23)),"")</f>
        <v/>
      </c>
      <c r="H25" s="78" t="str">
        <f aca="false">IFERROR((($A25*MW_beta)+((1-$A25)*MW_mibk))/C25-(($A25*MW_beta/C$33)+((1-$A25)*MW_mibk/C$23)),"")</f>
        <v/>
      </c>
      <c r="I25" s="78" t="str">
        <f aca="false">IFERROR((($A25*MW_beta)+((1-$A25)*MW_mibk))/D25-(($A25*MW_beta/D$33)+((1-$A25)*MW_mibk/D$23)),"")</f>
        <v/>
      </c>
      <c r="J25" s="78" t="str">
        <f aca="false">IFERROR((($A25*MW_beta)+((1-$A25)*MW_mibk))/E25-(($A25*MW_beta/E$33)+((1-$A25)*MW_mibk/E$23)),"")</f>
        <v/>
      </c>
      <c r="K25" s="78" t="str">
        <f aca="false">IFERROR((($A25*MW_beta)+((1-$A25)*MW_mibk))/F25-(($A25*MW_beta/F$33)+((1-$A25)*MW_mibk/F$23)),"")</f>
        <v/>
      </c>
    </row>
    <row r="26" customFormat="false" ht="14.25" hidden="false" customHeight="true" outlineLevel="0" collapsed="false">
      <c r="A26" s="78" t="str">
        <f aca="false">G11</f>
        <v/>
      </c>
      <c r="B26" s="78" t="n">
        <v>0.8456</v>
      </c>
      <c r="C26" s="92" t="n">
        <v>0.83692</v>
      </c>
      <c r="D26" s="78" t="n">
        <v>0.82814</v>
      </c>
      <c r="E26" s="78" t="n">
        <v>0.81931</v>
      </c>
      <c r="F26" s="78" t="n">
        <v>0.81042</v>
      </c>
      <c r="G26" s="78" t="str">
        <f aca="false">IFERROR((($A26*MW_beta)+((1-$A26)*MW_mibk))/B26-(($A26*MW_beta/B$33)+((1-$A26)*MW_mibk/B$23)),"")</f>
        <v/>
      </c>
      <c r="H26" s="78" t="str">
        <f aca="false">IFERROR((($A26*MW_beta)+((1-$A26)*MW_mibk))/C26-(($A26*MW_beta/C$33)+((1-$A26)*MW_mibk/C$23)),"")</f>
        <v/>
      </c>
      <c r="I26" s="78" t="str">
        <f aca="false">IFERROR((($A26*MW_beta)+((1-$A26)*MW_mibk))/D26-(($A26*MW_beta/D$33)+((1-$A26)*MW_mibk/D$23)),"")</f>
        <v/>
      </c>
      <c r="J26" s="78" t="str">
        <f aca="false">IFERROR((($A26*MW_beta)+((1-$A26)*MW_mibk))/E26-(($A26*MW_beta/E$33)+((1-$A26)*MW_mibk/E$23)),"")</f>
        <v/>
      </c>
      <c r="K26" s="78" t="str">
        <f aca="false">IFERROR((($A26*MW_beta)+((1-$A26)*MW_mibk))/F26-(($A26*MW_beta/F$33)+((1-$A26)*MW_mibk/F$23)),"")</f>
        <v/>
      </c>
    </row>
    <row r="27" customFormat="false" ht="14.25" hidden="false" customHeight="true" outlineLevel="0" collapsed="false">
      <c r="A27" s="78" t="str">
        <f aca="false">G12</f>
        <v/>
      </c>
      <c r="B27" s="78" t="n">
        <v>0.86044</v>
      </c>
      <c r="C27" s="78" t="n">
        <v>0.8519</v>
      </c>
      <c r="D27" s="78" t="n">
        <v>0.84327</v>
      </c>
      <c r="E27" s="78" t="n">
        <v>0.8346</v>
      </c>
      <c r="F27" s="78" t="n">
        <v>0.82588</v>
      </c>
      <c r="G27" s="78" t="str">
        <f aca="false">IFERROR((($A27*MW_beta)+((1-$A27)*MW_mibk))/B27-(($A27*MW_beta/B$33)+((1-$A27)*MW_mibk/B$23)),"")</f>
        <v/>
      </c>
      <c r="H27" s="78" t="str">
        <f aca="false">IFERROR((($A27*MW_beta)+((1-$A27)*MW_mibk))/C27-(($A27*MW_beta/C$33)+((1-$A27)*MW_mibk/C$23)),"")</f>
        <v/>
      </c>
      <c r="I27" s="78" t="str">
        <f aca="false">IFERROR((($A27*MW_beta)+((1-$A27)*MW_mibk))/D27-(($A27*MW_beta/D$33)+((1-$A27)*MW_mibk/D$23)),"")</f>
        <v/>
      </c>
      <c r="J27" s="78" t="str">
        <f aca="false">IFERROR((($A27*MW_beta)+((1-$A27)*MW_mibk))/E27-(($A27*MW_beta/E$33)+((1-$A27)*MW_mibk/E$23)),"")</f>
        <v/>
      </c>
      <c r="K27" s="78" t="str">
        <f aca="false">IFERROR((($A27*MW_beta)+((1-$A27)*MW_mibk))/F27-(($A27*MW_beta/F$33)+((1-$A27)*MW_mibk/F$23)),"")</f>
        <v/>
      </c>
    </row>
    <row r="28" customFormat="false" ht="14.25" hidden="false" customHeight="true" outlineLevel="0" collapsed="false">
      <c r="A28" s="78" t="str">
        <f aca="false">G13</f>
        <v/>
      </c>
      <c r="B28" s="78" t="n">
        <v>0.87562</v>
      </c>
      <c r="C28" s="92" t="n">
        <v>0.86721</v>
      </c>
      <c r="D28" s="78" t="n">
        <v>0.85873</v>
      </c>
      <c r="E28" s="78" t="n">
        <v>0.85022</v>
      </c>
      <c r="F28" s="78" t="n">
        <v>0.84167</v>
      </c>
      <c r="G28" s="78" t="str">
        <f aca="false">IFERROR((($A28*MW_beta)+((1-$A28)*MW_mibk))/B28-(($A28*MW_beta/B$33)+((1-$A28)*MW_mibk/B$23)),"")</f>
        <v/>
      </c>
      <c r="H28" s="78" t="str">
        <f aca="false">IFERROR((($A28*MW_beta)+((1-$A28)*MW_mibk))/C28-(($A28*MW_beta/C$33)+((1-$A28)*MW_mibk/C$23)),"")</f>
        <v/>
      </c>
      <c r="I28" s="78" t="str">
        <f aca="false">IFERROR((($A28*MW_beta)+((1-$A28)*MW_mibk))/D28-(($A28*MW_beta/D$33)+((1-$A28)*MW_mibk/D$23)),"")</f>
        <v/>
      </c>
      <c r="J28" s="78" t="str">
        <f aca="false">IFERROR((($A28*MW_beta)+((1-$A28)*MW_mibk))/E28-(($A28*MW_beta/E$33)+((1-$A28)*MW_mibk/E$23)),"")</f>
        <v/>
      </c>
      <c r="K28" s="78" t="str">
        <f aca="false">IFERROR((($A28*MW_beta)+((1-$A28)*MW_mibk))/F28-(($A28*MW_beta/F$33)+((1-$A28)*MW_mibk/F$23)),"")</f>
        <v/>
      </c>
    </row>
    <row r="29" customFormat="false" ht="14.25" hidden="false" customHeight="true" outlineLevel="0" collapsed="false">
      <c r="A29" s="78" t="str">
        <f aca="false">G14</f>
        <v/>
      </c>
      <c r="B29" s="78" t="n">
        <v>0.88947</v>
      </c>
      <c r="C29" s="78" t="n">
        <v>0.88119</v>
      </c>
      <c r="D29" s="78" t="n">
        <v>0.87285</v>
      </c>
      <c r="E29" s="78" t="n">
        <v>0.86448</v>
      </c>
      <c r="F29" s="78" t="n">
        <v>0.85608</v>
      </c>
      <c r="G29" s="78" t="str">
        <f aca="false">IFERROR((($A29*MW_beta)+((1-$A29)*MW_mibk))/B29-(($A29*MW_beta/B$33)+((1-$A29)*MW_mibk/B$23)),"")</f>
        <v/>
      </c>
      <c r="H29" s="78" t="str">
        <f aca="false">IFERROR((($A29*MW_beta)+((1-$A29)*MW_mibk))/C29-(($A29*MW_beta/C$33)+((1-$A29)*MW_mibk/C$23)),"")</f>
        <v/>
      </c>
      <c r="I29" s="78" t="str">
        <f aca="false">IFERROR((($A29*MW_beta)+((1-$A29)*MW_mibk))/D29-(($A29*MW_beta/D$33)+((1-$A29)*MW_mibk/D$23)),"")</f>
        <v/>
      </c>
      <c r="J29" s="78" t="str">
        <f aca="false">IFERROR((($A29*MW_beta)+((1-$A29)*MW_mibk))/E29-(($A29*MW_beta/E$33)+((1-$A29)*MW_mibk/E$23)),"")</f>
        <v/>
      </c>
      <c r="K29" s="78" t="str">
        <f aca="false">IFERROR((($A29*MW_beta)+((1-$A29)*MW_mibk))/F29-(($A29*MW_beta/F$33)+((1-$A29)*MW_mibk/F$23)),"")</f>
        <v/>
      </c>
    </row>
    <row r="30" customFormat="false" ht="14.25" hidden="false" customHeight="true" outlineLevel="0" collapsed="false">
      <c r="A30" s="78" t="str">
        <f aca="false">G15</f>
        <v/>
      </c>
      <c r="B30" s="78" t="n">
        <v>0.90349</v>
      </c>
      <c r="C30" s="78" t="n">
        <v>0.89533</v>
      </c>
      <c r="D30" s="78" t="n">
        <v>0.88712</v>
      </c>
      <c r="E30" s="78" t="n">
        <v>0.8789</v>
      </c>
      <c r="F30" s="78" t="n">
        <v>0.87065</v>
      </c>
      <c r="G30" s="78" t="str">
        <f aca="false">IFERROR((($A30*MW_beta)+((1-$A30)*MW_mibk))/B30-(($A30*MW_beta/B$33)+((1-$A30)*MW_mibk/B$23)),"")</f>
        <v/>
      </c>
      <c r="H30" s="78" t="str">
        <f aca="false">IFERROR((($A30*MW_beta)+((1-$A30)*MW_mibk))/C30-(($A30*MW_beta/C$33)+((1-$A30)*MW_mibk/C$23)),"")</f>
        <v/>
      </c>
      <c r="I30" s="78" t="str">
        <f aca="false">IFERROR((($A30*MW_beta)+((1-$A30)*MW_mibk))/D30-(($A30*MW_beta/D$33)+((1-$A30)*MW_mibk/D$23)),"")</f>
        <v/>
      </c>
      <c r="J30" s="78" t="str">
        <f aca="false">IFERROR((($A30*MW_beta)+((1-$A30)*MW_mibk))/E30-(($A30*MW_beta/E$33)+((1-$A30)*MW_mibk/E$23)),"")</f>
        <v/>
      </c>
      <c r="K30" s="78" t="str">
        <f aca="false">IFERROR((($A30*MW_beta)+((1-$A30)*MW_mibk))/F30-(($A30*MW_beta/F$33)+((1-$A30)*MW_mibk/F$23)),"")</f>
        <v/>
      </c>
    </row>
    <row r="31" customFormat="false" ht="14.25" hidden="false" customHeight="true" outlineLevel="0" collapsed="false">
      <c r="A31" s="78" t="str">
        <f aca="false">G16</f>
        <v/>
      </c>
      <c r="B31" s="78" t="n">
        <v>0.91698</v>
      </c>
      <c r="C31" s="78" t="n">
        <v>0.90893</v>
      </c>
      <c r="D31" s="78" t="n">
        <v>0.90086</v>
      </c>
      <c r="E31" s="78" t="n">
        <v>0.89277</v>
      </c>
      <c r="F31" s="92" t="n">
        <v>0.88464</v>
      </c>
      <c r="G31" s="78" t="str">
        <f aca="false">IFERROR((($A31*MW_beta)+((1-$A31)*MW_mibk))/B31-(($A31*MW_beta/B$33)+((1-$A31)*MW_mibk/B$23)),"")</f>
        <v/>
      </c>
      <c r="H31" s="78" t="str">
        <f aca="false">IFERROR((($A31*MW_beta)+((1-$A31)*MW_mibk))/C31-(($A31*MW_beta/C$33)+((1-$A31)*MW_mibk/C$23)),"")</f>
        <v/>
      </c>
      <c r="I31" s="78" t="str">
        <f aca="false">IFERROR((($A31*MW_beta)+((1-$A31)*MW_mibk))/D31-(($A31*MW_beta/D$33)+((1-$A31)*MW_mibk/D$23)),"")</f>
        <v/>
      </c>
      <c r="J31" s="78" t="str">
        <f aca="false">IFERROR((($A31*MW_beta)+((1-$A31)*MW_mibk))/E31-(($A31*MW_beta/E$33)+((1-$A31)*MW_mibk/E$23)),"")</f>
        <v/>
      </c>
      <c r="K31" s="78" t="str">
        <f aca="false">IFERROR((($A31*MW_beta)+((1-$A31)*MW_mibk))/F31-(($A31*MW_beta/F$33)+((1-$A31)*MW_mibk/F$23)),"")</f>
        <v/>
      </c>
    </row>
    <row r="32" customFormat="false" ht="14.25" hidden="false" customHeight="true" outlineLevel="0" collapsed="false">
      <c r="A32" s="78" t="str">
        <f aca="false">G17</f>
        <v/>
      </c>
      <c r="B32" s="78" t="n">
        <v>0.9306</v>
      </c>
      <c r="C32" s="78" t="n">
        <v>0.92266</v>
      </c>
      <c r="D32" s="78" t="n">
        <v>0.91471</v>
      </c>
      <c r="E32" s="78" t="n">
        <v>0.90674</v>
      </c>
      <c r="F32" s="78" t="n">
        <v>0.89876</v>
      </c>
      <c r="G32" s="78" t="str">
        <f aca="false">IFERROR((($A32*MW_beta)+((1-$A32)*MW_mibk))/B32-(($A32*MW_beta/B$33)+((1-$A32)*MW_mibk/B$23)),"")</f>
        <v/>
      </c>
      <c r="H32" s="78" t="str">
        <f aca="false">IFERROR((($A32*MW_beta)+((1-$A32)*MW_mibk))/C32-(($A32*MW_beta/C$33)+((1-$A32)*MW_mibk/C$23)),"")</f>
        <v/>
      </c>
      <c r="I32" s="78" t="str">
        <f aca="false">IFERROR((($A32*MW_beta)+((1-$A32)*MW_mibk))/D32-(($A32*MW_beta/D$33)+((1-$A32)*MW_mibk/D$23)),"")</f>
        <v/>
      </c>
      <c r="J32" s="78" t="str">
        <f aca="false">IFERROR((($A32*MW_beta)+((1-$A32)*MW_mibk))/E32-(($A32*MW_beta/E$33)+((1-$A32)*MW_mibk/E$23)),"")</f>
        <v/>
      </c>
      <c r="K32" s="78" t="str">
        <f aca="false">IFERROR((($A32*MW_beta)+((1-$A32)*MW_mibk))/F32-(($A32*MW_beta/F$33)+((1-$A32)*MW_mibk/F$23)),"")</f>
        <v/>
      </c>
    </row>
    <row r="33" customFormat="false" ht="14.25" hidden="false" customHeight="true" outlineLevel="0" collapsed="false">
      <c r="A33" s="78" t="n">
        <f aca="false">G18</f>
        <v>1</v>
      </c>
      <c r="B33" s="78" t="n">
        <f aca="false">densidad_viscosidad_puros!G65</f>
        <v>0.94498</v>
      </c>
      <c r="C33" s="78" t="n">
        <f aca="false">densidad_viscosidad_puros!G66</f>
        <v>0.93726</v>
      </c>
      <c r="D33" s="78" t="n">
        <f aca="false">densidad_viscosidad_puros!G67</f>
        <v>0.9295</v>
      </c>
      <c r="E33" s="78" t="n">
        <f aca="false">densidad_viscosidad_puros!G68</f>
        <v>0.92172</v>
      </c>
      <c r="F33" s="78" t="n">
        <f aca="false">densidad_viscosidad_puros!G69</f>
        <v>0.91396</v>
      </c>
      <c r="G33" s="78" t="n">
        <f aca="false">IFERROR((($A33*MW_beta)+((1-$A33)*MW_mibk))/B33-(($A33*MW_beta/B$33)+((1-$A33)*MW_mibk/B$23)),"")</f>
        <v>0</v>
      </c>
      <c r="H33" s="78" t="n">
        <f aca="false">IFERROR((($A33*MW_beta)+((1-$A33)*MW_mibk))/C33-(($A33*MW_beta/C$33)+((1-$A33)*MW_mibk/C$23)),"")</f>
        <v>0</v>
      </c>
      <c r="I33" s="78" t="n">
        <f aca="false">IFERROR((($A33*MW_beta)+((1-$A33)*MW_mibk))/D33-(($A33*MW_beta/D$33)+((1-$A33)*MW_mibk/D$23)),"")</f>
        <v>0</v>
      </c>
      <c r="J33" s="78" t="n">
        <f aca="false">IFERROR((($A33*MW_beta)+((1-$A33)*MW_mibk))/E33-(($A33*MW_beta/E$33)+((1-$A33)*MW_mibk/E$23)),"")</f>
        <v>0</v>
      </c>
      <c r="K33" s="78" t="n">
        <f aca="false">IFERROR((($A33*MW_beta)+((1-$A33)*MW_mibk))/F33-(($A33*MW_beta/F$33)+((1-$A33)*MW_mibk/F$23)),"")</f>
        <v>0</v>
      </c>
    </row>
    <row r="34" customFormat="false" ht="14.25" hidden="false" customHeight="true" outlineLevel="0" collapsed="false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  <c r="G35" s="78"/>
      <c r="H35" s="78"/>
      <c r="I35" s="78"/>
      <c r="J35" s="78"/>
      <c r="K35" s="78"/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78"/>
      <c r="H36" s="92"/>
      <c r="I36" s="78"/>
      <c r="J36" s="92"/>
      <c r="K36" s="78"/>
    </row>
    <row r="37" customFormat="false" ht="14.25" hidden="false" customHeight="true" outlineLevel="0" collapsed="false">
      <c r="A37" s="78" t="n">
        <f aca="false">G8</f>
        <v>0</v>
      </c>
      <c r="B37" s="100" t="n">
        <f aca="false">densidad_viscosidad_puros!I45</f>
        <v>0.58507</v>
      </c>
      <c r="C37" s="100" t="n">
        <f aca="false">densidad_viscosidad_puros!I46</f>
        <v>0.5218</v>
      </c>
      <c r="D37" s="100" t="n">
        <f aca="false">densidad_viscosidad_puros!I47</f>
        <v>0.46729</v>
      </c>
      <c r="E37" s="100" t="n">
        <f aca="false">densidad_viscosidad_puros!I48</f>
        <v>0.42305</v>
      </c>
      <c r="F37" s="100" t="n">
        <f aca="false">densidad_viscosidad_puros!I49</f>
        <v>0.38771</v>
      </c>
      <c r="G37" s="78"/>
      <c r="H37" s="78"/>
      <c r="I37" s="78"/>
      <c r="J37" s="78"/>
      <c r="K37" s="78"/>
    </row>
    <row r="38" customFormat="false" ht="14.25" hidden="false" customHeight="true" outlineLevel="0" collapsed="false">
      <c r="A38" s="78" t="str">
        <f aca="false">G9</f>
        <v/>
      </c>
      <c r="B38" s="78" t="n">
        <v>0.702</v>
      </c>
      <c r="C38" s="92" t="n">
        <v>0.618</v>
      </c>
      <c r="D38" s="78" t="n">
        <v>0.549</v>
      </c>
      <c r="E38" s="78" t="n">
        <v>0.49</v>
      </c>
      <c r="F38" s="78" t="n">
        <v>0.442</v>
      </c>
      <c r="G38" s="78"/>
      <c r="H38" s="78"/>
      <c r="I38" s="78"/>
      <c r="J38" s="78"/>
      <c r="K38" s="78"/>
    </row>
    <row r="39" customFormat="false" ht="14.25" hidden="false" customHeight="true" outlineLevel="0" collapsed="false">
      <c r="A39" s="78" t="str">
        <f aca="false">G10</f>
        <v/>
      </c>
      <c r="B39" s="78" t="n">
        <v>0.837</v>
      </c>
      <c r="C39" s="92" t="n">
        <v>0.728</v>
      </c>
      <c r="D39" s="78" t="n">
        <v>0.639</v>
      </c>
      <c r="E39" s="78" t="n">
        <v>0.567</v>
      </c>
      <c r="F39" s="78" t="n">
        <v>0.508</v>
      </c>
      <c r="G39" s="78"/>
      <c r="H39" s="78"/>
      <c r="I39" s="78"/>
      <c r="J39" s="78"/>
      <c r="K39" s="78"/>
    </row>
    <row r="40" customFormat="false" ht="14.25" hidden="false" customHeight="true" outlineLevel="0" collapsed="false">
      <c r="A40" s="78" t="str">
        <f aca="false">G11</f>
        <v/>
      </c>
      <c r="B40" s="78" t="n">
        <v>1.065</v>
      </c>
      <c r="C40" s="92" t="n">
        <v>0.919</v>
      </c>
      <c r="D40" s="78" t="n">
        <v>0.795</v>
      </c>
      <c r="E40" s="78" t="n">
        <v>0.696</v>
      </c>
      <c r="F40" s="78" t="n">
        <v>0.617</v>
      </c>
      <c r="G40" s="78"/>
      <c r="H40" s="78"/>
      <c r="I40" s="78"/>
      <c r="J40" s="78"/>
      <c r="K40" s="78"/>
    </row>
    <row r="41" customFormat="false" ht="14.25" hidden="false" customHeight="true" outlineLevel="0" collapsed="false">
      <c r="A41" s="78" t="str">
        <f aca="false">G12</f>
        <v/>
      </c>
      <c r="B41" s="78" t="n">
        <v>1.305</v>
      </c>
      <c r="C41" s="78" t="n">
        <v>1.1</v>
      </c>
      <c r="D41" s="78" t="n">
        <v>0.942</v>
      </c>
      <c r="E41" s="78" t="n">
        <v>0.819</v>
      </c>
      <c r="F41" s="78" t="n">
        <v>0.72</v>
      </c>
      <c r="G41" s="78"/>
      <c r="H41" s="78"/>
      <c r="I41" s="78"/>
      <c r="J41" s="78"/>
      <c r="K41" s="78"/>
    </row>
    <row r="42" customFormat="false" ht="14.25" hidden="false" customHeight="true" outlineLevel="0" collapsed="false">
      <c r="A42" s="78" t="str">
        <f aca="false">G13</f>
        <v/>
      </c>
      <c r="B42" s="78" t="n">
        <v>1.681</v>
      </c>
      <c r="C42" s="92" t="n">
        <v>1.386</v>
      </c>
      <c r="D42" s="78" t="n">
        <v>1.168</v>
      </c>
      <c r="E42" s="78" t="n">
        <v>1.001</v>
      </c>
      <c r="F42" s="78" t="n">
        <v>0.869</v>
      </c>
      <c r="G42" s="78"/>
      <c r="H42" s="78"/>
      <c r="I42" s="78"/>
      <c r="J42" s="78"/>
      <c r="K42" s="78"/>
    </row>
    <row r="43" customFormat="false" ht="14.25" hidden="false" customHeight="true" outlineLevel="0" collapsed="false">
      <c r="A43" s="78" t="str">
        <f aca="false">G14</f>
        <v/>
      </c>
      <c r="B43" s="78" t="n">
        <v>2.205</v>
      </c>
      <c r="C43" s="78" t="n">
        <v>1.774</v>
      </c>
      <c r="D43" s="78" t="n">
        <v>1.464</v>
      </c>
      <c r="E43" s="78" t="n">
        <v>1.232</v>
      </c>
      <c r="F43" s="78" t="n">
        <v>1.055</v>
      </c>
      <c r="G43" s="78"/>
      <c r="H43" s="78"/>
      <c r="I43" s="78"/>
      <c r="J43" s="78"/>
      <c r="K43" s="78"/>
    </row>
    <row r="44" customFormat="false" ht="14.25" hidden="false" customHeight="true" outlineLevel="0" collapsed="false">
      <c r="A44" s="78" t="str">
        <f aca="false">G15</f>
        <v/>
      </c>
      <c r="B44" s="78" t="n">
        <v>2.98</v>
      </c>
      <c r="C44" s="78" t="n">
        <v>2.32</v>
      </c>
      <c r="D44" s="78" t="n">
        <v>1.865</v>
      </c>
      <c r="E44" s="78" t="n">
        <v>1.539</v>
      </c>
      <c r="F44" s="78" t="n">
        <v>1.297</v>
      </c>
      <c r="G44" s="78"/>
      <c r="H44" s="78"/>
      <c r="I44" s="78"/>
      <c r="J44" s="78"/>
      <c r="K44" s="78"/>
    </row>
    <row r="45" customFormat="false" ht="14.25" hidden="false" customHeight="true" outlineLevel="0" collapsed="false">
      <c r="A45" s="78" t="str">
        <f aca="false">G16</f>
        <v/>
      </c>
      <c r="B45" s="78" t="n">
        <v>4.251</v>
      </c>
      <c r="C45" s="78" t="n">
        <v>3.175</v>
      </c>
      <c r="D45" s="78" t="n">
        <v>2.471</v>
      </c>
      <c r="E45" s="78" t="n">
        <v>1.987</v>
      </c>
      <c r="F45" s="92" t="n">
        <v>1.638</v>
      </c>
      <c r="G45" s="78"/>
      <c r="H45" s="78"/>
      <c r="I45" s="78"/>
      <c r="J45" s="78"/>
      <c r="K45" s="78"/>
    </row>
    <row r="46" customFormat="false" ht="14.25" hidden="false" customHeight="true" outlineLevel="0" collapsed="false">
      <c r="A46" s="78" t="str">
        <f aca="false">G17</f>
        <v/>
      </c>
      <c r="B46" s="78" t="n">
        <v>6.532</v>
      </c>
      <c r="C46" s="78" t="n">
        <v>4.607</v>
      </c>
      <c r="D46" s="78" t="n">
        <v>3.431</v>
      </c>
      <c r="E46" s="78" t="n">
        <v>2.665</v>
      </c>
      <c r="F46" s="78" t="n">
        <v>2.139</v>
      </c>
      <c r="G46" s="78"/>
      <c r="H46" s="78"/>
      <c r="I46" s="78"/>
      <c r="J46" s="78"/>
      <c r="K46" s="78"/>
    </row>
    <row r="47" customFormat="false" ht="14.25" hidden="false" customHeight="true" outlineLevel="0" collapsed="false">
      <c r="A47" s="78" t="n">
        <f aca="false">G18</f>
        <v>1</v>
      </c>
      <c r="B47" s="78" t="n">
        <f aca="false">densidad_viscosidad_puros!I65</f>
        <v>11.31</v>
      </c>
      <c r="C47" s="78" t="n">
        <f aca="false">densidad_viscosidad_puros!I66</f>
        <v>7.323</v>
      </c>
      <c r="D47" s="78" t="n">
        <f aca="false">densidad_viscosidad_puros!I67</f>
        <v>5.121</v>
      </c>
      <c r="E47" s="78" t="n">
        <f aca="false">densidad_viscosidad_puros!I68</f>
        <v>3.792</v>
      </c>
      <c r="F47" s="78" t="n">
        <f aca="false">densidad_viscosidad_puros!I69</f>
        <v>2.938</v>
      </c>
      <c r="G47" s="78"/>
      <c r="H47" s="78"/>
      <c r="I47" s="78"/>
      <c r="J47" s="78"/>
      <c r="K47" s="78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G27" colorId="64" zoomScale="100" zoomScaleNormal="100" zoomScalePageLayoutView="100" workbookViewId="0">
      <selection pane="topLeft" activeCell="C27" activeCellId="1" sqref="B39:F39 C27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29.26"/>
    <col collapsed="false" customWidth="true" hidden="false" outlineLevel="0" max="2" min="2" style="1" width="25.38"/>
    <col collapsed="false" customWidth="true" hidden="false" outlineLevel="0" max="3" min="3" style="1" width="16.38"/>
    <col collapsed="false" customWidth="true" hidden="false" outlineLevel="0" max="4" min="4" style="1" width="25.38"/>
    <col collapsed="false" customWidth="true" hidden="false" outlineLevel="0" max="5" min="5" style="1" width="18.63"/>
    <col collapsed="false" customWidth="true" hidden="false" outlineLevel="0" max="6" min="6" style="1" width="24.5"/>
    <col collapsed="false" customWidth="true" hidden="false" outlineLevel="0" max="7" min="7" style="1" width="20.13"/>
    <col collapsed="false" customWidth="true" hidden="false" outlineLevel="0" max="8" min="8" style="1" width="16.38"/>
    <col collapsed="false" customWidth="true" hidden="false" outlineLevel="0" max="9" min="9" style="1" width="24.5"/>
    <col collapsed="false" customWidth="true" hidden="false" outlineLevel="0" max="10" min="10" style="1" width="9"/>
    <col collapsed="false" customWidth="true" hidden="false" outlineLevel="0" max="11" min="11" style="1" width="20"/>
    <col collapsed="false" customWidth="true" hidden="false" outlineLevel="0" max="12" min="12" style="1" width="16.25"/>
    <col collapsed="false" customWidth="true" hidden="false" outlineLevel="0" max="13" min="13" style="1" width="9"/>
  </cols>
  <sheetData>
    <row r="1" customFormat="false" ht="14.25" hidden="false" customHeight="true" outlineLevel="0" collapsed="false">
      <c r="A1" s="80"/>
      <c r="B1" s="80"/>
      <c r="C1" s="80" t="s">
        <v>273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customFormat="false" ht="14.25" hidden="false" customHeight="true" outlineLevel="0" collapsed="false">
      <c r="A2" s="80" t="s">
        <v>12</v>
      </c>
      <c r="B2" s="80" t="n">
        <v>1</v>
      </c>
      <c r="C2" s="80" t="n">
        <v>192.3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customFormat="false" ht="14.25" hidden="false" customHeight="true" outlineLevel="0" collapsed="false">
      <c r="A3" s="80" t="s">
        <v>29</v>
      </c>
      <c r="B3" s="80" t="n">
        <v>2</v>
      </c>
      <c r="C3" s="101" t="n">
        <v>128.21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customFormat="false" ht="14.25" hidden="false" customHeight="true" outlineLevel="0" collapsed="false">
      <c r="A4" s="80"/>
      <c r="K4" s="80"/>
      <c r="L4" s="80"/>
      <c r="M4" s="80"/>
      <c r="N4" s="80"/>
      <c r="O4" s="80"/>
    </row>
    <row r="5" customFormat="false" ht="14.25" hidden="false" customHeight="true" outlineLevel="0" collapsed="false">
      <c r="A5" s="80"/>
      <c r="B5" s="80"/>
      <c r="C5" s="80"/>
      <c r="D5" s="80"/>
      <c r="E5" s="80"/>
      <c r="F5" s="80"/>
      <c r="G5" s="80"/>
      <c r="H5" s="80"/>
      <c r="L5" s="80"/>
      <c r="M5" s="80"/>
      <c r="N5" s="80"/>
      <c r="O5" s="80"/>
    </row>
    <row r="6" customFormat="false" ht="14.25" hidden="false" customHeight="true" outlineLevel="0" collapsed="false">
      <c r="A6" s="80"/>
      <c r="B6" s="80"/>
      <c r="C6" s="80"/>
      <c r="D6" s="80"/>
      <c r="E6" s="80" t="s">
        <v>276</v>
      </c>
      <c r="F6" s="80"/>
      <c r="G6" s="80"/>
      <c r="H6" s="80"/>
      <c r="I6" s="80"/>
      <c r="K6" s="80"/>
      <c r="L6" s="80"/>
      <c r="M6" s="80"/>
      <c r="N6" s="80"/>
      <c r="O6" s="80"/>
    </row>
    <row r="7" customFormat="false" ht="14.25" hidden="false" customHeight="true" outlineLevel="0" collapsed="false">
      <c r="A7" s="80" t="s">
        <v>277</v>
      </c>
      <c r="B7" s="80" t="s">
        <v>278</v>
      </c>
      <c r="C7" s="80" t="s">
        <v>324</v>
      </c>
      <c r="D7" s="80" t="s">
        <v>325</v>
      </c>
      <c r="E7" s="80" t="s">
        <v>326</v>
      </c>
      <c r="F7" s="80" t="s">
        <v>327</v>
      </c>
      <c r="G7" s="80" t="s">
        <v>328</v>
      </c>
      <c r="H7" s="80"/>
      <c r="I7" s="80"/>
      <c r="K7" s="80"/>
      <c r="L7" s="80"/>
      <c r="M7" s="80"/>
      <c r="N7" s="80"/>
      <c r="O7" s="80"/>
    </row>
    <row r="8" customFormat="false" ht="14.25" hidden="false" customHeight="true" outlineLevel="0" collapsed="false">
      <c r="A8" s="80" t="n">
        <v>5</v>
      </c>
      <c r="B8" s="80" t="n">
        <f aca="false">IF(D8=0, 0, IF(D8=1, A8, (D8*A8*$C$2)/($C$3*(1-D8)+$C$2*D8)))</f>
        <v>0</v>
      </c>
      <c r="C8" s="80" t="n">
        <f aca="false">A8-B8</f>
        <v>5</v>
      </c>
      <c r="D8" s="80" t="n">
        <v>0</v>
      </c>
      <c r="E8" s="80"/>
      <c r="F8" s="80"/>
      <c r="G8" s="80" t="str">
        <f aca="false">IF(AND(E8=0,F8&gt;0),0,"")</f>
        <v/>
      </c>
      <c r="H8" s="80"/>
      <c r="I8" s="80"/>
      <c r="K8" s="80"/>
      <c r="L8" s="80"/>
      <c r="M8" s="80"/>
      <c r="N8" s="80"/>
      <c r="O8" s="80"/>
    </row>
    <row r="9" customFormat="false" ht="14.25" hidden="false" customHeight="true" outlineLevel="0" collapsed="false">
      <c r="A9" s="80" t="n">
        <v>5</v>
      </c>
      <c r="B9" s="80" t="n">
        <f aca="false">IF(D9=0, 0, IF(D9=1, A9, (D9*A9*$C$2)/($C$3*(1-D9)+$C$2*D9)))</f>
        <v>0.714237960466205</v>
      </c>
      <c r="C9" s="80" t="n">
        <f aca="false">A9-B9</f>
        <v>4.2857620395338</v>
      </c>
      <c r="D9" s="80" t="n">
        <v>0.1</v>
      </c>
      <c r="E9" s="80"/>
      <c r="F9" s="80"/>
      <c r="G9" s="80" t="str">
        <f aca="false">IFERROR((E9*purity_beta/MW_beta)/((E9*purity_beta/MW_beta)+(F9*purity_2octanone/MW_2octanone)),"")</f>
        <v/>
      </c>
      <c r="H9" s="80"/>
      <c r="I9" s="80"/>
      <c r="K9" s="80"/>
      <c r="L9" s="80"/>
      <c r="M9" s="80"/>
      <c r="N9" s="80"/>
      <c r="O9" s="80"/>
    </row>
    <row r="10" customFormat="false" ht="14.25" hidden="false" customHeight="true" outlineLevel="0" collapsed="false">
      <c r="A10" s="80" t="n">
        <v>5</v>
      </c>
      <c r="B10" s="80" t="n">
        <f aca="false">IF(D10=0, 0, IF(D10=1, A10, (D10*A10*$C$2)/($C$3*(1-D10)+$C$2*D10)))</f>
        <v>1.36355900955839</v>
      </c>
      <c r="C10" s="80" t="n">
        <f aca="false">A10-B10</f>
        <v>3.63644099044161</v>
      </c>
      <c r="D10" s="80" t="n">
        <v>0.2</v>
      </c>
      <c r="E10" s="80"/>
      <c r="F10" s="80"/>
      <c r="G10" s="80" t="str">
        <f aca="false">IFERROR((E10*purity_beta/MW_beta)/((E10*purity_beta/MW_beta)+(F10*purity_2octanone/MW_2octanone)),"")</f>
        <v/>
      </c>
      <c r="H10" s="80"/>
      <c r="I10" s="80"/>
      <c r="K10" s="80"/>
      <c r="L10" s="80"/>
      <c r="M10" s="80"/>
      <c r="N10" s="80"/>
      <c r="O10" s="80"/>
    </row>
    <row r="11" customFormat="false" ht="14.25" hidden="false" customHeight="true" outlineLevel="0" collapsed="false">
      <c r="A11" s="80" t="n">
        <v>5</v>
      </c>
      <c r="B11" s="80" t="n">
        <f aca="false">IF(D11=0, 0, IF(D11=1, A11, (D11*A11*$C$2)/($C$3*(1-D11)+$C$2*D11)))</f>
        <v>1.95642884757558</v>
      </c>
      <c r="C11" s="80" t="n">
        <f aca="false">A11-B11</f>
        <v>3.04357115242443</v>
      </c>
      <c r="D11" s="80" t="n">
        <v>0.3</v>
      </c>
      <c r="E11" s="80"/>
      <c r="F11" s="80"/>
      <c r="G11" s="80" t="str">
        <f aca="false">IFERROR((E11*purity_beta/MW_beta)/((E11*purity_beta/MW_beta)+(F11*purity_2octanone/MW_2octanone)),"")</f>
        <v/>
      </c>
      <c r="H11" s="80"/>
      <c r="I11" s="80"/>
      <c r="K11" s="80"/>
      <c r="L11" s="80"/>
      <c r="M11" s="80"/>
      <c r="N11" s="80"/>
      <c r="O11" s="80"/>
    </row>
    <row r="12" customFormat="false" ht="14.25" hidden="false" customHeight="true" outlineLevel="0" collapsed="false">
      <c r="A12" s="80" t="n">
        <v>5</v>
      </c>
      <c r="B12" s="80" t="n">
        <f aca="false">IF(D12=0, 0, IF(D12=1, A12, (D12*A12*$C$2)/($C$3*(1-D12)+$C$2*D12)))</f>
        <v>2.4999024999025</v>
      </c>
      <c r="C12" s="80" t="n">
        <f aca="false">A12-B12</f>
        <v>2.5000975000975</v>
      </c>
      <c r="D12" s="80" t="n">
        <v>0.4</v>
      </c>
      <c r="E12" s="80"/>
      <c r="F12" s="80"/>
      <c r="G12" s="80" t="str">
        <f aca="false">IFERROR((E12*purity_beta/MW_beta)/((E12*purity_beta/MW_beta)+(F12*purity_2octanone/MW_2octanone)),"")</f>
        <v/>
      </c>
      <c r="H12" s="80"/>
      <c r="I12" s="80"/>
      <c r="K12" s="80"/>
      <c r="L12" s="80"/>
      <c r="M12" s="80"/>
      <c r="N12" s="80"/>
      <c r="O12" s="80"/>
    </row>
    <row r="13" customFormat="false" ht="14.25" hidden="false" customHeight="true" outlineLevel="0" collapsed="false">
      <c r="A13" s="80" t="n">
        <v>5</v>
      </c>
      <c r="B13" s="80" t="n">
        <f aca="false">IF(D13=0, 0, IF(D13=1, A13, (D13*A13*$C$2)/($C$3*(1-D13)+$C$2*D13)))</f>
        <v>2.99990639917631</v>
      </c>
      <c r="C13" s="80" t="n">
        <f aca="false">A13-B13</f>
        <v>2.00009360082369</v>
      </c>
      <c r="D13" s="80" t="n">
        <v>0.5</v>
      </c>
      <c r="E13" s="80"/>
      <c r="F13" s="80"/>
      <c r="G13" s="80" t="str">
        <f aca="false">IFERROR((E13*purity_beta/MW_beta)/((E13*purity_beta/MW_beta)+(F13*purity_2octanone/MW_2octanone)),"")</f>
        <v/>
      </c>
      <c r="H13" s="80"/>
      <c r="I13" s="80"/>
      <c r="K13" s="80"/>
      <c r="L13" s="80"/>
      <c r="M13" s="80"/>
      <c r="N13" s="80"/>
      <c r="O13" s="80"/>
    </row>
    <row r="14" customFormat="false" ht="14.25" hidden="false" customHeight="true" outlineLevel="0" collapsed="false">
      <c r="A14" s="80" t="n">
        <v>5</v>
      </c>
      <c r="B14" s="80" t="n">
        <f aca="false">IF(D14=0, 0, IF(D14=1, A14, (D14*A14*$C$2)/($C$3*(1-D14)+$C$2*D14)))</f>
        <v>3.46145538328613</v>
      </c>
      <c r="C14" s="80" t="n">
        <f aca="false">A14-B14</f>
        <v>1.53854461671387</v>
      </c>
      <c r="D14" s="80" t="n">
        <v>0.6</v>
      </c>
      <c r="E14" s="80"/>
      <c r="F14" s="80"/>
      <c r="G14" s="80" t="str">
        <f aca="false">IFERROR((E14*purity_beta/MW_beta)/((E14*purity_beta/MW_beta)+(F14*purity_2octanone/MW_2octanone)),"")</f>
        <v/>
      </c>
      <c r="H14" s="80"/>
      <c r="I14" s="80"/>
      <c r="K14" s="80"/>
      <c r="L14" s="80"/>
      <c r="M14" s="80"/>
      <c r="N14" s="80"/>
      <c r="O14" s="80"/>
    </row>
    <row r="15" customFormat="false" ht="14.25" hidden="false" customHeight="true" outlineLevel="0" collapsed="false">
      <c r="A15" s="80" t="n">
        <v>5</v>
      </c>
      <c r="B15" s="80" t="n">
        <f aca="false">IF(D15=0, 0, IF(D15=1, A15, (D15*A15*$C$2)/($C$3*(1-D15)+$C$2*D15)))</f>
        <v>3.88882147995355</v>
      </c>
      <c r="C15" s="80" t="n">
        <f aca="false">A15-B15</f>
        <v>1.11117852004645</v>
      </c>
      <c r="D15" s="80" t="n">
        <v>0.7</v>
      </c>
      <c r="E15" s="80"/>
      <c r="F15" s="80"/>
      <c r="G15" s="80" t="str">
        <f aca="false">IFERROR((E15*purity_beta/MW_beta)/((E15*purity_beta/MW_beta)+(F15*purity_2octanone/MW_2octanone)),"")</f>
        <v/>
      </c>
      <c r="H15" s="80"/>
      <c r="I15" s="80"/>
      <c r="K15" s="80"/>
      <c r="L15" s="80"/>
      <c r="M15" s="80"/>
      <c r="N15" s="80"/>
      <c r="O15" s="80"/>
    </row>
    <row r="16" customFormat="false" ht="14.25" hidden="false" customHeight="true" outlineLevel="0" collapsed="false">
      <c r="A16" s="80" t="n">
        <v>5</v>
      </c>
      <c r="B16" s="80" t="n">
        <f aca="false">IF(D16=0, 0, IF(D16=1, A16, (D16*A16*$C$2)/($C$3*(1-D16)+$C$2*D16)))</f>
        <v>4.28566652923413</v>
      </c>
      <c r="C16" s="80" t="n">
        <f aca="false">A16-B16</f>
        <v>0.714333470765872</v>
      </c>
      <c r="D16" s="80" t="n">
        <v>0.8</v>
      </c>
      <c r="E16" s="80"/>
      <c r="F16" s="80"/>
      <c r="G16" s="80" t="str">
        <f aca="false">IFERROR((E16*purity_beta/MW_beta)/((E16*purity_beta/MW_beta)+(F16*purity_2octanone/MW_2octanone)),"")</f>
        <v/>
      </c>
      <c r="H16" s="80"/>
      <c r="I16" s="80"/>
      <c r="K16" s="80"/>
      <c r="L16" s="80"/>
      <c r="M16" s="80"/>
      <c r="N16" s="80"/>
      <c r="O16" s="80"/>
    </row>
    <row r="17" customFormat="false" ht="14.25" hidden="false" customHeight="true" outlineLevel="0" collapsed="false">
      <c r="A17" s="80" t="n">
        <v>5</v>
      </c>
      <c r="B17" s="80" t="n">
        <f aca="false">IF(D17=0, 0, IF(D17=1, A17, (D17*A17*$C$2)/($C$3*(1-D17)+$C$2*D17)))</f>
        <v>4.65514737130899</v>
      </c>
      <c r="C17" s="80" t="n">
        <f aca="false">A17-B17</f>
        <v>0.344852628691007</v>
      </c>
      <c r="D17" s="80" t="n">
        <v>0.9</v>
      </c>
      <c r="E17" s="80"/>
      <c r="F17" s="80"/>
      <c r="G17" s="80" t="str">
        <f aca="false">IFERROR((E17*purity_beta/MW_beta)/((E17*purity_beta/MW_beta)+(F17*purity_2octanone/MW_2octanone)),"")</f>
        <v/>
      </c>
      <c r="H17" s="80"/>
      <c r="I17" s="80"/>
      <c r="K17" s="80"/>
      <c r="L17" s="80"/>
      <c r="M17" s="80"/>
      <c r="N17" s="80"/>
      <c r="O17" s="80"/>
    </row>
    <row r="18" customFormat="false" ht="14.25" hidden="false" customHeight="true" outlineLevel="0" collapsed="false">
      <c r="A18" s="80" t="n">
        <v>5</v>
      </c>
      <c r="B18" s="80" t="n">
        <f aca="false">IF(D18=0, 0, IF(D18=1, A18, (D18*A18*$C$2)/($C$3*(1-D18)+$C$2*D18)))</f>
        <v>5</v>
      </c>
      <c r="C18" s="80" t="n">
        <f aca="false">A18-B18</f>
        <v>0</v>
      </c>
      <c r="D18" s="80" t="n">
        <v>1</v>
      </c>
      <c r="E18" s="80"/>
      <c r="F18" s="80"/>
      <c r="G18" s="80" t="str">
        <f aca="false">IF(AND(E18&gt;0,F18=0),1,IFERROR((E18/MW_beta)/((E18/MW_beta)+(F18/MW_2octanone)),""))</f>
        <v/>
      </c>
      <c r="H18" s="80"/>
      <c r="I18" s="80"/>
      <c r="J18" s="80"/>
      <c r="K18" s="80"/>
      <c r="L18" s="80"/>
      <c r="M18" s="80"/>
      <c r="N18" s="80"/>
      <c r="O18" s="80"/>
    </row>
    <row r="19" customFormat="false" ht="14.25" hidden="false" customHeight="true" outlineLevel="0" collapsed="false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customFormat="false" ht="14.25" hidden="false" customHeight="true" outlineLevel="0" collapsed="false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</row>
    <row r="21" customFormat="false" ht="14.25" hidden="false" customHeight="true" outlineLevel="0" collapsed="false">
      <c r="A21" s="80"/>
      <c r="B21" s="80" t="s">
        <v>212</v>
      </c>
      <c r="C21" s="80"/>
      <c r="D21" s="80"/>
      <c r="E21" s="80"/>
      <c r="G21" s="1" t="s">
        <v>284</v>
      </c>
      <c r="L21" s="80"/>
      <c r="M21" s="80"/>
      <c r="N21" s="80"/>
      <c r="O21" s="80"/>
    </row>
    <row r="22" customFormat="false" ht="14.25" hidden="false" customHeight="true" outlineLevel="0" collapsed="false">
      <c r="A22" s="80" t="s">
        <v>285</v>
      </c>
      <c r="B22" s="80" t="n">
        <v>20</v>
      </c>
      <c r="C22" s="80" t="n">
        <v>30</v>
      </c>
      <c r="D22" s="80" t="n">
        <v>40</v>
      </c>
      <c r="E22" s="80" t="n">
        <v>50</v>
      </c>
      <c r="F22" s="80" t="n">
        <v>60</v>
      </c>
      <c r="G22" s="80" t="n">
        <v>20</v>
      </c>
      <c r="H22" s="80" t="n">
        <v>30</v>
      </c>
      <c r="I22" s="80" t="n">
        <v>40</v>
      </c>
      <c r="J22" s="80" t="n">
        <v>50</v>
      </c>
      <c r="K22" s="80" t="n">
        <v>60</v>
      </c>
      <c r="L22" s="80"/>
      <c r="M22" s="80"/>
      <c r="N22" s="80"/>
      <c r="O22" s="80"/>
    </row>
    <row r="23" customFormat="false" ht="14.25" hidden="false" customHeight="true" outlineLevel="0" collapsed="false">
      <c r="A23" s="80" t="str">
        <f aca="false">G8</f>
        <v/>
      </c>
      <c r="B23" s="80" t="n">
        <f aca="false">densidad_viscosidad_puros!G55</f>
        <v>0.81906</v>
      </c>
      <c r="C23" s="80" t="n">
        <f aca="false">densidad_viscosidad_puros!G56</f>
        <v>0.81089</v>
      </c>
      <c r="D23" s="80" t="n">
        <f aca="false">densidad_viscosidad_puros!G57</f>
        <v>0.80264</v>
      </c>
      <c r="E23" s="80" t="n">
        <f aca="false">densidad_viscosidad_puros!G58</f>
        <v>0.79435</v>
      </c>
      <c r="F23" s="80" t="n">
        <f aca="false">densidad_viscosidad_puros!G59</f>
        <v>0.78598</v>
      </c>
      <c r="G23" s="80" t="str">
        <f aca="false">IFERROR((($A23*MW_beta)+((1-$A23)*MW_2octanone))/B23-(($A23*MW_beta/B$33)+((1-$A23)*MW_2octanone/B$23)),"")</f>
        <v/>
      </c>
      <c r="H23" s="80" t="str">
        <f aca="false">IFERROR((($A23*MW_beta)+((1-$A23)*MW_2octanone))/C23-(($A23*MW_beta/C$33)+((1-$A23)*MW_2octanone/C$23)),"")</f>
        <v/>
      </c>
      <c r="I23" s="80" t="str">
        <f aca="false">IFERROR((($A23*MW_beta)+((1-$A23)*MW_2octanone))/D23-(($A23*MW_beta/D$33)+((1-$A23)*MW_2octanone/D$23)),"")</f>
        <v/>
      </c>
      <c r="J23" s="80" t="str">
        <f aca="false">IFERROR((($A23*MW_beta)+((1-$A23)*MW_2octanone))/E23-(($A23*MW_beta/E$33)+((1-$A23)*MW_2octanone/E$23)),"")</f>
        <v/>
      </c>
      <c r="K23" s="80" t="str">
        <f aca="false">IFERROR((($A23*MW_beta)+((1-$A23)*MW_2octanone))/F23-(($A23*MW_beta/F$33)+((1-$A23)*MW_2octanone/F$23)),"")</f>
        <v/>
      </c>
      <c r="L23" s="80"/>
      <c r="M23" s="80"/>
      <c r="N23" s="80"/>
      <c r="O23" s="80"/>
    </row>
    <row r="24" customFormat="false" ht="14.25" hidden="false" customHeight="true" outlineLevel="0" collapsed="false">
      <c r="A24" s="80" t="str">
        <f aca="false">G9</f>
        <v/>
      </c>
      <c r="B24" s="80"/>
      <c r="C24" s="80"/>
      <c r="D24" s="80"/>
      <c r="E24" s="80"/>
      <c r="F24" s="80"/>
      <c r="G24" s="80" t="str">
        <f aca="false">IFERROR((($A24*MW_beta)+((1-$A24)*MW_2octanone))/B24-(($A24*MW_beta/B$33)+((1-$A24)*MW_2octanone/B$23)),"")</f>
        <v/>
      </c>
      <c r="H24" s="80" t="str">
        <f aca="false">IFERROR((($A24*MW_beta)+((1-$A24)*MW_2octanone))/C24-(($A24*MW_beta/C$33)+((1-$A24)*MW_2octanone/C$23)),"")</f>
        <v/>
      </c>
      <c r="I24" s="80" t="str">
        <f aca="false">IFERROR((($A24*MW_beta)+((1-$A24)*MW_2octanone))/D24-(($A24*MW_beta/D$33)+((1-$A24)*MW_2octanone/D$23)),"")</f>
        <v/>
      </c>
      <c r="J24" s="80" t="str">
        <f aca="false">IFERROR((($A24*MW_beta)+((1-$A24)*MW_2octanone))/E24-(($A24*MW_beta/E$33)+((1-$A24)*MW_2octanone/E$23)),"")</f>
        <v/>
      </c>
      <c r="K24" s="80" t="str">
        <f aca="false">IFERROR((($A24*MW_beta)+((1-$A24)*MW_2octanone))/F24-(($A24*MW_beta/F$33)+((1-$A24)*MW_2octanone/F$23)),"")</f>
        <v/>
      </c>
      <c r="L24" s="80"/>
      <c r="M24" s="80"/>
      <c r="N24" s="80"/>
      <c r="O24" s="80"/>
    </row>
    <row r="25" customFormat="false" ht="14.25" hidden="false" customHeight="true" outlineLevel="0" collapsed="false">
      <c r="A25" s="80" t="str">
        <f aca="false">G10</f>
        <v/>
      </c>
      <c r="B25" s="80"/>
      <c r="C25" s="80"/>
      <c r="D25" s="80"/>
      <c r="E25" s="80"/>
      <c r="F25" s="80"/>
      <c r="G25" s="80" t="str">
        <f aca="false">IFERROR((($A25*MW_beta)+((1-$A25)*MW_2octanone))/B25-(($A25*MW_beta/B$33)+((1-$A25)*MW_2octanone/B$23)),"")</f>
        <v/>
      </c>
      <c r="H25" s="80" t="str">
        <f aca="false">IFERROR((($A25*MW_beta)+((1-$A25)*MW_2octanone))/C25-(($A25*MW_beta/C$33)+((1-$A25)*MW_2octanone/C$23)),"")</f>
        <v/>
      </c>
      <c r="I25" s="80" t="str">
        <f aca="false">IFERROR((($A25*MW_beta)+((1-$A25)*MW_2octanone))/D25-(($A25*MW_beta/D$33)+((1-$A25)*MW_2octanone/D$23)),"")</f>
        <v/>
      </c>
      <c r="J25" s="80" t="str">
        <f aca="false">IFERROR((($A25*MW_beta)+((1-$A25)*MW_2octanone))/E25-(($A25*MW_beta/E$33)+((1-$A25)*MW_2octanone/E$23)),"")</f>
        <v/>
      </c>
      <c r="K25" s="80" t="str">
        <f aca="false">IFERROR((($A25*MW_beta)+((1-$A25)*MW_2octanone))/F25-(($A25*MW_beta/F$33)+((1-$A25)*MW_2octanone/F$23)),"")</f>
        <v/>
      </c>
      <c r="L25" s="80"/>
      <c r="M25" s="80"/>
      <c r="N25" s="80"/>
      <c r="O25" s="80"/>
    </row>
    <row r="26" customFormat="false" ht="14.25" hidden="false" customHeight="true" outlineLevel="0" collapsed="false">
      <c r="A26" s="80" t="str">
        <f aca="false">G11</f>
        <v/>
      </c>
      <c r="B26" s="80"/>
      <c r="C26" s="80"/>
      <c r="D26" s="80"/>
      <c r="E26" s="80"/>
      <c r="F26" s="80"/>
      <c r="G26" s="80" t="str">
        <f aca="false">IFERROR((($A26*MW_beta)+((1-$A26)*MW_2octanone))/B26-(($A26*MW_beta/B$33)+((1-$A26)*MW_2octanone/B$23)),"")</f>
        <v/>
      </c>
      <c r="H26" s="80" t="str">
        <f aca="false">IFERROR((($A26*MW_beta)+((1-$A26)*MW_2octanone))/C26-(($A26*MW_beta/C$33)+((1-$A26)*MW_2octanone/C$23)),"")</f>
        <v/>
      </c>
      <c r="I26" s="80" t="str">
        <f aca="false">IFERROR((($A26*MW_beta)+((1-$A26)*MW_2octanone))/D26-(($A26*MW_beta/D$33)+((1-$A26)*MW_2octanone/D$23)),"")</f>
        <v/>
      </c>
      <c r="J26" s="80" t="str">
        <f aca="false">IFERROR((($A26*MW_beta)+((1-$A26)*MW_2octanone))/E26-(($A26*MW_beta/E$33)+((1-$A26)*MW_2octanone/E$23)),"")</f>
        <v/>
      </c>
      <c r="K26" s="80" t="str">
        <f aca="false">IFERROR((($A26*MW_beta)+((1-$A26)*MW_2octanone))/F26-(($A26*MW_beta/F$33)+((1-$A26)*MW_2octanone/F$23)),"")</f>
        <v/>
      </c>
      <c r="L26" s="80"/>
      <c r="M26" s="80"/>
      <c r="N26" s="80"/>
      <c r="O26" s="80"/>
    </row>
    <row r="27" customFormat="false" ht="14.25" hidden="false" customHeight="true" outlineLevel="0" collapsed="false">
      <c r="A27" s="80" t="str">
        <f aca="false">G12</f>
        <v/>
      </c>
      <c r="B27" s="80"/>
      <c r="C27" s="80"/>
      <c r="D27" s="80"/>
      <c r="E27" s="80"/>
      <c r="F27" s="80"/>
      <c r="G27" s="80" t="str">
        <f aca="false">IFERROR((($A27*MW_beta)+((1-$A27)*MW_2octanone))/B27-(($A27*MW_beta/B$33)+((1-$A27)*MW_2octanone/B$23)),"")</f>
        <v/>
      </c>
      <c r="H27" s="80" t="str">
        <f aca="false">IFERROR((($A27*MW_beta)+((1-$A27)*MW_2octanone))/C27-(($A27*MW_beta/C$33)+((1-$A27)*MW_2octanone/C$23)),"")</f>
        <v/>
      </c>
      <c r="I27" s="80" t="str">
        <f aca="false">IFERROR((($A27*MW_beta)+((1-$A27)*MW_2octanone))/D27-(($A27*MW_beta/D$33)+((1-$A27)*MW_2octanone/D$23)),"")</f>
        <v/>
      </c>
      <c r="J27" s="80" t="str">
        <f aca="false">IFERROR((($A27*MW_beta)+((1-$A27)*MW_2octanone))/E27-(($A27*MW_beta/E$33)+((1-$A27)*MW_2octanone/E$23)),"")</f>
        <v/>
      </c>
      <c r="K27" s="80" t="str">
        <f aca="false">IFERROR((($A27*MW_beta)+((1-$A27)*MW_2octanone))/F27-(($A27*MW_beta/F$33)+((1-$A27)*MW_2octanone/F$23)),"")</f>
        <v/>
      </c>
      <c r="L27" s="80"/>
      <c r="M27" s="80"/>
      <c r="N27" s="80"/>
      <c r="O27" s="80"/>
    </row>
    <row r="28" customFormat="false" ht="14.25" hidden="false" customHeight="true" outlineLevel="0" collapsed="false">
      <c r="A28" s="80" t="str">
        <f aca="false">G13</f>
        <v/>
      </c>
      <c r="B28" s="80"/>
      <c r="C28" s="80"/>
      <c r="D28" s="80"/>
      <c r="E28" s="80"/>
      <c r="F28" s="80"/>
      <c r="G28" s="80" t="str">
        <f aca="false">IFERROR((($A28*MW_beta)+((1-$A28)*MW_2octanone))/B28-(($A28*MW_beta/B$33)+((1-$A28)*MW_2octanone/B$23)),"")</f>
        <v/>
      </c>
      <c r="H28" s="80" t="str">
        <f aca="false">IFERROR((($A28*MW_beta)+((1-$A28)*MW_2octanone))/C28-(($A28*MW_beta/C$33)+((1-$A28)*MW_2octanone/C$23)),"")</f>
        <v/>
      </c>
      <c r="I28" s="80" t="str">
        <f aca="false">IFERROR((($A28*MW_beta)+((1-$A28)*MW_2octanone))/D28-(($A28*MW_beta/D$33)+((1-$A28)*MW_2octanone/D$23)),"")</f>
        <v/>
      </c>
      <c r="J28" s="80" t="str">
        <f aca="false">IFERROR((($A28*MW_beta)+((1-$A28)*MW_2octanone))/E28-(($A28*MW_beta/E$33)+((1-$A28)*MW_2octanone/E$23)),"")</f>
        <v/>
      </c>
      <c r="K28" s="80" t="str">
        <f aca="false">IFERROR((($A28*MW_beta)+((1-$A28)*MW_2octanone))/F28-(($A28*MW_beta/F$33)+((1-$A28)*MW_2octanone/F$23)),"")</f>
        <v/>
      </c>
      <c r="L28" s="80"/>
      <c r="M28" s="80"/>
      <c r="N28" s="80"/>
      <c r="O28" s="80"/>
    </row>
    <row r="29" customFormat="false" ht="14.25" hidden="false" customHeight="true" outlineLevel="0" collapsed="false">
      <c r="A29" s="80" t="str">
        <f aca="false">G14</f>
        <v/>
      </c>
      <c r="B29" s="80"/>
      <c r="C29" s="80"/>
      <c r="D29" s="80"/>
      <c r="E29" s="80"/>
      <c r="F29" s="80"/>
      <c r="G29" s="80" t="str">
        <f aca="false">IFERROR((($A29*MW_beta)+((1-$A29)*MW_2octanone))/B29-(($A29*MW_beta/B$33)+((1-$A29)*MW_2octanone/B$23)),"")</f>
        <v/>
      </c>
      <c r="H29" s="80" t="str">
        <f aca="false">IFERROR((($A29*MW_beta)+((1-$A29)*MW_2octanone))/C29-(($A29*MW_beta/C$33)+((1-$A29)*MW_2octanone/C$23)),"")</f>
        <v/>
      </c>
      <c r="I29" s="80" t="str">
        <f aca="false">IFERROR((($A29*MW_beta)+((1-$A29)*MW_2octanone))/D29-(($A29*MW_beta/D$33)+((1-$A29)*MW_2octanone/D$23)),"")</f>
        <v/>
      </c>
      <c r="J29" s="80" t="str">
        <f aca="false">IFERROR((($A29*MW_beta)+((1-$A29)*MW_2octanone))/E29-(($A29*MW_beta/E$33)+((1-$A29)*MW_2octanone/E$23)),"")</f>
        <v/>
      </c>
      <c r="K29" s="80" t="str">
        <f aca="false">IFERROR((($A29*MW_beta)+((1-$A29)*MW_2octanone))/F29-(($A29*MW_beta/F$33)+((1-$A29)*MW_2octanone/F$23)),"")</f>
        <v/>
      </c>
      <c r="L29" s="80"/>
      <c r="M29" s="80"/>
      <c r="N29" s="80"/>
      <c r="O29" s="80"/>
    </row>
    <row r="30" customFormat="false" ht="14.25" hidden="false" customHeight="true" outlineLevel="0" collapsed="false">
      <c r="A30" s="80" t="str">
        <f aca="false">G15</f>
        <v/>
      </c>
      <c r="B30" s="80"/>
      <c r="C30" s="80"/>
      <c r="D30" s="80"/>
      <c r="E30" s="80"/>
      <c r="F30" s="80"/>
      <c r="G30" s="80" t="str">
        <f aca="false">IFERROR((($A30*MW_beta)+((1-$A30)*MW_2octanone))/B30-(($A30*MW_beta/B$33)+((1-$A30)*MW_2octanone/B$23)),"")</f>
        <v/>
      </c>
      <c r="H30" s="80" t="str">
        <f aca="false">IFERROR((($A30*MW_beta)+((1-$A30)*MW_2octanone))/C30-(($A30*MW_beta/C$33)+((1-$A30)*MW_2octanone/C$23)),"")</f>
        <v/>
      </c>
      <c r="I30" s="80" t="str">
        <f aca="false">IFERROR((($A30*MW_beta)+((1-$A30)*MW_2octanone))/D30-(($A30*MW_beta/D$33)+((1-$A30)*MW_2octanone/D$23)),"")</f>
        <v/>
      </c>
      <c r="J30" s="80" t="str">
        <f aca="false">IFERROR((($A30*MW_beta)+((1-$A30)*MW_2octanone))/E30-(($A30*MW_beta/E$33)+((1-$A30)*MW_2octanone/E$23)),"")</f>
        <v/>
      </c>
      <c r="K30" s="80" t="str">
        <f aca="false">IFERROR((($A30*MW_beta)+((1-$A30)*MW_2octanone))/F30-(($A30*MW_beta/F$33)+((1-$A30)*MW_2octanone/F$23)),"")</f>
        <v/>
      </c>
      <c r="L30" s="80"/>
      <c r="M30" s="80"/>
      <c r="N30" s="80"/>
      <c r="O30" s="80"/>
    </row>
    <row r="31" customFormat="false" ht="14.25" hidden="false" customHeight="true" outlineLevel="0" collapsed="false">
      <c r="A31" s="80" t="str">
        <f aca="false">G16</f>
        <v/>
      </c>
      <c r="B31" s="80"/>
      <c r="C31" s="80"/>
      <c r="D31" s="80"/>
      <c r="E31" s="80"/>
      <c r="F31" s="80"/>
      <c r="G31" s="80" t="str">
        <f aca="false">IFERROR((($A31*MW_beta)+((1-$A31)*MW_2octanone))/B31-(($A31*MW_beta/B$33)+((1-$A31)*MW_2octanone/B$23)),"")</f>
        <v/>
      </c>
      <c r="H31" s="80" t="str">
        <f aca="false">IFERROR((($A31*MW_beta)+((1-$A31)*MW_2octanone))/C31-(($A31*MW_beta/C$33)+((1-$A31)*MW_2octanone/C$23)),"")</f>
        <v/>
      </c>
      <c r="I31" s="80" t="str">
        <f aca="false">IFERROR((($A31*MW_beta)+((1-$A31)*MW_2octanone))/D31-(($A31*MW_beta/D$33)+((1-$A31)*MW_2octanone/D$23)),"")</f>
        <v/>
      </c>
      <c r="J31" s="80" t="str">
        <f aca="false">IFERROR((($A31*MW_beta)+((1-$A31)*MW_2octanone))/E31-(($A31*MW_beta/E$33)+((1-$A31)*MW_2octanone/E$23)),"")</f>
        <v/>
      </c>
      <c r="K31" s="80" t="str">
        <f aca="false">IFERROR((($A31*MW_beta)+((1-$A31)*MW_2octanone))/F31-(($A31*MW_beta/F$33)+((1-$A31)*MW_2octanone/F$23)),"")</f>
        <v/>
      </c>
      <c r="L31" s="80"/>
      <c r="M31" s="80"/>
      <c r="N31" s="80"/>
      <c r="O31" s="80"/>
    </row>
    <row r="32" customFormat="false" ht="14.25" hidden="false" customHeight="true" outlineLevel="0" collapsed="false">
      <c r="A32" s="80" t="str">
        <f aca="false">G17</f>
        <v/>
      </c>
      <c r="B32" s="80"/>
      <c r="C32" s="80"/>
      <c r="D32" s="80"/>
      <c r="E32" s="80"/>
      <c r="F32" s="80"/>
      <c r="G32" s="80" t="str">
        <f aca="false">IFERROR((($A32*MW_beta)+((1-$A32)*MW_2octanone))/B32-(($A32*MW_beta/B$33)+((1-$A32)*MW_2octanone/B$23)),"")</f>
        <v/>
      </c>
      <c r="H32" s="80" t="str">
        <f aca="false">IFERROR((($A32*MW_beta)+((1-$A32)*MW_2octanone))/C32-(($A32*MW_beta/C$33)+((1-$A32)*MW_2octanone/C$23)),"")</f>
        <v/>
      </c>
      <c r="I32" s="80" t="str">
        <f aca="false">IFERROR((($A32*MW_beta)+((1-$A32)*MW_2octanone))/D32-(($A32*MW_beta/D$33)+((1-$A32)*MW_2octanone/D$23)),"")</f>
        <v/>
      </c>
      <c r="J32" s="80" t="str">
        <f aca="false">IFERROR((($A32*MW_beta)+((1-$A32)*MW_2octanone))/E32-(($A32*MW_beta/E$33)+((1-$A32)*MW_2octanone/E$23)),"")</f>
        <v/>
      </c>
      <c r="K32" s="80" t="str">
        <f aca="false">IFERROR((($A32*MW_beta)+((1-$A32)*MW_2octanone))/F32-(($A32*MW_beta/F$33)+((1-$A32)*MW_2octanone/F$23)),"")</f>
        <v/>
      </c>
      <c r="L32" s="80"/>
      <c r="M32" s="80"/>
      <c r="N32" s="80"/>
      <c r="O32" s="80"/>
    </row>
    <row r="33" customFormat="false" ht="14.25" hidden="false" customHeight="true" outlineLevel="0" collapsed="false">
      <c r="A33" s="80" t="str">
        <f aca="false">G18</f>
        <v/>
      </c>
      <c r="B33" s="80" t="n">
        <f aca="false">densidad_viscosidad_puros!G65</f>
        <v>0.94498</v>
      </c>
      <c r="C33" s="80" t="n">
        <f aca="false">densidad_viscosidad_puros!G66</f>
        <v>0.93726</v>
      </c>
      <c r="D33" s="80" t="n">
        <f aca="false">densidad_viscosidad_puros!G67</f>
        <v>0.9295</v>
      </c>
      <c r="E33" s="80" t="n">
        <f aca="false">densidad_viscosidad_puros!G68</f>
        <v>0.92172</v>
      </c>
      <c r="F33" s="80" t="n">
        <f aca="false">densidad_viscosidad_puros!G69</f>
        <v>0.91396</v>
      </c>
      <c r="G33" s="80" t="str">
        <f aca="false">IFERROR((($A33*MW_beta)+((1-$A33)*MW_2octanone))/B33-(($A33*MW_beta/B$33)+((1-$A33)*MW_2octanone/B$23)),"")</f>
        <v/>
      </c>
      <c r="H33" s="80" t="str">
        <f aca="false">IFERROR((($A33*MW_beta)+((1-$A33)*MW_2octanone))/C33-(($A33*MW_beta/C$33)+((1-$A33)*MW_2octanone/C$23)),"")</f>
        <v/>
      </c>
      <c r="I33" s="80" t="str">
        <f aca="false">IFERROR((($A33*MW_beta)+((1-$A33)*MW_2octanone))/D33-(($A33*MW_beta/D$33)+((1-$A33)*MW_2octanone/D$23)),"")</f>
        <v/>
      </c>
      <c r="J33" s="80" t="str">
        <f aca="false">IFERROR((($A33*MW_beta)+((1-$A33)*MW_2octanone))/E33-(($A33*MW_beta/E$33)+((1-$A33)*MW_2octanone/E$23)),"")</f>
        <v/>
      </c>
      <c r="K33" s="80" t="str">
        <f aca="false">IFERROR((($A33*MW_beta)+((1-$A33)*MW_2octanone))/F33-(($A33*MW_beta/F$33)+((1-$A33)*MW_2octanone/F$23)),"")</f>
        <v/>
      </c>
      <c r="L33" s="80"/>
      <c r="M33" s="80"/>
      <c r="N33" s="80"/>
      <c r="O33" s="80"/>
    </row>
    <row r="34" customFormat="false" ht="14.25" hidden="false" customHeight="true" outlineLevel="0" collapsed="false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</row>
    <row r="35" customFormat="false" ht="14.25" hidden="false" customHeight="true" outlineLevel="0" collapsed="false">
      <c r="A35" s="80"/>
      <c r="B35" s="80" t="s">
        <v>214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</row>
    <row r="36" customFormat="false" ht="14.25" hidden="false" customHeight="true" outlineLevel="0" collapsed="false">
      <c r="A36" s="80" t="s">
        <v>285</v>
      </c>
      <c r="B36" s="80" t="n">
        <v>20</v>
      </c>
      <c r="C36" s="80" t="n">
        <v>30</v>
      </c>
      <c r="D36" s="80" t="n">
        <v>40</v>
      </c>
      <c r="E36" s="80" t="n">
        <v>50</v>
      </c>
      <c r="F36" s="80" t="n">
        <v>60</v>
      </c>
      <c r="G36" s="80"/>
      <c r="H36" s="80"/>
      <c r="I36" s="80"/>
      <c r="J36" s="80"/>
      <c r="K36" s="80"/>
      <c r="L36" s="80"/>
      <c r="M36" s="80"/>
      <c r="N36" s="80"/>
      <c r="O36" s="80"/>
    </row>
    <row r="37" customFormat="false" ht="14.25" hidden="false" customHeight="true" outlineLevel="0" collapsed="false">
      <c r="A37" s="80" t="str">
        <f aca="false">G8</f>
        <v/>
      </c>
      <c r="B37" s="80" t="n">
        <f aca="false">densidad_viscosidad_puros!I55</f>
        <v>1.01</v>
      </c>
      <c r="C37" s="80" t="n">
        <f aca="false">densidad_viscosidad_puros!I56</f>
        <v>0.869</v>
      </c>
      <c r="D37" s="80" t="n">
        <f aca="false">densidad_viscosidad_puros!I57</f>
        <v>0.758</v>
      </c>
      <c r="E37" s="80" t="n">
        <f aca="false">densidad_viscosidad_puros!I58</f>
        <v>0.668</v>
      </c>
      <c r="F37" s="80" t="n">
        <f aca="false">densidad_viscosidad_puros!I59</f>
        <v>0.595</v>
      </c>
      <c r="G37" s="80"/>
      <c r="H37" s="80"/>
      <c r="I37" s="80"/>
      <c r="J37" s="80"/>
      <c r="K37" s="80"/>
      <c r="L37" s="80"/>
      <c r="M37" s="80"/>
      <c r="N37" s="80"/>
      <c r="O37" s="80"/>
    </row>
    <row r="38" customFormat="false" ht="14.25" hidden="false" customHeight="true" outlineLevel="0" collapsed="false">
      <c r="A38" s="80" t="str">
        <f aca="false">G9</f>
        <v/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</row>
    <row r="39" customFormat="false" ht="14.25" hidden="false" customHeight="true" outlineLevel="0" collapsed="false">
      <c r="A39" s="80" t="str">
        <f aca="false">G10</f>
        <v/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</row>
    <row r="40" customFormat="false" ht="14.25" hidden="false" customHeight="true" outlineLevel="0" collapsed="false">
      <c r="A40" s="80" t="str">
        <f aca="false">G11</f>
        <v/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</row>
    <row r="41" customFormat="false" ht="14.25" hidden="false" customHeight="true" outlineLevel="0" collapsed="false">
      <c r="A41" s="80" t="str">
        <f aca="false">G12</f>
        <v/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</row>
    <row r="42" customFormat="false" ht="14.25" hidden="false" customHeight="true" outlineLevel="0" collapsed="false">
      <c r="A42" s="80" t="str">
        <f aca="false">G13</f>
        <v/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</row>
    <row r="43" customFormat="false" ht="14.25" hidden="false" customHeight="true" outlineLevel="0" collapsed="false">
      <c r="A43" s="80" t="str">
        <f aca="false">G14</f>
        <v/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</row>
    <row r="44" customFormat="false" ht="14.25" hidden="false" customHeight="true" outlineLevel="0" collapsed="false">
      <c r="A44" s="80" t="str">
        <f aca="false">G15</f>
        <v/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</row>
    <row r="45" customFormat="false" ht="14.25" hidden="false" customHeight="true" outlineLevel="0" collapsed="false">
      <c r="A45" s="80" t="str">
        <f aca="false">G16</f>
        <v/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</row>
    <row r="46" customFormat="false" ht="14.25" hidden="false" customHeight="true" outlineLevel="0" collapsed="false">
      <c r="A46" s="80" t="str">
        <f aca="false">G17</f>
        <v/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</row>
    <row r="47" customFormat="false" ht="14.25" hidden="false" customHeight="true" outlineLevel="0" collapsed="false">
      <c r="A47" s="80" t="str">
        <f aca="false">G18</f>
        <v/>
      </c>
      <c r="B47" s="80" t="n">
        <f aca="false">densidad_viscosidad_puros!I65</f>
        <v>11.31</v>
      </c>
      <c r="C47" s="80" t="n">
        <f aca="false">densidad_viscosidad_puros!I66</f>
        <v>7.323</v>
      </c>
      <c r="D47" s="80" t="n">
        <f aca="false">densidad_viscosidad_puros!I67</f>
        <v>5.121</v>
      </c>
      <c r="E47" s="80" t="n">
        <f aca="false">densidad_viscosidad_puros!I68</f>
        <v>3.792</v>
      </c>
      <c r="F47" s="80" t="n">
        <f aca="false">densidad_viscosidad_puros!I69</f>
        <v>2.938</v>
      </c>
      <c r="G47" s="80"/>
      <c r="H47" s="80"/>
      <c r="I47" s="80"/>
      <c r="J47" s="80"/>
      <c r="K47" s="80"/>
      <c r="L47" s="80"/>
      <c r="M47" s="80"/>
      <c r="N47" s="80"/>
      <c r="O47" s="80"/>
    </row>
    <row r="48" customFormat="false" ht="14.25" hidden="false" customHeight="true" outlineLevel="0" collapsed="false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</row>
    <row r="49" customFormat="false" ht="14.25" hidden="false" customHeight="true" outlineLevel="0" collapsed="false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</row>
    <row r="50" customFormat="false" ht="14.25" hidden="false" customHeight="true" outlineLevel="0" collapsed="false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</row>
    <row r="51" customFormat="false" ht="14.25" hidden="false" customHeight="true" outlineLevel="0" collapsed="false">
      <c r="A51" s="80"/>
      <c r="B51" s="80"/>
      <c r="C51" s="102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</row>
    <row r="52" customFormat="false" ht="14.25" hidden="false" customHeight="true" outlineLevel="0" collapsed="false">
      <c r="A52" s="80"/>
      <c r="B52" s="80"/>
      <c r="C52" s="102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</row>
    <row r="53" customFormat="false" ht="14.25" hidden="false" customHeight="true" outlineLevel="0" collapsed="false">
      <c r="A53" s="80"/>
      <c r="B53" s="80"/>
      <c r="C53" s="102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</row>
    <row r="54" customFormat="false" ht="14.25" hidden="false" customHeight="true" outlineLevel="0" collapsed="false">
      <c r="A54" s="80"/>
      <c r="B54" s="80"/>
      <c r="C54" s="102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</row>
    <row r="55" customFormat="false" ht="14.25" hidden="false" customHeight="true" outlineLevel="0" collapsed="false">
      <c r="A55" s="80"/>
      <c r="B55" s="80"/>
      <c r="C55" s="102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</row>
    <row r="56" customFormat="false" ht="14.25" hidden="false" customHeight="true" outlineLevel="0" collapsed="false">
      <c r="A56" s="80"/>
      <c r="B56" s="80"/>
      <c r="C56" s="102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</row>
    <row r="57" customFormat="false" ht="14.25" hidden="false" customHeight="true" outlineLevel="0" collapsed="false">
      <c r="A57" s="80"/>
      <c r="B57" s="80"/>
      <c r="C57" s="102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</row>
    <row r="58" customFormat="false" ht="14.25" hidden="false" customHeight="true" outlineLevel="0" collapsed="false">
      <c r="A58" s="80"/>
      <c r="B58" s="80"/>
      <c r="C58" s="102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</row>
    <row r="59" customFormat="false" ht="14.25" hidden="false" customHeight="true" outlineLevel="0" collapsed="false">
      <c r="A59" s="80"/>
      <c r="B59" s="80"/>
      <c r="C59" s="102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</row>
    <row r="60" customFormat="false" ht="14.25" hidden="false" customHeight="true" outlineLevel="0" collapsed="false">
      <c r="A60" s="80"/>
      <c r="B60" s="80"/>
      <c r="C60" s="102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</row>
    <row r="61" customFormat="false" ht="14.25" hidden="false" customHeight="true" outlineLevel="0" collapsed="false">
      <c r="A61" s="80"/>
      <c r="B61" s="80"/>
      <c r="C61" s="102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</row>
    <row r="62" customFormat="false" ht="14.25" hidden="false" customHeight="true" outlineLevel="0" collapsed="false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</row>
    <row r="63" customFormat="false" ht="14.25" hidden="false" customHeight="true" outlineLevel="0" collapsed="false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</row>
    <row r="64" customFormat="false" ht="14.25" hidden="false" customHeight="true" outlineLevel="0" collapsed="false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</row>
    <row r="65" customFormat="false" ht="14.25" hidden="false" customHeight="true" outlineLevel="0" collapsed="false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</row>
    <row r="66" customFormat="false" ht="14.25" hidden="false" customHeight="true" outlineLevel="0" collapsed="false">
      <c r="A66" s="80"/>
      <c r="B66" s="80"/>
      <c r="C66" s="102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</row>
    <row r="67" customFormat="false" ht="14.25" hidden="false" customHeight="true" outlineLevel="0" collapsed="false">
      <c r="A67" s="80"/>
      <c r="B67" s="80"/>
      <c r="C67" s="102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</row>
    <row r="68" customFormat="false" ht="14.25" hidden="false" customHeight="true" outlineLevel="0" collapsed="false">
      <c r="A68" s="80"/>
      <c r="B68" s="80"/>
      <c r="C68" s="102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</row>
    <row r="69" customFormat="false" ht="14.25" hidden="false" customHeight="true" outlineLevel="0" collapsed="false">
      <c r="A69" s="80"/>
      <c r="B69" s="80"/>
      <c r="C69" s="102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</row>
    <row r="70" customFormat="false" ht="14.25" hidden="false" customHeight="true" outlineLevel="0" collapsed="false">
      <c r="A70" s="80"/>
      <c r="B70" s="80"/>
      <c r="C70" s="102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</row>
    <row r="71" customFormat="false" ht="14.25" hidden="false" customHeight="true" outlineLevel="0" collapsed="false">
      <c r="A71" s="80"/>
      <c r="B71" s="80"/>
      <c r="C71" s="102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</row>
    <row r="72" customFormat="false" ht="14.25" hidden="false" customHeight="true" outlineLevel="0" collapsed="false">
      <c r="A72" s="80"/>
      <c r="B72" s="80"/>
      <c r="C72" s="102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</row>
    <row r="73" customFormat="false" ht="14.25" hidden="false" customHeight="true" outlineLevel="0" collapsed="false">
      <c r="A73" s="80"/>
      <c r="B73" s="80"/>
      <c r="C73" s="102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</row>
    <row r="74" customFormat="false" ht="14.25" hidden="false" customHeight="true" outlineLevel="0" collapsed="false">
      <c r="A74" s="80"/>
      <c r="B74" s="80"/>
      <c r="C74" s="102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</row>
    <row r="75" customFormat="false" ht="14.25" hidden="false" customHeight="true" outlineLevel="0" collapsed="false">
      <c r="A75" s="80"/>
      <c r="B75" s="80"/>
      <c r="C75" s="102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</row>
    <row r="76" customFormat="false" ht="14.25" hidden="false" customHeight="true" outlineLevel="0" collapsed="false">
      <c r="A76" s="80"/>
      <c r="B76" s="80"/>
      <c r="C76" s="102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</row>
    <row r="77" customFormat="false" ht="14.25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</row>
    <row r="78" customFormat="false" ht="14.25" hidden="false" customHeight="true" outlineLevel="0" collapsed="false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</row>
    <row r="79" customFormat="false" ht="14.25" hidden="false" customHeight="true" outlineLevel="0" collapsed="false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</row>
    <row r="80" customFormat="false" ht="14.25" hidden="false" customHeight="true" outlineLevel="0" collapsed="false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</row>
    <row r="81" customFormat="false" ht="14.25" hidden="false" customHeight="true" outlineLevel="0" collapsed="false">
      <c r="A81" s="80"/>
      <c r="B81" s="80"/>
      <c r="C81" s="102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</row>
    <row r="82" customFormat="false" ht="14.25" hidden="false" customHeight="true" outlineLevel="0" collapsed="false">
      <c r="A82" s="80"/>
      <c r="B82" s="80"/>
      <c r="C82" s="102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</row>
    <row r="83" customFormat="false" ht="14.25" hidden="false" customHeight="true" outlineLevel="0" collapsed="false">
      <c r="A83" s="80"/>
      <c r="B83" s="80"/>
      <c r="C83" s="102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</row>
    <row r="84" customFormat="false" ht="14.25" hidden="false" customHeight="true" outlineLevel="0" collapsed="false">
      <c r="A84" s="80"/>
      <c r="B84" s="80"/>
      <c r="C84" s="102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</row>
    <row r="85" customFormat="false" ht="14.25" hidden="false" customHeight="true" outlineLevel="0" collapsed="false">
      <c r="A85" s="80"/>
      <c r="B85" s="80"/>
      <c r="C85" s="102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</row>
    <row r="86" customFormat="false" ht="14.25" hidden="false" customHeight="true" outlineLevel="0" collapsed="false">
      <c r="A86" s="80"/>
      <c r="B86" s="80"/>
      <c r="C86" s="102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</row>
    <row r="87" customFormat="false" ht="14.25" hidden="false" customHeight="true" outlineLevel="0" collapsed="false">
      <c r="A87" s="80"/>
      <c r="B87" s="80"/>
      <c r="C87" s="102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</row>
    <row r="88" customFormat="false" ht="14.25" hidden="false" customHeight="true" outlineLevel="0" collapsed="false">
      <c r="A88" s="80"/>
      <c r="B88" s="80"/>
      <c r="C88" s="102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</row>
    <row r="89" customFormat="false" ht="14.25" hidden="false" customHeight="true" outlineLevel="0" collapsed="false">
      <c r="A89" s="80"/>
      <c r="B89" s="80"/>
      <c r="C89" s="102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</row>
    <row r="90" customFormat="false" ht="14.25" hidden="false" customHeight="true" outlineLevel="0" collapsed="false">
      <c r="A90" s="80"/>
      <c r="B90" s="80"/>
      <c r="C90" s="102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</row>
    <row r="91" customFormat="false" ht="14.25" hidden="false" customHeight="true" outlineLevel="0" collapsed="false">
      <c r="A91" s="80"/>
      <c r="B91" s="80"/>
      <c r="C91" s="102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F66" activeCellId="1" sqref="B39:F39 F66"/>
    </sheetView>
  </sheetViews>
  <sheetFormatPr defaultColWidth="8.54296875" defaultRowHeight="14.25" customHeight="false" zeroHeight="false" outlineLevelRow="0" outlineLevelCol="0"/>
  <sheetData>
    <row r="1" customFormat="false" ht="14.25" hidden="false" customHeight="true" outlineLevel="0" collapsed="false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customFormat="false" ht="15.75" hidden="false" customHeight="true" outlineLevel="0" collapsed="false">
      <c r="A2" s="103" t="s">
        <v>237</v>
      </c>
      <c r="B2" s="103"/>
      <c r="C2" s="103"/>
      <c r="D2" s="93"/>
      <c r="E2" s="93"/>
      <c r="F2" s="93"/>
      <c r="G2" s="93"/>
      <c r="H2" s="93"/>
      <c r="I2" s="93"/>
      <c r="J2" s="93"/>
      <c r="K2" s="93"/>
      <c r="L2" s="93"/>
    </row>
    <row r="3" customFormat="false" ht="14.25" hidden="false" customHeight="true" outlineLevel="0" collapsed="false">
      <c r="A3" s="94" t="s">
        <v>329</v>
      </c>
      <c r="B3" s="94" t="s">
        <v>330</v>
      </c>
      <c r="C3" s="94" t="s">
        <v>331</v>
      </c>
      <c r="D3" s="94" t="s">
        <v>332</v>
      </c>
      <c r="E3" s="93"/>
      <c r="F3" s="94" t="s">
        <v>212</v>
      </c>
      <c r="G3" s="94" t="s">
        <v>333</v>
      </c>
      <c r="H3" s="94" t="s">
        <v>334</v>
      </c>
      <c r="I3" s="94" t="s">
        <v>335</v>
      </c>
      <c r="J3" s="94" t="s">
        <v>336</v>
      </c>
      <c r="K3" s="94" t="s">
        <v>337</v>
      </c>
      <c r="L3" s="93"/>
    </row>
    <row r="4" customFormat="false" ht="14.25" hidden="false" customHeight="true" outlineLevel="0" collapsed="false">
      <c r="A4" s="93"/>
      <c r="B4" s="93"/>
      <c r="C4" s="93"/>
      <c r="D4" s="94" t="s">
        <v>102</v>
      </c>
      <c r="E4" s="93"/>
      <c r="F4" s="94" t="s">
        <v>93</v>
      </c>
      <c r="G4" s="94" t="s">
        <v>92</v>
      </c>
      <c r="H4" s="94" t="s">
        <v>94</v>
      </c>
      <c r="I4" s="94" t="s">
        <v>286</v>
      </c>
      <c r="J4" s="94" t="s">
        <v>92</v>
      </c>
      <c r="K4" s="94" t="s">
        <v>287</v>
      </c>
      <c r="L4" s="93"/>
    </row>
    <row r="5" customFormat="false" ht="14.25" hidden="false" customHeight="true" outlineLevel="0" collapsed="false">
      <c r="A5" s="93" t="n">
        <v>235</v>
      </c>
      <c r="B5" s="93" t="s">
        <v>338</v>
      </c>
      <c r="C5" s="96" t="n">
        <v>0.536435185185185</v>
      </c>
      <c r="D5" s="93" t="s">
        <v>339</v>
      </c>
      <c r="E5" s="93"/>
      <c r="F5" s="93" t="s">
        <v>289</v>
      </c>
      <c r="G5" s="93" t="s">
        <v>289</v>
      </c>
      <c r="H5" s="93" t="s">
        <v>289</v>
      </c>
      <c r="I5" s="93" t="s">
        <v>289</v>
      </c>
      <c r="J5" s="93" t="s">
        <v>289</v>
      </c>
      <c r="K5" s="93" t="s">
        <v>289</v>
      </c>
      <c r="L5" s="93"/>
    </row>
    <row r="6" customFormat="false" ht="14.25" hidden="false" customHeight="true" outlineLevel="0" collapsed="false">
      <c r="A6" s="93" t="n">
        <v>236</v>
      </c>
      <c r="B6" s="93" t="s">
        <v>338</v>
      </c>
      <c r="C6" s="96" t="n">
        <v>0.509293981481482</v>
      </c>
      <c r="D6" s="93" t="s">
        <v>339</v>
      </c>
      <c r="E6" s="93"/>
      <c r="F6" s="93" t="n">
        <v>0.8404</v>
      </c>
      <c r="G6" s="93" t="n">
        <v>20</v>
      </c>
      <c r="H6" s="93" t="n">
        <v>9.21</v>
      </c>
      <c r="I6" s="93" t="n">
        <v>10.96</v>
      </c>
      <c r="J6" s="93" t="n">
        <v>19.99</v>
      </c>
      <c r="K6" s="93" t="n">
        <v>0.15</v>
      </c>
      <c r="L6" s="93"/>
    </row>
    <row r="7" customFormat="false" ht="14.25" hidden="false" customHeight="true" outlineLevel="0" collapsed="false">
      <c r="A7" s="93" t="n">
        <v>237</v>
      </c>
      <c r="B7" s="93" t="s">
        <v>338</v>
      </c>
      <c r="C7" s="96" t="n">
        <v>0.515277777777778</v>
      </c>
      <c r="D7" s="93" t="s">
        <v>339</v>
      </c>
      <c r="E7" s="93"/>
      <c r="F7" s="93" t="n">
        <v>0.8334</v>
      </c>
      <c r="G7" s="93" t="n">
        <v>30.01</v>
      </c>
      <c r="H7" s="93" t="n">
        <v>6.216</v>
      </c>
      <c r="I7" s="93" t="n">
        <v>7.459</v>
      </c>
      <c r="J7" s="93" t="n">
        <v>30</v>
      </c>
      <c r="K7" s="93" t="n">
        <v>0.08</v>
      </c>
      <c r="L7" s="93"/>
    </row>
    <row r="8" customFormat="false" ht="14.25" hidden="false" customHeight="true" outlineLevel="0" collapsed="false">
      <c r="A8" s="93" t="n">
        <v>238</v>
      </c>
      <c r="B8" s="93" t="s">
        <v>338</v>
      </c>
      <c r="C8" s="96" t="n">
        <v>0.522777777777778</v>
      </c>
      <c r="D8" s="93" t="s">
        <v>339</v>
      </c>
      <c r="E8" s="93"/>
      <c r="F8" s="93" t="n">
        <v>0.8264</v>
      </c>
      <c r="G8" s="93" t="n">
        <v>40.01</v>
      </c>
      <c r="H8" s="93" t="n">
        <v>4.548</v>
      </c>
      <c r="I8" s="93" t="n">
        <v>5.503</v>
      </c>
      <c r="J8" s="93" t="n">
        <v>39.99</v>
      </c>
      <c r="K8" s="93" t="n">
        <v>0.74</v>
      </c>
      <c r="L8" s="93"/>
    </row>
    <row r="9" customFormat="false" ht="14.25" hidden="false" customHeight="true" outlineLevel="0" collapsed="false">
      <c r="A9" s="93" t="n">
        <v>239</v>
      </c>
      <c r="B9" s="93" t="s">
        <v>338</v>
      </c>
      <c r="C9" s="96" t="n">
        <v>0.527118055555556</v>
      </c>
      <c r="D9" s="93" t="s">
        <v>339</v>
      </c>
      <c r="E9" s="93"/>
      <c r="F9" s="93" t="n">
        <v>0.8192</v>
      </c>
      <c r="G9" s="93" t="n">
        <v>50.01</v>
      </c>
      <c r="H9" s="93" t="n">
        <v>3.373</v>
      </c>
      <c r="I9" s="93" t="n">
        <v>4.117</v>
      </c>
      <c r="J9" s="93" t="n">
        <v>49.96</v>
      </c>
      <c r="K9" s="93" t="n">
        <v>0.07</v>
      </c>
      <c r="L9" s="93"/>
    </row>
    <row r="10" customFormat="false" ht="14.25" hidden="false" customHeight="true" outlineLevel="0" collapsed="false">
      <c r="A10" s="93" t="n">
        <v>240</v>
      </c>
      <c r="B10" s="93" t="s">
        <v>338</v>
      </c>
      <c r="C10" s="96" t="n">
        <v>0.536412037037037</v>
      </c>
      <c r="D10" s="93" t="s">
        <v>339</v>
      </c>
      <c r="E10" s="93"/>
      <c r="F10" s="93" t="n">
        <v>0.8119</v>
      </c>
      <c r="G10" s="93" t="n">
        <v>60.01</v>
      </c>
      <c r="H10" s="93" t="n">
        <v>2.585</v>
      </c>
      <c r="I10" s="93" t="n">
        <v>3.184</v>
      </c>
      <c r="J10" s="93" t="n">
        <v>59.97</v>
      </c>
      <c r="K10" s="93" t="n">
        <v>0.05</v>
      </c>
      <c r="L10" s="93"/>
    </row>
    <row r="11" customFormat="false" ht="14.25" hidden="false" customHeight="true" outlineLevel="0" collapsed="false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</row>
    <row r="12" customFormat="false" ht="14.25" hidden="false" customHeight="true" outlineLevel="0" collapsed="false">
      <c r="A12" s="93" t="n">
        <v>242</v>
      </c>
      <c r="B12" s="93" t="s">
        <v>338</v>
      </c>
      <c r="C12" s="96" t="n">
        <v>0.550127314814815</v>
      </c>
      <c r="D12" s="93" t="s">
        <v>340</v>
      </c>
      <c r="E12" s="93"/>
      <c r="F12" s="93" t="n">
        <v>0.8559</v>
      </c>
      <c r="G12" s="93" t="n">
        <v>19.98</v>
      </c>
      <c r="H12" s="93" t="n">
        <v>9.121</v>
      </c>
      <c r="I12" s="93" t="n">
        <v>10.66</v>
      </c>
      <c r="J12" s="93" t="n">
        <v>20.03</v>
      </c>
      <c r="K12" s="93" t="n">
        <v>0.04</v>
      </c>
      <c r="L12" s="93"/>
    </row>
    <row r="13" customFormat="false" ht="14.25" hidden="false" customHeight="true" outlineLevel="0" collapsed="false">
      <c r="A13" s="93" t="n">
        <v>243</v>
      </c>
      <c r="B13" s="93" t="s">
        <v>338</v>
      </c>
      <c r="C13" s="96" t="n">
        <v>0.557523148148148</v>
      </c>
      <c r="D13" s="93" t="s">
        <v>340</v>
      </c>
      <c r="E13" s="93"/>
      <c r="F13" s="93" t="n">
        <v>0.8489</v>
      </c>
      <c r="G13" s="93" t="n">
        <v>30.01</v>
      </c>
      <c r="H13" s="93" t="n">
        <v>6.348</v>
      </c>
      <c r="I13" s="93" t="n">
        <v>7.478</v>
      </c>
      <c r="J13" s="93" t="n">
        <v>29.99</v>
      </c>
      <c r="K13" s="93" t="n">
        <v>0.02</v>
      </c>
      <c r="L13" s="93"/>
    </row>
    <row r="14" customFormat="false" ht="14.25" hidden="false" customHeight="true" outlineLevel="0" collapsed="false">
      <c r="A14" s="93" t="n">
        <v>244</v>
      </c>
      <c r="B14" s="93" t="s">
        <v>338</v>
      </c>
      <c r="C14" s="96" t="n">
        <v>0.564606481481482</v>
      </c>
      <c r="D14" s="93" t="s">
        <v>340</v>
      </c>
      <c r="E14" s="93"/>
      <c r="F14" s="93" t="n">
        <v>0.8418</v>
      </c>
      <c r="G14" s="93" t="n">
        <v>40.01</v>
      </c>
      <c r="H14" s="93" t="n">
        <v>4.561</v>
      </c>
      <c r="I14" s="93" t="n">
        <v>5.418</v>
      </c>
      <c r="J14" s="93" t="n">
        <v>40.02</v>
      </c>
      <c r="K14" s="93" t="n">
        <v>0</v>
      </c>
      <c r="L14" s="93"/>
    </row>
    <row r="15" customFormat="false" ht="14.25" hidden="false" customHeight="true" outlineLevel="0" collapsed="false">
      <c r="A15" s="93" t="n">
        <v>245</v>
      </c>
      <c r="B15" s="93" t="s">
        <v>338</v>
      </c>
      <c r="C15" s="96" t="n">
        <v>0.56880787037037</v>
      </c>
      <c r="D15" s="93" t="s">
        <v>340</v>
      </c>
      <c r="E15" s="93"/>
      <c r="F15" s="93" t="n">
        <v>0.8346</v>
      </c>
      <c r="G15" s="93" t="n">
        <v>50.01</v>
      </c>
      <c r="H15" s="93" t="n">
        <v>3.37</v>
      </c>
      <c r="I15" s="93" t="n">
        <v>4.037</v>
      </c>
      <c r="J15" s="93" t="n">
        <v>49.98</v>
      </c>
      <c r="K15" s="93" t="n">
        <v>0.05</v>
      </c>
      <c r="L15" s="93"/>
    </row>
    <row r="16" customFormat="false" ht="14.25" hidden="false" customHeight="true" outlineLevel="0" collapsed="false">
      <c r="A16" s="93" t="n">
        <v>246</v>
      </c>
      <c r="B16" s="93" t="s">
        <v>338</v>
      </c>
      <c r="C16" s="96" t="n">
        <v>0.575347222222222</v>
      </c>
      <c r="D16" s="93" t="s">
        <v>340</v>
      </c>
      <c r="E16" s="93"/>
      <c r="F16" s="93" t="n">
        <v>0.8273</v>
      </c>
      <c r="G16" s="93" t="n">
        <v>60.01</v>
      </c>
      <c r="H16" s="93" t="n">
        <v>2.576</v>
      </c>
      <c r="I16" s="93" t="n">
        <v>3.114</v>
      </c>
      <c r="J16" s="93" t="n">
        <v>60.04</v>
      </c>
      <c r="K16" s="93" t="n">
        <v>0.09</v>
      </c>
      <c r="L16" s="93"/>
    </row>
    <row r="17" customFormat="false" ht="14.25" hidden="false" customHeight="true" outlineLevel="0" collapsed="false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</row>
    <row r="18" customFormat="false" ht="14.25" hidden="false" customHeight="true" outlineLevel="0" collapsed="false">
      <c r="A18" s="93" t="n">
        <v>248</v>
      </c>
      <c r="B18" s="93" t="s">
        <v>338</v>
      </c>
      <c r="C18" s="96" t="n">
        <v>0.592928240740741</v>
      </c>
      <c r="D18" s="93" t="s">
        <v>341</v>
      </c>
      <c r="E18" s="93"/>
      <c r="F18" s="93" t="n">
        <v>0.8731</v>
      </c>
      <c r="G18" s="93" t="n">
        <v>19.99</v>
      </c>
      <c r="H18" s="93" t="n">
        <v>9.228</v>
      </c>
      <c r="I18" s="93" t="n">
        <v>10.57</v>
      </c>
      <c r="J18" s="93" t="n">
        <v>20.01</v>
      </c>
      <c r="K18" s="93" t="n">
        <v>0.04</v>
      </c>
      <c r="L18" s="93"/>
    </row>
    <row r="19" customFormat="false" ht="14.25" hidden="false" customHeight="true" outlineLevel="0" collapsed="false">
      <c r="A19" s="93" t="n">
        <v>249</v>
      </c>
      <c r="B19" s="93" t="s">
        <v>338</v>
      </c>
      <c r="C19" s="96" t="n">
        <v>0.5978125</v>
      </c>
      <c r="D19" s="93" t="s">
        <v>341</v>
      </c>
      <c r="E19" s="93"/>
      <c r="F19" s="93" t="n">
        <v>0.866</v>
      </c>
      <c r="G19" s="93" t="n">
        <v>30.01</v>
      </c>
      <c r="H19" s="93" t="n">
        <v>6.38</v>
      </c>
      <c r="I19" s="93" t="n">
        <v>7.367</v>
      </c>
      <c r="J19" s="93" t="n">
        <v>29.95</v>
      </c>
      <c r="K19" s="93" t="n">
        <v>0.07</v>
      </c>
      <c r="L19" s="93"/>
    </row>
    <row r="20" customFormat="false" ht="14.25" hidden="false" customHeight="true" outlineLevel="0" collapsed="false">
      <c r="A20" s="93" t="n">
        <v>250</v>
      </c>
      <c r="B20" s="93" t="s">
        <v>338</v>
      </c>
      <c r="C20" s="96" t="n">
        <v>0.604571759259259</v>
      </c>
      <c r="D20" s="93" t="s">
        <v>341</v>
      </c>
      <c r="E20" s="93"/>
      <c r="F20" s="93" t="n">
        <v>0.8589</v>
      </c>
      <c r="G20" s="93" t="n">
        <v>40.01</v>
      </c>
      <c r="H20" s="93" t="n">
        <v>4.577</v>
      </c>
      <c r="I20" s="93" t="n">
        <v>5.329</v>
      </c>
      <c r="J20" s="93" t="n">
        <v>39.93</v>
      </c>
      <c r="K20" s="93" t="n">
        <v>0.06</v>
      </c>
      <c r="L20" s="93"/>
    </row>
    <row r="21" customFormat="false" ht="14.25" hidden="false" customHeight="true" outlineLevel="0" collapsed="false">
      <c r="A21" s="93" t="n">
        <v>251</v>
      </c>
      <c r="B21" s="93" t="s">
        <v>338</v>
      </c>
      <c r="C21" s="96" t="n">
        <v>0.608657407407407</v>
      </c>
      <c r="D21" s="93" t="s">
        <v>341</v>
      </c>
      <c r="E21" s="93"/>
      <c r="F21" s="93" t="n">
        <v>0.8516</v>
      </c>
      <c r="G21" s="93" t="n">
        <v>50.01</v>
      </c>
      <c r="H21" s="93" t="n">
        <v>3.369</v>
      </c>
      <c r="I21" s="93" t="n">
        <v>3.956</v>
      </c>
      <c r="J21" s="93" t="n">
        <v>49.97</v>
      </c>
      <c r="K21" s="93" t="n">
        <v>0.1</v>
      </c>
      <c r="L21" s="93"/>
    </row>
    <row r="22" customFormat="false" ht="14.25" hidden="false" customHeight="true" outlineLevel="0" collapsed="false">
      <c r="A22" s="93" t="n">
        <v>252</v>
      </c>
      <c r="B22" s="93" t="s">
        <v>338</v>
      </c>
      <c r="C22" s="96" t="n">
        <v>0.615532407407407</v>
      </c>
      <c r="D22" s="93" t="s">
        <v>341</v>
      </c>
      <c r="E22" s="93"/>
      <c r="F22" s="93" t="n">
        <v>0.8442</v>
      </c>
      <c r="G22" s="93" t="n">
        <v>60.01</v>
      </c>
      <c r="H22" s="93" t="n">
        <v>2.564</v>
      </c>
      <c r="I22" s="93" t="n">
        <v>3.037</v>
      </c>
      <c r="J22" s="93" t="n">
        <v>59.97</v>
      </c>
      <c r="K22" s="93" t="n">
        <v>0.05</v>
      </c>
      <c r="L22" s="93"/>
    </row>
    <row r="23" customFormat="false" ht="14.25" hidden="false" customHeight="true" outlineLevel="0" collapsed="false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</row>
    <row r="24" customFormat="false" ht="14.25" hidden="false" customHeight="true" outlineLevel="0" collapsed="false">
      <c r="A24" s="93" t="n">
        <v>258</v>
      </c>
      <c r="B24" s="93" t="s">
        <v>338</v>
      </c>
      <c r="C24" s="96" t="n">
        <v>0.634884259259259</v>
      </c>
      <c r="D24" s="93" t="s">
        <v>342</v>
      </c>
      <c r="E24" s="93"/>
      <c r="F24" s="93" t="n">
        <v>0.89</v>
      </c>
      <c r="G24" s="93" t="n">
        <v>20</v>
      </c>
      <c r="H24" s="93" t="n">
        <v>9.374</v>
      </c>
      <c r="I24" s="93" t="n">
        <v>10.53</v>
      </c>
      <c r="J24" s="93" t="n">
        <v>19.99</v>
      </c>
      <c r="K24" s="93" t="n">
        <v>0.02</v>
      </c>
      <c r="L24" s="93"/>
    </row>
    <row r="25" customFormat="false" ht="14.25" hidden="false" customHeight="true" outlineLevel="0" collapsed="false">
      <c r="A25" s="93" t="n">
        <v>259</v>
      </c>
      <c r="B25" s="93" t="s">
        <v>338</v>
      </c>
      <c r="C25" s="96" t="n">
        <v>0.639756944444444</v>
      </c>
      <c r="D25" s="93" t="s">
        <v>342</v>
      </c>
      <c r="E25" s="93"/>
      <c r="F25" s="93" t="n">
        <v>0.8828</v>
      </c>
      <c r="G25" s="93" t="n">
        <v>30.01</v>
      </c>
      <c r="H25" s="93" t="n">
        <v>6.46</v>
      </c>
      <c r="I25" s="93" t="n">
        <v>7.317</v>
      </c>
      <c r="J25" s="93" t="n">
        <v>29.97</v>
      </c>
      <c r="K25" s="93" t="n">
        <v>0.04</v>
      </c>
      <c r="L25" s="93"/>
    </row>
    <row r="26" customFormat="false" ht="14.25" hidden="false" customHeight="true" outlineLevel="0" collapsed="false">
      <c r="A26" s="93" t="n">
        <v>260</v>
      </c>
      <c r="B26" s="93" t="s">
        <v>338</v>
      </c>
      <c r="C26" s="96" t="n">
        <v>0.643703703703704</v>
      </c>
      <c r="D26" s="93" t="s">
        <v>342</v>
      </c>
      <c r="E26" s="93"/>
      <c r="F26" s="93" t="n">
        <v>0.8757</v>
      </c>
      <c r="G26" s="93" t="n">
        <v>40.01</v>
      </c>
      <c r="H26" s="93" t="n">
        <v>4.624</v>
      </c>
      <c r="I26" s="93" t="n">
        <v>5.281</v>
      </c>
      <c r="J26" s="93" t="n">
        <v>40.09</v>
      </c>
      <c r="K26" s="93" t="n">
        <v>0.06</v>
      </c>
      <c r="L26" s="93"/>
    </row>
    <row r="27" customFormat="false" ht="14.25" hidden="false" customHeight="true" outlineLevel="0" collapsed="false">
      <c r="A27" s="93" t="n">
        <v>261</v>
      </c>
      <c r="B27" s="93" t="s">
        <v>338</v>
      </c>
      <c r="C27" s="96" t="n">
        <v>0.647939814814815</v>
      </c>
      <c r="D27" s="93" t="s">
        <v>342</v>
      </c>
      <c r="E27" s="93"/>
      <c r="F27" s="93" t="n">
        <v>0.8684</v>
      </c>
      <c r="G27" s="93" t="n">
        <v>50.01</v>
      </c>
      <c r="H27" s="93" t="n">
        <v>3.404</v>
      </c>
      <c r="I27" s="93" t="n">
        <v>3.92</v>
      </c>
      <c r="J27" s="93" t="n">
        <v>49.97</v>
      </c>
      <c r="K27" s="93" t="n">
        <v>0.03</v>
      </c>
      <c r="L27" s="93"/>
    </row>
    <row r="28" customFormat="false" ht="14.25" hidden="false" customHeight="true" outlineLevel="0" collapsed="false">
      <c r="A28" s="93" t="n">
        <v>262</v>
      </c>
      <c r="B28" s="93" t="s">
        <v>338</v>
      </c>
      <c r="C28" s="96" t="n">
        <v>0.653483796296296</v>
      </c>
      <c r="D28" s="93" t="s">
        <v>342</v>
      </c>
      <c r="E28" s="93"/>
      <c r="F28" s="93" t="n">
        <v>0.8609</v>
      </c>
      <c r="G28" s="93" t="n">
        <v>60.01</v>
      </c>
      <c r="H28" s="93" t="n">
        <v>2.612</v>
      </c>
      <c r="I28" s="93" t="n">
        <v>3.034</v>
      </c>
      <c r="J28" s="93" t="n">
        <v>60.01</v>
      </c>
      <c r="K28" s="93" t="n">
        <v>0.09</v>
      </c>
      <c r="L28" s="93"/>
    </row>
    <row r="29" customFormat="false" ht="14.25" hidden="false" customHeight="true" outlineLevel="0" collapsed="false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</row>
    <row r="30" customFormat="false" ht="14.25" hidden="false" customHeight="true" outlineLevel="0" collapsed="false">
      <c r="A30" s="93" t="n">
        <v>264</v>
      </c>
      <c r="B30" s="93" t="s">
        <v>338</v>
      </c>
      <c r="C30" s="96" t="n">
        <v>0.669594907407408</v>
      </c>
      <c r="D30" s="93" t="s">
        <v>343</v>
      </c>
      <c r="E30" s="93"/>
      <c r="F30" s="93" t="n">
        <v>0.9085</v>
      </c>
      <c r="G30" s="93" t="n">
        <v>20</v>
      </c>
      <c r="H30" s="93" t="n">
        <v>9.788</v>
      </c>
      <c r="I30" s="93" t="n">
        <v>10.77</v>
      </c>
      <c r="J30" s="93" t="n">
        <v>20.04</v>
      </c>
      <c r="K30" s="93" t="n">
        <v>0.05</v>
      </c>
      <c r="L30" s="93"/>
    </row>
    <row r="31" customFormat="false" ht="14.25" hidden="false" customHeight="true" outlineLevel="0" collapsed="false">
      <c r="A31" s="93" t="n">
        <v>265</v>
      </c>
      <c r="B31" s="93" t="s">
        <v>338</v>
      </c>
      <c r="C31" s="96" t="n">
        <v>0.674340277777778</v>
      </c>
      <c r="D31" s="93" t="s">
        <v>343</v>
      </c>
      <c r="E31" s="93"/>
      <c r="F31" s="93" t="n">
        <v>0.9014</v>
      </c>
      <c r="G31" s="93" t="n">
        <v>30.01</v>
      </c>
      <c r="H31" s="93" t="n">
        <v>6.671</v>
      </c>
      <c r="I31" s="93" t="n">
        <v>7.401</v>
      </c>
      <c r="J31" s="93" t="n">
        <v>30.17</v>
      </c>
      <c r="K31" s="93" t="n">
        <v>0.09</v>
      </c>
      <c r="L31" s="93"/>
    </row>
    <row r="32" customFormat="false" ht="14.25" hidden="false" customHeight="true" outlineLevel="0" collapsed="false">
      <c r="A32" s="93" t="n">
        <v>266</v>
      </c>
      <c r="B32" s="93" t="s">
        <v>338</v>
      </c>
      <c r="C32" s="96" t="n">
        <v>0.683576388888889</v>
      </c>
      <c r="D32" s="93" t="s">
        <v>343</v>
      </c>
      <c r="E32" s="93"/>
      <c r="F32" s="93" t="n">
        <v>0.8941</v>
      </c>
      <c r="G32" s="93" t="n">
        <v>40.01</v>
      </c>
      <c r="H32" s="93" t="n">
        <v>4.8</v>
      </c>
      <c r="I32" s="93" t="n">
        <v>5.369</v>
      </c>
      <c r="J32" s="93" t="n">
        <v>39.83</v>
      </c>
      <c r="K32" s="93" t="n">
        <v>0.21</v>
      </c>
      <c r="L32" s="93"/>
    </row>
    <row r="33" customFormat="false" ht="14.25" hidden="false" customHeight="true" outlineLevel="0" collapsed="false">
      <c r="A33" s="93" t="n">
        <v>267</v>
      </c>
      <c r="B33" s="93" t="s">
        <v>338</v>
      </c>
      <c r="C33" s="96" t="n">
        <v>0.690497685185185</v>
      </c>
      <c r="D33" s="93" t="s">
        <v>343</v>
      </c>
      <c r="E33" s="93"/>
      <c r="F33" s="93" t="n">
        <v>0.8868</v>
      </c>
      <c r="G33" s="93" t="n">
        <v>50.01</v>
      </c>
      <c r="H33" s="93" t="n">
        <v>3.496</v>
      </c>
      <c r="I33" s="93" t="n">
        <v>3.943</v>
      </c>
      <c r="J33" s="93" t="n">
        <v>49.94</v>
      </c>
      <c r="K33" s="93" t="n">
        <v>0.03</v>
      </c>
      <c r="L33" s="93"/>
    </row>
    <row r="34" customFormat="false" ht="14.25" hidden="false" customHeight="true" outlineLevel="0" collapsed="false">
      <c r="A34" s="93" t="n">
        <v>269</v>
      </c>
      <c r="B34" s="93" t="s">
        <v>338</v>
      </c>
      <c r="C34" s="96" t="n">
        <v>0.710972222222222</v>
      </c>
      <c r="D34" s="93" t="s">
        <v>344</v>
      </c>
      <c r="E34" s="93"/>
      <c r="F34" s="93" t="n">
        <v>0.8793</v>
      </c>
      <c r="G34" s="93" t="n">
        <v>60.01</v>
      </c>
      <c r="H34" s="93" t="n">
        <v>2.625</v>
      </c>
      <c r="I34" s="93" t="n">
        <v>2.985</v>
      </c>
      <c r="J34" s="93" t="n">
        <v>59.88</v>
      </c>
      <c r="K34" s="93" t="s">
        <v>289</v>
      </c>
      <c r="L34" s="93"/>
    </row>
    <row r="35" customFormat="false" ht="14.25" hidden="false" customHeight="true" outlineLevel="0" collapsed="false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customFormat="false" ht="14.25" hidden="false" customHeight="true" outlineLevel="0" collapsed="false">
      <c r="A36" s="93" t="n">
        <v>291</v>
      </c>
      <c r="B36" s="95" t="n">
        <v>46026</v>
      </c>
      <c r="C36" s="96" t="n">
        <v>0.578310185185185</v>
      </c>
      <c r="D36" s="93" t="s">
        <v>345</v>
      </c>
      <c r="E36" s="93"/>
      <c r="F36" s="93" t="n">
        <v>0.928</v>
      </c>
      <c r="G36" s="93" t="n">
        <v>19.99</v>
      </c>
      <c r="H36" s="93" t="n">
        <v>10.01</v>
      </c>
      <c r="I36" s="93" t="n">
        <v>10.78</v>
      </c>
      <c r="J36" s="93" t="n">
        <v>19.99</v>
      </c>
      <c r="K36" s="93" t="n">
        <v>0.02</v>
      </c>
      <c r="L36" s="93"/>
    </row>
    <row r="37" customFormat="false" ht="14.25" hidden="false" customHeight="true" outlineLevel="0" collapsed="false">
      <c r="A37" s="93" t="n">
        <v>292</v>
      </c>
      <c r="B37" s="95" t="n">
        <v>46026</v>
      </c>
      <c r="C37" s="96" t="n">
        <v>0.584652777777778</v>
      </c>
      <c r="D37" s="93" t="s">
        <v>345</v>
      </c>
      <c r="E37" s="93"/>
      <c r="F37" s="93" t="n">
        <v>0.9208</v>
      </c>
      <c r="G37" s="93" t="n">
        <v>30.01</v>
      </c>
      <c r="H37" s="93" t="n">
        <v>6.767</v>
      </c>
      <c r="I37" s="93" t="n">
        <v>7.349</v>
      </c>
      <c r="J37" s="93" t="n">
        <v>30.08</v>
      </c>
      <c r="K37" s="93" t="n">
        <v>0.02</v>
      </c>
      <c r="L37" s="93"/>
    </row>
    <row r="38" customFormat="false" ht="14.25" hidden="false" customHeight="true" outlineLevel="0" collapsed="false">
      <c r="A38" s="93" t="n">
        <v>293</v>
      </c>
      <c r="B38" s="95" t="n">
        <v>46026</v>
      </c>
      <c r="C38" s="96" t="n">
        <v>0.58875</v>
      </c>
      <c r="D38" s="93" t="s">
        <v>345</v>
      </c>
      <c r="E38" s="93"/>
      <c r="F38" s="93" t="n">
        <v>0.9135</v>
      </c>
      <c r="G38" s="93" t="n">
        <v>40.01</v>
      </c>
      <c r="H38" s="93" t="n">
        <v>4.838</v>
      </c>
      <c r="I38" s="93" t="n">
        <v>5.296</v>
      </c>
      <c r="J38" s="93" t="n">
        <v>39.91</v>
      </c>
      <c r="K38" s="93" t="n">
        <v>0.07</v>
      </c>
      <c r="L38" s="93"/>
    </row>
    <row r="39" customFormat="false" ht="14.25" hidden="false" customHeight="true" outlineLevel="0" collapsed="false">
      <c r="A39" s="93" t="n">
        <v>294</v>
      </c>
      <c r="B39" s="95" t="n">
        <v>46026</v>
      </c>
      <c r="C39" s="96" t="n">
        <v>0.592534722222222</v>
      </c>
      <c r="D39" s="93" t="s">
        <v>345</v>
      </c>
      <c r="E39" s="93"/>
      <c r="F39" s="93" t="n">
        <v>0.9061</v>
      </c>
      <c r="G39" s="93" t="n">
        <v>50.01</v>
      </c>
      <c r="H39" s="93" t="n">
        <v>3.529</v>
      </c>
      <c r="I39" s="93" t="n">
        <v>3.895</v>
      </c>
      <c r="J39" s="93" t="n">
        <v>50</v>
      </c>
      <c r="K39" s="93" t="n">
        <v>0.02</v>
      </c>
      <c r="L39" s="93"/>
    </row>
    <row r="40" customFormat="false" ht="14.25" hidden="false" customHeight="true" outlineLevel="0" collapsed="false">
      <c r="A40" s="93" t="n">
        <v>295</v>
      </c>
      <c r="B40" s="95" t="n">
        <v>46026</v>
      </c>
      <c r="C40" s="96" t="n">
        <v>0.599247685185185</v>
      </c>
      <c r="D40" s="93" t="s">
        <v>345</v>
      </c>
      <c r="E40" s="93"/>
      <c r="F40" s="93" t="n">
        <v>0.8986</v>
      </c>
      <c r="G40" s="93" t="n">
        <v>60.01</v>
      </c>
      <c r="H40" s="93" t="n">
        <v>2.679</v>
      </c>
      <c r="I40" s="93" t="n">
        <v>2.982</v>
      </c>
      <c r="J40" s="93" t="n">
        <v>60.2</v>
      </c>
      <c r="K40" s="93" t="n">
        <v>0.05</v>
      </c>
      <c r="L40" s="93"/>
    </row>
    <row r="41" customFormat="false" ht="14.25" hidden="false" customHeight="true" outlineLevel="0" collapsed="false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</row>
    <row r="42" customFormat="false" ht="14.25" hidden="false" customHeight="true" outlineLevel="0" collapsed="false">
      <c r="A42" s="93" t="n">
        <v>297</v>
      </c>
      <c r="B42" s="95" t="n">
        <v>46026</v>
      </c>
      <c r="C42" s="96" t="n">
        <v>0.632141203703704</v>
      </c>
      <c r="D42" s="93" t="s">
        <v>346</v>
      </c>
      <c r="E42" s="93"/>
      <c r="F42" s="93" t="n">
        <v>0.9491</v>
      </c>
      <c r="G42" s="93" t="n">
        <v>19.99</v>
      </c>
      <c r="H42" s="93" t="n">
        <v>10.67</v>
      </c>
      <c r="I42" s="93" t="n">
        <v>11.24</v>
      </c>
      <c r="J42" s="93" t="n">
        <v>19.92</v>
      </c>
      <c r="K42" s="93" t="n">
        <v>0.04</v>
      </c>
      <c r="L42" s="93"/>
    </row>
    <row r="43" customFormat="false" ht="14.25" hidden="false" customHeight="true" outlineLevel="0" collapsed="false">
      <c r="A43" s="93" t="n">
        <v>298</v>
      </c>
      <c r="B43" s="95" t="n">
        <v>46026</v>
      </c>
      <c r="C43" s="96" t="n">
        <v>0.641377314814815</v>
      </c>
      <c r="D43" s="93" t="s">
        <v>346</v>
      </c>
      <c r="E43" s="93"/>
      <c r="F43" s="93" t="n">
        <v>0.9418</v>
      </c>
      <c r="G43" s="93" t="n">
        <v>30.01</v>
      </c>
      <c r="H43" s="93" t="n">
        <v>7.119</v>
      </c>
      <c r="I43" s="93" t="n">
        <v>7.559</v>
      </c>
      <c r="J43" s="93" t="n">
        <v>29.92</v>
      </c>
      <c r="K43" s="93" t="n">
        <v>0</v>
      </c>
      <c r="L43" s="93"/>
    </row>
    <row r="44" customFormat="false" ht="14.25" hidden="false" customHeight="true" outlineLevel="0" collapsed="false">
      <c r="A44" s="93" t="n">
        <v>299</v>
      </c>
      <c r="B44" s="95" t="n">
        <v>46026</v>
      </c>
      <c r="C44" s="96" t="n">
        <v>0.647395833333333</v>
      </c>
      <c r="D44" s="93" t="s">
        <v>346</v>
      </c>
      <c r="E44" s="93"/>
      <c r="F44" s="93" t="n">
        <v>0.9344</v>
      </c>
      <c r="G44" s="93" t="n">
        <v>40.01</v>
      </c>
      <c r="H44" s="93" t="n">
        <v>4.999</v>
      </c>
      <c r="I44" s="93" t="n">
        <v>5.35</v>
      </c>
      <c r="J44" s="93" t="n">
        <v>39.84</v>
      </c>
      <c r="K44" s="93" t="n">
        <v>0.07</v>
      </c>
      <c r="L44" s="104"/>
    </row>
    <row r="45" customFormat="false" ht="14.25" hidden="false" customHeight="true" outlineLevel="0" collapsed="false">
      <c r="A45" s="93" t="n">
        <v>300</v>
      </c>
      <c r="B45" s="95" t="n">
        <v>46026</v>
      </c>
      <c r="C45" s="96" t="n">
        <v>0.653634259259259</v>
      </c>
      <c r="D45" s="93" t="s">
        <v>346</v>
      </c>
      <c r="E45" s="93"/>
      <c r="F45" s="93" t="n">
        <v>0.927</v>
      </c>
      <c r="G45" s="93" t="n">
        <v>50.01</v>
      </c>
      <c r="H45" s="93" t="n">
        <v>3.648</v>
      </c>
      <c r="I45" s="93" t="n">
        <v>3.935</v>
      </c>
      <c r="J45" s="93" t="n">
        <v>50.01</v>
      </c>
      <c r="K45" s="93" t="n">
        <v>0.03</v>
      </c>
      <c r="L45" s="93"/>
    </row>
    <row r="46" customFormat="false" ht="14.25" hidden="false" customHeight="true" outlineLevel="0" collapsed="false">
      <c r="A46" s="93" t="n">
        <v>301</v>
      </c>
      <c r="B46" s="95" t="n">
        <v>46026</v>
      </c>
      <c r="C46" s="96" t="n">
        <v>0.665069444444445</v>
      </c>
      <c r="D46" s="93" t="s">
        <v>346</v>
      </c>
      <c r="E46" s="93"/>
      <c r="F46" s="93" t="n">
        <v>0.9194</v>
      </c>
      <c r="G46" s="93" t="n">
        <v>60.01</v>
      </c>
      <c r="H46" s="93" t="n">
        <v>2.783</v>
      </c>
      <c r="I46" s="93" t="n">
        <v>3.027</v>
      </c>
      <c r="J46" s="93" t="n">
        <v>59.78</v>
      </c>
      <c r="K46" s="93" t="n">
        <v>0.03</v>
      </c>
      <c r="L46" s="93"/>
    </row>
    <row r="47" customFormat="false" ht="14.25" hidden="false" customHeight="true" outlineLevel="0" collapsed="false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</row>
    <row r="48" customFormat="false" ht="14.25" hidden="false" customHeight="true" outlineLevel="0" collapsed="false">
      <c r="A48" s="93" t="n">
        <v>303</v>
      </c>
      <c r="B48" s="95" t="n">
        <v>46026</v>
      </c>
      <c r="C48" s="96" t="n">
        <v>0.686724537037037</v>
      </c>
      <c r="D48" s="93" t="s">
        <v>347</v>
      </c>
      <c r="E48" s="93"/>
      <c r="F48" s="93" t="n">
        <v>0.9707</v>
      </c>
      <c r="G48" s="93" t="n">
        <v>19.99</v>
      </c>
      <c r="H48" s="93" t="n">
        <v>11.35</v>
      </c>
      <c r="I48" s="93" t="n">
        <v>11.69</v>
      </c>
      <c r="J48" s="93" t="n">
        <v>20.1</v>
      </c>
      <c r="K48" s="93" t="n">
        <v>0.3</v>
      </c>
      <c r="L48" s="93"/>
    </row>
    <row r="49" customFormat="false" ht="14.25" hidden="false" customHeight="true" outlineLevel="0" collapsed="false">
      <c r="A49" s="93" t="n">
        <v>304</v>
      </c>
      <c r="B49" s="95" t="n">
        <v>46026</v>
      </c>
      <c r="C49" s="96" t="n">
        <v>0.691967592592593</v>
      </c>
      <c r="D49" s="93" t="s">
        <v>347</v>
      </c>
      <c r="E49" s="93"/>
      <c r="F49" s="93" t="n">
        <v>0.9634</v>
      </c>
      <c r="G49" s="93" t="n">
        <v>30.01</v>
      </c>
      <c r="H49" s="93" t="n">
        <v>7.488</v>
      </c>
      <c r="I49" s="93" t="n">
        <v>7.772</v>
      </c>
      <c r="J49" s="93" t="n">
        <v>30</v>
      </c>
      <c r="K49" s="93" t="n">
        <v>0.04</v>
      </c>
      <c r="L49" s="93"/>
    </row>
    <row r="50" customFormat="false" ht="14.25" hidden="false" customHeight="true" outlineLevel="0" collapsed="false">
      <c r="A50" s="93" t="n">
        <v>305</v>
      </c>
      <c r="B50" s="95" t="n">
        <v>46026</v>
      </c>
      <c r="C50" s="96" t="n">
        <v>0.697141203703704</v>
      </c>
      <c r="D50" s="93" t="s">
        <v>347</v>
      </c>
      <c r="E50" s="93"/>
      <c r="F50" s="93" t="n">
        <v>0.956</v>
      </c>
      <c r="G50" s="93" t="n">
        <v>40.01</v>
      </c>
      <c r="H50" s="93" t="n">
        <v>5.205</v>
      </c>
      <c r="I50" s="93" t="n">
        <v>5.444</v>
      </c>
      <c r="J50" s="93" t="n">
        <v>40</v>
      </c>
      <c r="K50" s="93" t="n">
        <v>0.09</v>
      </c>
      <c r="L50" s="93"/>
    </row>
    <row r="51" customFormat="false" ht="14.25" hidden="false" customHeight="true" outlineLevel="0" collapsed="false">
      <c r="A51" s="93" t="n">
        <v>306</v>
      </c>
      <c r="B51" s="95" t="n">
        <v>46026</v>
      </c>
      <c r="C51" s="96" t="n">
        <v>0.701157407407407</v>
      </c>
      <c r="D51" s="93" t="s">
        <v>347</v>
      </c>
      <c r="E51" s="93"/>
      <c r="F51" s="93" t="n">
        <v>0.9485</v>
      </c>
      <c r="G51" s="93" t="n">
        <v>50.01</v>
      </c>
      <c r="H51" s="93" t="n">
        <v>3.781</v>
      </c>
      <c r="I51" s="93" t="n">
        <v>3.987</v>
      </c>
      <c r="J51" s="93" t="n">
        <v>50</v>
      </c>
      <c r="K51" s="93" t="n">
        <v>0.1</v>
      </c>
      <c r="L51" s="93"/>
    </row>
    <row r="52" customFormat="false" ht="14.25" hidden="false" customHeight="true" outlineLevel="0" collapsed="false">
      <c r="A52" s="93" t="n">
        <v>307</v>
      </c>
      <c r="B52" s="95" t="n">
        <v>46026</v>
      </c>
      <c r="C52" s="96" t="n">
        <v>0.706574074074074</v>
      </c>
      <c r="D52" s="93" t="s">
        <v>347</v>
      </c>
      <c r="E52" s="93"/>
      <c r="F52" s="93" t="n">
        <v>0.9408</v>
      </c>
      <c r="G52" s="93" t="n">
        <v>60.01</v>
      </c>
      <c r="H52" s="93" t="n">
        <v>2.862</v>
      </c>
      <c r="I52" s="93" t="n">
        <v>3.041</v>
      </c>
      <c r="J52" s="93" t="n">
        <v>60</v>
      </c>
      <c r="K52" s="93" t="n">
        <v>0.09</v>
      </c>
      <c r="L52" s="93"/>
    </row>
    <row r="53" customFormat="false" ht="14.25" hidden="false" customHeight="true" outlineLevel="0" collapsed="false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</row>
    <row r="54" customFormat="false" ht="14.25" hidden="false" customHeight="true" outlineLevel="0" collapsed="false">
      <c r="A54" s="93" t="n">
        <v>319</v>
      </c>
      <c r="B54" s="95" t="n">
        <v>46026</v>
      </c>
      <c r="C54" s="96" t="n">
        <v>0.738854166666667</v>
      </c>
      <c r="D54" s="93" t="s">
        <v>348</v>
      </c>
      <c r="E54" s="93"/>
      <c r="F54" s="93" t="n">
        <v>0.9944</v>
      </c>
      <c r="G54" s="93" t="n">
        <v>19.99</v>
      </c>
      <c r="H54" s="93" t="n">
        <v>12.35</v>
      </c>
      <c r="I54" s="93" t="n">
        <v>12.42</v>
      </c>
      <c r="J54" s="93" t="n">
        <v>20</v>
      </c>
      <c r="K54" s="93" t="n">
        <v>0.04</v>
      </c>
      <c r="L54" s="93"/>
    </row>
    <row r="55" customFormat="false" ht="14.25" hidden="false" customHeight="true" outlineLevel="0" collapsed="false">
      <c r="A55" s="93" t="n">
        <v>320</v>
      </c>
      <c r="B55" s="95" t="n">
        <v>46026</v>
      </c>
      <c r="C55" s="96" t="n">
        <v>0.747210648148148</v>
      </c>
      <c r="D55" s="93" t="s">
        <v>348</v>
      </c>
      <c r="E55" s="93"/>
      <c r="F55" s="93" t="n">
        <v>0.987</v>
      </c>
      <c r="G55" s="93" t="n">
        <v>30.01</v>
      </c>
      <c r="H55" s="93" t="n">
        <v>8.037</v>
      </c>
      <c r="I55" s="93" t="n">
        <v>8.143</v>
      </c>
      <c r="J55" s="93" t="n">
        <v>30</v>
      </c>
      <c r="K55" s="93" t="n">
        <v>0.03</v>
      </c>
      <c r="L55" s="93"/>
    </row>
    <row r="56" customFormat="false" ht="14.25" hidden="false" customHeight="true" outlineLevel="0" collapsed="false">
      <c r="A56" s="93" t="n">
        <v>321</v>
      </c>
      <c r="B56" s="95" t="n">
        <v>46026</v>
      </c>
      <c r="C56" s="96" t="n">
        <v>0.751875</v>
      </c>
      <c r="D56" s="93" t="s">
        <v>348</v>
      </c>
      <c r="E56" s="93"/>
      <c r="F56" s="93" t="n">
        <v>0.9795</v>
      </c>
      <c r="G56" s="93" t="n">
        <v>40.01</v>
      </c>
      <c r="H56" s="93" t="n">
        <v>5.528</v>
      </c>
      <c r="I56" s="93" t="n">
        <v>5.644</v>
      </c>
      <c r="J56" s="93" t="n">
        <v>40</v>
      </c>
      <c r="K56" s="93" t="n">
        <v>0</v>
      </c>
      <c r="L56" s="93"/>
    </row>
    <row r="57" customFormat="false" ht="14.25" hidden="false" customHeight="true" outlineLevel="0" collapsed="false">
      <c r="A57" s="93" t="n">
        <v>322</v>
      </c>
      <c r="B57" s="95" t="n">
        <v>46026</v>
      </c>
      <c r="C57" s="96" t="n">
        <v>0.759594907407407</v>
      </c>
      <c r="D57" s="93" t="s">
        <v>348</v>
      </c>
      <c r="E57" s="93"/>
      <c r="F57" s="93" t="n">
        <v>0.9719</v>
      </c>
      <c r="G57" s="93" t="n">
        <v>50.01</v>
      </c>
      <c r="H57" s="93" t="n">
        <v>3.997</v>
      </c>
      <c r="I57" s="93" t="n">
        <v>4.113</v>
      </c>
      <c r="J57" s="93" t="n">
        <v>50.19</v>
      </c>
      <c r="K57" s="93" t="n">
        <v>0.45</v>
      </c>
      <c r="L57" s="93"/>
    </row>
    <row r="58" customFormat="false" ht="14.25" hidden="false" customHeight="true" outlineLevel="0" collapsed="false">
      <c r="A58" s="93" t="n">
        <v>324</v>
      </c>
      <c r="B58" s="95" t="n">
        <v>46026</v>
      </c>
      <c r="C58" s="96" t="n">
        <v>0.770648148148148</v>
      </c>
      <c r="D58" s="93" t="s">
        <v>349</v>
      </c>
      <c r="E58" s="93"/>
      <c r="F58" s="93" t="n">
        <v>0.9643</v>
      </c>
      <c r="G58" s="93" t="n">
        <v>60.01</v>
      </c>
      <c r="H58" s="93" t="n">
        <v>3.002</v>
      </c>
      <c r="I58" s="93" t="n">
        <v>3.113</v>
      </c>
      <c r="J58" s="93" t="n">
        <v>60</v>
      </c>
      <c r="K58" s="93" t="n">
        <v>0.03</v>
      </c>
      <c r="L58" s="93"/>
    </row>
    <row r="59" customFormat="false" ht="14.25" hidden="false" customHeight="true" outlineLevel="0" collapsed="false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</row>
    <row r="60" customFormat="false" ht="14.25" hidden="false" customHeight="true" outlineLevel="0" collapsed="false">
      <c r="A60" s="93" t="n">
        <v>276</v>
      </c>
      <c r="B60" s="95" t="n">
        <v>46026</v>
      </c>
      <c r="C60" s="96" t="n">
        <v>0.491458333333333</v>
      </c>
      <c r="D60" s="93" t="s">
        <v>350</v>
      </c>
      <c r="E60" s="93"/>
      <c r="F60" s="93" t="n">
        <v>0.8346</v>
      </c>
      <c r="G60" s="93" t="n">
        <v>20.01</v>
      </c>
      <c r="H60" s="93" t="n">
        <v>5.352</v>
      </c>
      <c r="I60" s="93" t="n">
        <v>6.413</v>
      </c>
      <c r="J60" s="93" t="n">
        <v>19.99</v>
      </c>
      <c r="K60" s="93" t="n">
        <v>0.61</v>
      </c>
      <c r="L60" s="93"/>
    </row>
    <row r="61" customFormat="false" ht="14.25" hidden="false" customHeight="true" outlineLevel="0" collapsed="false">
      <c r="A61" s="93" t="n">
        <v>277</v>
      </c>
      <c r="B61" s="95" t="n">
        <v>46026</v>
      </c>
      <c r="C61" s="96" t="n">
        <v>0.500671296296296</v>
      </c>
      <c r="D61" s="93" t="s">
        <v>350</v>
      </c>
      <c r="E61" s="93"/>
      <c r="F61" s="93" t="n">
        <v>0.8254</v>
      </c>
      <c r="G61" s="93" t="n">
        <v>30.01</v>
      </c>
      <c r="H61" s="93" t="n">
        <v>3.365</v>
      </c>
      <c r="I61" s="93" t="n">
        <v>4.076</v>
      </c>
      <c r="J61" s="93" t="n">
        <v>30</v>
      </c>
      <c r="K61" s="93" t="n">
        <v>0.06</v>
      </c>
      <c r="L61" s="93"/>
    </row>
    <row r="62" customFormat="false" ht="14.25" hidden="false" customHeight="true" outlineLevel="0" collapsed="false">
      <c r="A62" s="93" t="n">
        <v>278</v>
      </c>
      <c r="B62" s="95" t="n">
        <v>46026</v>
      </c>
      <c r="C62" s="96" t="n">
        <v>0.509490740740741</v>
      </c>
      <c r="D62" s="93" t="s">
        <v>350</v>
      </c>
      <c r="E62" s="93"/>
      <c r="F62" s="93" t="n">
        <v>0.816</v>
      </c>
      <c r="G62" s="93" t="n">
        <v>40.01</v>
      </c>
      <c r="H62" s="93" t="n">
        <v>2.264</v>
      </c>
      <c r="I62" s="93" t="n">
        <v>2.774</v>
      </c>
      <c r="J62" s="93" t="n">
        <v>39.95</v>
      </c>
      <c r="K62" s="93" t="n">
        <v>0.04</v>
      </c>
      <c r="L62" s="93"/>
    </row>
    <row r="63" customFormat="false" ht="14.25" hidden="false" customHeight="true" outlineLevel="0" collapsed="false">
      <c r="A63" s="93" t="n">
        <v>279</v>
      </c>
      <c r="B63" s="95" t="n">
        <v>46026</v>
      </c>
      <c r="C63" s="96" t="n">
        <v>0.51462962962963</v>
      </c>
      <c r="D63" s="93" t="s">
        <v>350</v>
      </c>
      <c r="E63" s="93"/>
      <c r="F63" s="93" t="n">
        <v>0.8063</v>
      </c>
      <c r="G63" s="93" t="n">
        <v>50.01</v>
      </c>
      <c r="H63" s="93" t="n">
        <v>1.607</v>
      </c>
      <c r="I63" s="93" t="n">
        <v>1.994</v>
      </c>
      <c r="J63" s="93" t="n">
        <v>50</v>
      </c>
      <c r="K63" s="93" t="n">
        <v>0.04</v>
      </c>
      <c r="L63" s="93"/>
    </row>
    <row r="64" customFormat="false" ht="14.25" hidden="false" customHeight="true" outlineLevel="0" collapsed="false">
      <c r="A64" s="93" t="n">
        <v>280</v>
      </c>
      <c r="B64" s="95" t="n">
        <v>46026</v>
      </c>
      <c r="C64" s="96" t="n">
        <v>0.519178240740741</v>
      </c>
      <c r="D64" s="93" t="s">
        <v>350</v>
      </c>
      <c r="E64" s="93"/>
      <c r="F64" s="93" t="n">
        <v>0.7964</v>
      </c>
      <c r="G64" s="93" t="n">
        <v>60.01</v>
      </c>
      <c r="H64" s="93" t="n">
        <v>1.195</v>
      </c>
      <c r="I64" s="93" t="n">
        <v>1.5</v>
      </c>
      <c r="J64" s="93" t="n">
        <v>60</v>
      </c>
      <c r="K64" s="93" t="n">
        <v>0</v>
      </c>
      <c r="L64" s="93"/>
    </row>
    <row r="65" customFormat="false" ht="14.25" hidden="false" customHeight="true" outlineLevel="0" collapsed="false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</row>
    <row r="66" customFormat="false" ht="14.25" hidden="false" customHeight="true" outlineLevel="0" collapsed="false">
      <c r="A66" s="93" t="n">
        <v>328</v>
      </c>
      <c r="B66" s="95" t="n">
        <v>46057</v>
      </c>
      <c r="C66" s="96" t="n">
        <v>0.436261574074074</v>
      </c>
      <c r="D66" s="93" t="s">
        <v>351</v>
      </c>
      <c r="E66" s="93"/>
      <c r="F66" s="93" t="n">
        <v>0.8583</v>
      </c>
      <c r="G66" s="93" t="n">
        <v>20</v>
      </c>
      <c r="H66" s="93" t="n">
        <v>6.445</v>
      </c>
      <c r="I66" s="93" t="n">
        <v>7.509</v>
      </c>
      <c r="J66" s="93" t="n">
        <v>19.98</v>
      </c>
      <c r="K66" s="93" t="n">
        <v>0.21</v>
      </c>
      <c r="L66" s="93"/>
    </row>
    <row r="67" customFormat="false" ht="14.25" hidden="false" customHeight="true" outlineLevel="0" collapsed="false">
      <c r="A67" s="93" t="n">
        <v>329</v>
      </c>
      <c r="B67" s="95" t="n">
        <v>46057</v>
      </c>
      <c r="C67" s="96" t="n">
        <v>0.440335648148148</v>
      </c>
      <c r="D67" s="93" t="s">
        <v>351</v>
      </c>
      <c r="E67" s="93"/>
      <c r="F67" s="93" t="n">
        <v>0.8494</v>
      </c>
      <c r="G67" s="93" t="n">
        <v>30.01</v>
      </c>
      <c r="H67" s="93" t="n">
        <v>3.971</v>
      </c>
      <c r="I67" s="93" t="n">
        <v>4.675</v>
      </c>
      <c r="J67" s="93" t="n">
        <v>30</v>
      </c>
      <c r="K67" s="93" t="n">
        <v>0.09</v>
      </c>
      <c r="L67" s="93"/>
    </row>
    <row r="68" customFormat="false" ht="14.25" hidden="false" customHeight="true" outlineLevel="0" collapsed="false">
      <c r="A68" s="93" t="n">
        <v>330</v>
      </c>
      <c r="B68" s="95" t="n">
        <v>46057</v>
      </c>
      <c r="C68" s="96" t="n">
        <v>0.447060185185185</v>
      </c>
      <c r="D68" s="93" t="s">
        <v>351</v>
      </c>
      <c r="E68" s="93"/>
      <c r="F68" s="93" t="n">
        <v>0.8402</v>
      </c>
      <c r="G68" s="93" t="n">
        <v>40.01</v>
      </c>
      <c r="H68" s="93" t="n">
        <v>2.661</v>
      </c>
      <c r="I68" s="93" t="n">
        <v>3.168</v>
      </c>
      <c r="J68" s="93" t="n">
        <v>40</v>
      </c>
      <c r="K68" s="93" t="n">
        <v>0.03</v>
      </c>
      <c r="L68" s="93"/>
    </row>
    <row r="69" customFormat="false" ht="14.25" hidden="false" customHeight="true" outlineLevel="0" collapsed="false">
      <c r="A69" s="93" t="n">
        <v>331</v>
      </c>
      <c r="B69" s="95" t="n">
        <v>46057</v>
      </c>
      <c r="C69" s="96" t="n">
        <v>0.454467592592593</v>
      </c>
      <c r="D69" s="93" t="s">
        <v>351</v>
      </c>
      <c r="E69" s="93"/>
      <c r="F69" s="93" t="n">
        <v>0.8307</v>
      </c>
      <c r="G69" s="93" t="n">
        <v>50.01</v>
      </c>
      <c r="H69" s="93" t="n">
        <v>1.882</v>
      </c>
      <c r="I69" s="93" t="n">
        <v>2.266</v>
      </c>
      <c r="J69" s="93" t="n">
        <v>50</v>
      </c>
      <c r="K69" s="93" t="n">
        <v>0.02</v>
      </c>
      <c r="L69" s="93"/>
    </row>
    <row r="70" customFormat="false" ht="14.25" hidden="false" customHeight="true" outlineLevel="0" collapsed="false">
      <c r="A70" s="93" t="n">
        <v>332</v>
      </c>
      <c r="B70" s="95" t="n">
        <v>46057</v>
      </c>
      <c r="C70" s="96" t="n">
        <v>0.459375</v>
      </c>
      <c r="D70" s="93" t="s">
        <v>351</v>
      </c>
      <c r="E70" s="93"/>
      <c r="F70" s="93" t="n">
        <v>0.8211</v>
      </c>
      <c r="G70" s="93" t="n">
        <v>60.01</v>
      </c>
      <c r="H70" s="93" t="n">
        <v>1.393</v>
      </c>
      <c r="I70" s="93" t="n">
        <v>1.696</v>
      </c>
      <c r="J70" s="93" t="n">
        <v>60</v>
      </c>
      <c r="K70" s="93" t="n">
        <v>0.02</v>
      </c>
      <c r="L70" s="93"/>
    </row>
    <row r="71" customFormat="false" ht="14.25" hidden="false" customHeight="true" outlineLevel="0" collapsed="false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</row>
    <row r="72" customFormat="false" ht="14.25" hidden="false" customHeight="true" outlineLevel="0" collapsed="false">
      <c r="A72" s="93" t="n">
        <v>339</v>
      </c>
      <c r="B72" s="95" t="n">
        <v>46057</v>
      </c>
      <c r="C72" s="96" t="n">
        <v>0.484652777777778</v>
      </c>
      <c r="D72" s="93" t="s">
        <v>352</v>
      </c>
      <c r="E72" s="93"/>
      <c r="F72" s="93" t="n">
        <v>0.8808</v>
      </c>
      <c r="G72" s="93" t="n">
        <v>20</v>
      </c>
      <c r="H72" s="93" t="n">
        <v>7.684</v>
      </c>
      <c r="I72" s="93" t="n">
        <v>8.724</v>
      </c>
      <c r="J72" s="93" t="n">
        <v>19.09</v>
      </c>
      <c r="K72" s="93" t="n">
        <v>0.29</v>
      </c>
      <c r="L72" s="93"/>
    </row>
    <row r="73" customFormat="false" ht="14.25" hidden="false" customHeight="true" outlineLevel="0" collapsed="false">
      <c r="A73" s="93" t="n">
        <v>340</v>
      </c>
      <c r="B73" s="95" t="n">
        <v>46057</v>
      </c>
      <c r="C73" s="96" t="n">
        <v>0.489560185185185</v>
      </c>
      <c r="D73" s="93" t="s">
        <v>352</v>
      </c>
      <c r="E73" s="93"/>
      <c r="F73" s="93" t="n">
        <v>0.8722</v>
      </c>
      <c r="G73" s="93" t="n">
        <v>30.01</v>
      </c>
      <c r="H73" s="93" t="n">
        <v>4.615</v>
      </c>
      <c r="I73" s="93" t="n">
        <v>5.291</v>
      </c>
      <c r="J73" s="93" t="n">
        <v>30.03</v>
      </c>
      <c r="K73" s="93" t="n">
        <v>0.05</v>
      </c>
      <c r="L73" s="93"/>
    </row>
    <row r="74" customFormat="false" ht="14.25" hidden="false" customHeight="true" outlineLevel="0" collapsed="false">
      <c r="A74" s="93" t="n">
        <v>341</v>
      </c>
      <c r="B74" s="95" t="n">
        <v>46057</v>
      </c>
      <c r="C74" s="96" t="n">
        <v>0.496840277777778</v>
      </c>
      <c r="D74" s="93" t="s">
        <v>352</v>
      </c>
      <c r="E74" s="93"/>
      <c r="F74" s="93" t="n">
        <v>0.8632</v>
      </c>
      <c r="G74" s="93" t="n">
        <v>40.01</v>
      </c>
      <c r="H74" s="93" t="n">
        <v>3.087</v>
      </c>
      <c r="I74" s="93" t="n">
        <v>3.577</v>
      </c>
      <c r="J74" s="93" t="n">
        <v>40</v>
      </c>
      <c r="K74" s="93" t="n">
        <v>0.02</v>
      </c>
      <c r="L74" s="93"/>
    </row>
    <row r="75" customFormat="false" ht="14.25" hidden="false" customHeight="true" outlineLevel="0" collapsed="false">
      <c r="A75" s="93" t="n">
        <v>342</v>
      </c>
      <c r="B75" s="95" t="n">
        <v>46057</v>
      </c>
      <c r="C75" s="96" t="n">
        <v>0.501597222222222</v>
      </c>
      <c r="D75" s="93" t="s">
        <v>352</v>
      </c>
      <c r="E75" s="93"/>
      <c r="F75" s="93" t="n">
        <v>0.8541</v>
      </c>
      <c r="G75" s="93" t="n">
        <v>50.01</v>
      </c>
      <c r="H75" s="93" t="n">
        <v>2.179</v>
      </c>
      <c r="I75" s="93" t="n">
        <v>2.551</v>
      </c>
      <c r="J75" s="93" t="n">
        <v>50</v>
      </c>
      <c r="K75" s="93" t="n">
        <v>0.01</v>
      </c>
      <c r="L75" s="93"/>
    </row>
    <row r="76" customFormat="false" ht="14.25" hidden="false" customHeight="true" outlineLevel="0" collapsed="false">
      <c r="A76" s="93" t="n">
        <v>343</v>
      </c>
      <c r="B76" s="95" t="n">
        <v>46057</v>
      </c>
      <c r="C76" s="96" t="n">
        <v>0.505856481481481</v>
      </c>
      <c r="D76" s="93" t="s">
        <v>352</v>
      </c>
      <c r="E76" s="93"/>
      <c r="F76" s="93" t="n">
        <v>0.8448</v>
      </c>
      <c r="G76" s="93" t="n">
        <v>60.01</v>
      </c>
      <c r="H76" s="93" t="n">
        <v>1.609</v>
      </c>
      <c r="I76" s="93" t="n">
        <v>1.904</v>
      </c>
      <c r="J76" s="93" t="n">
        <v>60.01</v>
      </c>
      <c r="K76" s="93" t="n">
        <v>0.1</v>
      </c>
      <c r="L76" s="93"/>
    </row>
    <row r="77" customFormat="false" ht="14.25" hidden="false" customHeight="true" outlineLevel="0" collapsed="false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</row>
    <row r="78" customFormat="false" ht="14.25" hidden="false" customHeight="true" outlineLevel="0" collapsed="false">
      <c r="A78" s="93" t="n">
        <v>357</v>
      </c>
      <c r="B78" s="95" t="n">
        <v>46057</v>
      </c>
      <c r="C78" s="96" t="n">
        <v>0.538993055555556</v>
      </c>
      <c r="D78" s="93" t="s">
        <v>353</v>
      </c>
      <c r="E78" s="93"/>
      <c r="F78" s="93" t="n">
        <v>0.9026</v>
      </c>
      <c r="G78" s="93" t="n">
        <v>19.99</v>
      </c>
      <c r="H78" s="93" t="n">
        <v>8.391</v>
      </c>
      <c r="I78" s="93" t="n">
        <v>9.296</v>
      </c>
      <c r="J78" s="93" t="n">
        <v>20</v>
      </c>
      <c r="K78" s="93" t="n">
        <v>0.04</v>
      </c>
      <c r="L78" s="93"/>
    </row>
    <row r="79" customFormat="false" ht="14.25" hidden="false" customHeight="true" outlineLevel="0" collapsed="false">
      <c r="A79" s="93" t="n">
        <v>358</v>
      </c>
      <c r="B79" s="95" t="n">
        <v>46057</v>
      </c>
      <c r="C79" s="96" t="n">
        <v>0.544201388888889</v>
      </c>
      <c r="D79" s="93" t="s">
        <v>353</v>
      </c>
      <c r="E79" s="93"/>
      <c r="F79" s="93" t="n">
        <v>0.8942</v>
      </c>
      <c r="G79" s="93" t="n">
        <v>30.01</v>
      </c>
      <c r="H79" s="93" t="n">
        <v>5.253</v>
      </c>
      <c r="I79" s="93" t="n">
        <v>5.875</v>
      </c>
      <c r="J79" s="93" t="n">
        <v>30.07</v>
      </c>
      <c r="K79" s="93" t="n">
        <v>0.02</v>
      </c>
      <c r="L79" s="93"/>
    </row>
    <row r="80" customFormat="false" ht="14.25" hidden="false" customHeight="true" outlineLevel="0" collapsed="false">
      <c r="A80" s="93" t="n">
        <v>359</v>
      </c>
      <c r="B80" s="95" t="n">
        <v>46057</v>
      </c>
      <c r="C80" s="96" t="n">
        <v>0.551655092592593</v>
      </c>
      <c r="D80" s="93" t="s">
        <v>353</v>
      </c>
      <c r="E80" s="93"/>
      <c r="F80" s="93" t="n">
        <v>0.8855</v>
      </c>
      <c r="G80" s="93" t="n">
        <v>40.01</v>
      </c>
      <c r="H80" s="93" t="n">
        <v>3.533</v>
      </c>
      <c r="I80" s="93" t="n">
        <v>3.989</v>
      </c>
      <c r="J80" s="93" t="n">
        <v>39.99</v>
      </c>
      <c r="K80" s="93" t="n">
        <v>0.26</v>
      </c>
      <c r="L80" s="93"/>
    </row>
    <row r="81" customFormat="false" ht="14.25" hidden="false" customHeight="true" outlineLevel="0" collapsed="false">
      <c r="A81" s="93" t="n">
        <v>360</v>
      </c>
      <c r="B81" s="95" t="n">
        <v>46057</v>
      </c>
      <c r="C81" s="96" t="n">
        <v>0.556597222222222</v>
      </c>
      <c r="D81" s="93" t="s">
        <v>353</v>
      </c>
      <c r="E81" s="93"/>
      <c r="F81" s="93" t="n">
        <v>0.8767</v>
      </c>
      <c r="G81" s="93" t="n">
        <v>50.01</v>
      </c>
      <c r="H81" s="93" t="n">
        <v>2.488</v>
      </c>
      <c r="I81" s="93" t="n">
        <v>2.837</v>
      </c>
      <c r="J81" s="93" t="n">
        <v>50</v>
      </c>
      <c r="K81" s="93" t="n">
        <v>0.08</v>
      </c>
      <c r="L81" s="93"/>
    </row>
    <row r="82" customFormat="false" ht="14.25" hidden="false" customHeight="true" outlineLevel="0" collapsed="false">
      <c r="A82" s="93" t="n">
        <v>361</v>
      </c>
      <c r="B82" s="95" t="n">
        <v>46057</v>
      </c>
      <c r="C82" s="96" t="n">
        <v>0.5671875</v>
      </c>
      <c r="D82" s="93" t="s">
        <v>353</v>
      </c>
      <c r="E82" s="93"/>
      <c r="F82" s="93" t="n">
        <v>0.8677</v>
      </c>
      <c r="G82" s="93" t="n">
        <v>60.01</v>
      </c>
      <c r="H82" s="93" t="n">
        <v>1.862</v>
      </c>
      <c r="I82" s="93" t="n">
        <v>2.146</v>
      </c>
      <c r="J82" s="93" t="n">
        <v>60</v>
      </c>
      <c r="K82" s="93" t="n">
        <v>1.78</v>
      </c>
      <c r="L82" s="93"/>
    </row>
    <row r="83" customFormat="false" ht="14.25" hidden="false" customHeight="true" outlineLevel="0" collapsed="false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</row>
    <row r="84" customFormat="false" ht="14.25" hidden="false" customHeight="true" outlineLevel="0" collapsed="false">
      <c r="A84" s="93" t="n">
        <v>380</v>
      </c>
      <c r="B84" s="95" t="n">
        <v>46057</v>
      </c>
      <c r="C84" s="96" t="n">
        <v>0.624236111111111</v>
      </c>
      <c r="D84" s="93" t="s">
        <v>354</v>
      </c>
      <c r="E84" s="93"/>
      <c r="F84" s="93" t="n">
        <v>0.9234</v>
      </c>
      <c r="G84" s="93" t="n">
        <v>20</v>
      </c>
      <c r="H84" s="93" t="n">
        <v>9.549</v>
      </c>
      <c r="I84" s="93" t="n">
        <v>10.34</v>
      </c>
      <c r="J84" s="93" t="n">
        <v>21.12</v>
      </c>
      <c r="K84" s="93" t="n">
        <v>0.01</v>
      </c>
      <c r="L84" s="93"/>
    </row>
    <row r="85" customFormat="false" ht="14.25" hidden="false" customHeight="true" outlineLevel="0" collapsed="false">
      <c r="A85" s="93" t="n">
        <v>381</v>
      </c>
      <c r="B85" s="95" t="n">
        <v>46057</v>
      </c>
      <c r="C85" s="96" t="n">
        <v>0.63525462962963</v>
      </c>
      <c r="D85" s="93" t="s">
        <v>354</v>
      </c>
      <c r="E85" s="93"/>
      <c r="F85" s="93" t="n">
        <v>0.9152</v>
      </c>
      <c r="G85" s="93" t="n">
        <v>30.01</v>
      </c>
      <c r="H85" s="93" t="n">
        <v>6.014</v>
      </c>
      <c r="I85" s="93" t="n">
        <v>6.57</v>
      </c>
      <c r="J85" s="93" t="n">
        <v>29.99</v>
      </c>
      <c r="K85" s="93" t="n">
        <v>1.31</v>
      </c>
      <c r="L85" s="93"/>
    </row>
    <row r="86" customFormat="false" ht="14.25" hidden="false" customHeight="true" outlineLevel="0" collapsed="false">
      <c r="A86" s="93" t="n">
        <v>382</v>
      </c>
      <c r="B86" s="95" t="n">
        <v>46057</v>
      </c>
      <c r="C86" s="96" t="n">
        <v>0.642824074074074</v>
      </c>
      <c r="D86" s="93" t="s">
        <v>354</v>
      </c>
      <c r="E86" s="93"/>
      <c r="F86" s="93" t="n">
        <v>0.9068</v>
      </c>
      <c r="G86" s="93" t="n">
        <v>40.01</v>
      </c>
      <c r="H86" s="93" t="n">
        <v>4.106</v>
      </c>
      <c r="I86" s="93" t="n">
        <v>4.528</v>
      </c>
      <c r="J86" s="93" t="n">
        <v>39.79</v>
      </c>
      <c r="K86" s="93" t="n">
        <v>1.36</v>
      </c>
      <c r="L86" s="93"/>
    </row>
    <row r="87" customFormat="false" ht="14.25" hidden="false" customHeight="true" outlineLevel="0" collapsed="false">
      <c r="A87" s="93" t="n">
        <v>383</v>
      </c>
      <c r="B87" s="95" t="n">
        <v>46057</v>
      </c>
      <c r="C87" s="96" t="n">
        <v>0.655324074074074</v>
      </c>
      <c r="D87" s="93" t="s">
        <v>354</v>
      </c>
      <c r="E87" s="93"/>
      <c r="F87" s="93" t="n">
        <v>0.8983</v>
      </c>
      <c r="G87" s="93" t="n">
        <v>50.01</v>
      </c>
      <c r="H87" s="93" t="n">
        <v>2.879</v>
      </c>
      <c r="I87" s="93" t="n">
        <v>3.205</v>
      </c>
      <c r="J87" s="93" t="n">
        <v>49.89</v>
      </c>
      <c r="K87" s="93" t="n">
        <v>0.04</v>
      </c>
      <c r="L87" s="93"/>
    </row>
    <row r="88" customFormat="false" ht="14.25" hidden="false" customHeight="true" outlineLevel="0" collapsed="false">
      <c r="A88" s="93" t="n">
        <v>384</v>
      </c>
      <c r="B88" s="95" t="n">
        <v>46057</v>
      </c>
      <c r="C88" s="96" t="n">
        <v>0.661365740740741</v>
      </c>
      <c r="D88" s="93" t="s">
        <v>354</v>
      </c>
      <c r="E88" s="93"/>
      <c r="F88" s="93" t="n">
        <v>0.8895</v>
      </c>
      <c r="G88" s="93" t="n">
        <v>60.01</v>
      </c>
      <c r="H88" s="93" t="n">
        <v>2.061</v>
      </c>
      <c r="I88" s="93" t="n">
        <v>2.317</v>
      </c>
      <c r="J88" s="93" t="n">
        <v>60.05</v>
      </c>
      <c r="K88" s="93" t="n">
        <v>0.02</v>
      </c>
      <c r="L88" s="93"/>
    </row>
    <row r="89" customFormat="false" ht="14.25" hidden="false" customHeight="true" outlineLevel="0" collapsed="false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</row>
    <row r="90" customFormat="false" ht="14.25" hidden="false" customHeight="true" outlineLevel="0" collapsed="false">
      <c r="A90" s="93" t="n">
        <v>386</v>
      </c>
      <c r="B90" s="95" t="n">
        <v>46057</v>
      </c>
      <c r="C90" s="96" t="n">
        <v>0.682569444444445</v>
      </c>
      <c r="D90" s="93" t="s">
        <v>355</v>
      </c>
      <c r="E90" s="93"/>
      <c r="F90" s="93" t="n">
        <v>0.9436</v>
      </c>
      <c r="G90" s="93" t="n">
        <v>20</v>
      </c>
      <c r="H90" s="93" t="n">
        <v>10.2</v>
      </c>
      <c r="I90" s="93" t="n">
        <v>10.81</v>
      </c>
      <c r="J90" s="93" t="n">
        <v>20</v>
      </c>
      <c r="K90" s="93" t="n">
        <v>0.09</v>
      </c>
      <c r="L90" s="93"/>
    </row>
    <row r="91" customFormat="false" ht="14.25" hidden="false" customHeight="true" outlineLevel="0" collapsed="false">
      <c r="A91" s="93" t="n">
        <v>387</v>
      </c>
      <c r="B91" s="95" t="n">
        <v>46057</v>
      </c>
      <c r="C91" s="96" t="n">
        <v>0.690138888888889</v>
      </c>
      <c r="D91" s="93" t="s">
        <v>355</v>
      </c>
      <c r="E91" s="93"/>
      <c r="F91" s="93" t="n">
        <v>0.9357</v>
      </c>
      <c r="G91" s="93" t="n">
        <v>30.01</v>
      </c>
      <c r="H91" s="93" t="n">
        <v>6.474</v>
      </c>
      <c r="I91" s="93" t="n">
        <v>6.919</v>
      </c>
      <c r="J91" s="93" t="n">
        <v>30.11</v>
      </c>
      <c r="K91" s="93" t="n">
        <v>0</v>
      </c>
      <c r="L91" s="93"/>
    </row>
    <row r="92" customFormat="false" ht="14.25" hidden="false" customHeight="true" outlineLevel="0" collapsed="false">
      <c r="A92" s="93" t="n">
        <v>388</v>
      </c>
      <c r="B92" s="95" t="n">
        <v>46057</v>
      </c>
      <c r="C92" s="96" t="n">
        <v>0.694988425925926</v>
      </c>
      <c r="D92" s="93" t="s">
        <v>355</v>
      </c>
      <c r="E92" s="93"/>
      <c r="F92" s="93" t="n">
        <v>0.9275</v>
      </c>
      <c r="G92" s="93" t="n">
        <v>40.01</v>
      </c>
      <c r="H92" s="93" t="n">
        <v>4.353</v>
      </c>
      <c r="I92" s="93" t="n">
        <v>4.694</v>
      </c>
      <c r="J92" s="93" t="n">
        <v>40</v>
      </c>
      <c r="K92" s="93" t="n">
        <v>0.05</v>
      </c>
      <c r="L92" s="93"/>
    </row>
    <row r="93" customFormat="false" ht="14.25" hidden="false" customHeight="true" outlineLevel="0" collapsed="false">
      <c r="A93" s="93" t="n">
        <v>389</v>
      </c>
      <c r="B93" s="95" t="n">
        <v>46057</v>
      </c>
      <c r="C93" s="96" t="n">
        <v>0.700659722222222</v>
      </c>
      <c r="D93" s="93" t="s">
        <v>355</v>
      </c>
      <c r="E93" s="93"/>
      <c r="F93" s="93" t="n">
        <v>0.9192</v>
      </c>
      <c r="G93" s="93" t="n">
        <v>50.01</v>
      </c>
      <c r="H93" s="93" t="n">
        <v>3.104</v>
      </c>
      <c r="I93" s="93" t="n">
        <v>3.376</v>
      </c>
      <c r="J93" s="93" t="n">
        <v>50.15</v>
      </c>
      <c r="K93" s="93" t="n">
        <v>0.01</v>
      </c>
      <c r="L93" s="93"/>
    </row>
    <row r="94" customFormat="false" ht="14.25" hidden="false" customHeight="true" outlineLevel="0" collapsed="false">
      <c r="A94" s="93" t="n">
        <v>390</v>
      </c>
      <c r="B94" s="95" t="n">
        <v>46057</v>
      </c>
      <c r="C94" s="96" t="n">
        <v>0.706909722222222</v>
      </c>
      <c r="D94" s="93" t="s">
        <v>355</v>
      </c>
      <c r="E94" s="93"/>
      <c r="F94" s="93" t="n">
        <v>0.9108</v>
      </c>
      <c r="G94" s="93" t="n">
        <v>60.01</v>
      </c>
      <c r="H94" s="93" t="n">
        <v>2.297</v>
      </c>
      <c r="I94" s="93" t="n">
        <v>2.522</v>
      </c>
      <c r="J94" s="93" t="n">
        <v>60.02</v>
      </c>
      <c r="K94" s="93" t="n">
        <v>0.05</v>
      </c>
      <c r="L94" s="93"/>
    </row>
    <row r="95" customFormat="false" ht="14.25" hidden="false" customHeight="true" outlineLevel="0" collapsed="false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</row>
    <row r="96" customFormat="false" ht="14.25" hidden="false" customHeight="true" outlineLevel="0" collapsed="false">
      <c r="A96" s="93" t="n">
        <v>392</v>
      </c>
      <c r="B96" s="95" t="n">
        <v>46057</v>
      </c>
      <c r="C96" s="96" t="n">
        <v>0.719803240740741</v>
      </c>
      <c r="D96" s="93" t="s">
        <v>356</v>
      </c>
      <c r="E96" s="93"/>
      <c r="F96" s="93" t="n">
        <v>0.963</v>
      </c>
      <c r="G96" s="93" t="n">
        <v>19.99</v>
      </c>
      <c r="H96" s="93" t="n">
        <v>11.08</v>
      </c>
      <c r="I96" s="93" t="n">
        <v>11.51</v>
      </c>
      <c r="J96" s="93" t="n">
        <v>20</v>
      </c>
      <c r="K96" s="93" t="n">
        <v>0.01</v>
      </c>
      <c r="L96" s="93"/>
    </row>
    <row r="97" customFormat="false" ht="14.25" hidden="false" customHeight="true" outlineLevel="0" collapsed="false">
      <c r="A97" s="93" t="n">
        <v>393</v>
      </c>
      <c r="B97" s="95" t="n">
        <v>46057</v>
      </c>
      <c r="C97" s="96" t="n">
        <v>0.724895833333333</v>
      </c>
      <c r="D97" s="93" t="s">
        <v>356</v>
      </c>
      <c r="E97" s="93"/>
      <c r="F97" s="93" t="n">
        <v>0.9552</v>
      </c>
      <c r="G97" s="93" t="n">
        <v>30.01</v>
      </c>
      <c r="H97" s="93" t="n">
        <v>7.042</v>
      </c>
      <c r="I97" s="93" t="n">
        <v>7.373</v>
      </c>
      <c r="J97" s="93" t="n">
        <v>30</v>
      </c>
      <c r="K97" s="93" t="n">
        <v>0.03</v>
      </c>
      <c r="L97" s="93"/>
    </row>
    <row r="98" customFormat="false" ht="14.25" hidden="false" customHeight="true" outlineLevel="0" collapsed="false">
      <c r="A98" s="93" t="n">
        <v>394</v>
      </c>
      <c r="B98" s="95" t="n">
        <v>46057</v>
      </c>
      <c r="C98" s="96" t="n">
        <v>0.7290625</v>
      </c>
      <c r="D98" s="93" t="s">
        <v>356</v>
      </c>
      <c r="E98" s="93"/>
      <c r="F98" s="93" t="n">
        <v>0.9472</v>
      </c>
      <c r="G98" s="93" t="n">
        <v>40.01</v>
      </c>
      <c r="H98" s="93" t="n">
        <v>4.772</v>
      </c>
      <c r="I98" s="93" t="n">
        <v>5.038</v>
      </c>
      <c r="J98" s="93" t="n">
        <v>40.01</v>
      </c>
      <c r="K98" s="93" t="n">
        <v>0.02</v>
      </c>
      <c r="L98" s="93"/>
    </row>
    <row r="99" customFormat="false" ht="14.25" hidden="false" customHeight="true" outlineLevel="0" collapsed="false">
      <c r="A99" s="93" t="n">
        <v>395</v>
      </c>
      <c r="B99" s="95" t="n">
        <v>46057</v>
      </c>
      <c r="C99" s="96" t="n">
        <v>0.732858796296296</v>
      </c>
      <c r="D99" s="93" t="s">
        <v>356</v>
      </c>
      <c r="E99" s="93"/>
      <c r="F99" s="93" t="n">
        <v>0.9391</v>
      </c>
      <c r="G99" s="93" t="n">
        <v>50.01</v>
      </c>
      <c r="H99" s="93" t="n">
        <v>3.385</v>
      </c>
      <c r="I99" s="93" t="n">
        <v>3.604</v>
      </c>
      <c r="J99" s="93" t="n">
        <v>50.03</v>
      </c>
      <c r="K99" s="93" t="n">
        <v>0.01</v>
      </c>
      <c r="L99" s="93"/>
    </row>
    <row r="100" customFormat="false" ht="14.25" hidden="false" customHeight="true" outlineLevel="0" collapsed="false">
      <c r="A100" s="93" t="n">
        <v>397</v>
      </c>
      <c r="B100" s="95" t="n">
        <v>46057</v>
      </c>
      <c r="C100" s="96" t="n">
        <v>0.742766203703704</v>
      </c>
      <c r="D100" s="93" t="s">
        <v>357</v>
      </c>
      <c r="E100" s="93"/>
      <c r="F100" s="93" t="n">
        <v>0.9309</v>
      </c>
      <c r="G100" s="93" t="n">
        <v>60</v>
      </c>
      <c r="H100" s="93" t="n">
        <v>2.519</v>
      </c>
      <c r="I100" s="93" t="n">
        <v>2.706</v>
      </c>
      <c r="J100" s="93" t="n">
        <v>59.98</v>
      </c>
      <c r="K100" s="93" t="n">
        <v>0.01</v>
      </c>
      <c r="L100" s="93"/>
    </row>
    <row r="101" customFormat="false" ht="14.25" hidden="false" customHeight="true" outlineLevel="0" collapsed="false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</row>
    <row r="102" customFormat="false" ht="14.25" hidden="false" customHeight="true" outlineLevel="0" collapsed="false">
      <c r="A102" s="93" t="n">
        <v>399</v>
      </c>
      <c r="B102" s="95" t="n">
        <v>46057</v>
      </c>
      <c r="C102" s="96" t="n">
        <v>0.755555555555556</v>
      </c>
      <c r="D102" s="93" t="s">
        <v>358</v>
      </c>
      <c r="E102" s="93"/>
      <c r="F102" s="93" t="n">
        <v>0.9827</v>
      </c>
      <c r="G102" s="93" t="n">
        <v>19.99</v>
      </c>
      <c r="H102" s="93" t="n">
        <v>12.19</v>
      </c>
      <c r="I102" s="93" t="n">
        <v>12.4</v>
      </c>
      <c r="J102" s="93" t="n">
        <v>19.99</v>
      </c>
      <c r="K102" s="93" t="n">
        <v>0</v>
      </c>
      <c r="L102" s="93"/>
    </row>
    <row r="103" customFormat="false" ht="14.25" hidden="false" customHeight="true" outlineLevel="0" collapsed="false">
      <c r="A103" s="93" t="n">
        <v>400</v>
      </c>
      <c r="B103" s="95" t="n">
        <v>46057</v>
      </c>
      <c r="C103" s="96" t="n">
        <v>0.760787037037037</v>
      </c>
      <c r="D103" s="93" t="s">
        <v>358</v>
      </c>
      <c r="E103" s="93"/>
      <c r="F103" s="93" t="n">
        <v>0.9751</v>
      </c>
      <c r="G103" s="93" t="n">
        <v>30.01</v>
      </c>
      <c r="H103" s="93" t="n">
        <v>7.656</v>
      </c>
      <c r="I103" s="93" t="n">
        <v>7.852</v>
      </c>
      <c r="J103" s="93" t="n">
        <v>30</v>
      </c>
      <c r="K103" s="93" t="n">
        <v>0.07</v>
      </c>
      <c r="L103" s="93"/>
    </row>
    <row r="104" customFormat="false" ht="14.25" hidden="false" customHeight="true" outlineLevel="0" collapsed="false">
      <c r="A104" s="93" t="n">
        <v>401</v>
      </c>
      <c r="B104" s="95" t="n">
        <v>46057</v>
      </c>
      <c r="C104" s="96" t="n">
        <v>0.765081018518519</v>
      </c>
      <c r="D104" s="93" t="s">
        <v>358</v>
      </c>
      <c r="E104" s="93"/>
      <c r="F104" s="93" t="n">
        <v>0.9673</v>
      </c>
      <c r="G104" s="93" t="n">
        <v>40.01</v>
      </c>
      <c r="H104" s="93" t="n">
        <v>5.176</v>
      </c>
      <c r="I104" s="93" t="n">
        <v>5.351</v>
      </c>
      <c r="J104" s="93" t="n">
        <v>40.05</v>
      </c>
      <c r="K104" s="93" t="n">
        <v>0.03</v>
      </c>
      <c r="L104" s="93"/>
    </row>
    <row r="105" customFormat="false" ht="14.25" hidden="false" customHeight="true" outlineLevel="0" collapsed="false">
      <c r="A105" s="93" t="n">
        <v>402</v>
      </c>
      <c r="B105" s="95" t="n">
        <v>46057</v>
      </c>
      <c r="C105" s="96" t="n">
        <v>0.772349537037037</v>
      </c>
      <c r="D105" s="93" t="s">
        <v>358</v>
      </c>
      <c r="E105" s="93"/>
      <c r="F105" s="93" t="n">
        <v>0.9593</v>
      </c>
      <c r="G105" s="93" t="n">
        <v>50.01</v>
      </c>
      <c r="H105" s="93" t="n">
        <v>3.74</v>
      </c>
      <c r="I105" s="93" t="n">
        <v>3.898</v>
      </c>
      <c r="J105" s="93" t="n">
        <v>50.36</v>
      </c>
      <c r="K105" s="93" t="n">
        <v>0.06</v>
      </c>
      <c r="L105" s="93"/>
    </row>
    <row r="106" customFormat="false" ht="14.25" hidden="false" customHeight="true" outlineLevel="0" collapsed="false">
      <c r="A106" s="93" t="n">
        <v>403</v>
      </c>
      <c r="B106" s="95" t="n">
        <v>46057</v>
      </c>
      <c r="C106" s="96" t="n">
        <v>0.780960648148148</v>
      </c>
      <c r="D106" s="93" t="s">
        <v>358</v>
      </c>
      <c r="E106" s="93"/>
      <c r="F106" s="93" t="n">
        <v>0.9513</v>
      </c>
      <c r="G106" s="93" t="n">
        <v>60.01</v>
      </c>
      <c r="H106" s="93" t="n">
        <v>2.769</v>
      </c>
      <c r="I106" s="93" t="n">
        <v>2.91</v>
      </c>
      <c r="J106" s="93" t="n">
        <v>60.01</v>
      </c>
      <c r="K106" s="93" t="n">
        <v>0.02</v>
      </c>
      <c r="L106" s="93"/>
    </row>
    <row r="107" customFormat="false" ht="14.25" hidden="false" customHeight="true" outlineLevel="0" collapsed="false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</row>
    <row r="108" customFormat="false" ht="14.25" hidden="false" customHeight="true" outlineLevel="0" collapsed="false">
      <c r="A108" s="93" t="n">
        <v>407</v>
      </c>
      <c r="B108" s="95" t="n">
        <v>46177</v>
      </c>
      <c r="C108" s="96" t="n">
        <v>0.556898148148148</v>
      </c>
      <c r="D108" s="93" t="s">
        <v>359</v>
      </c>
      <c r="E108" s="93"/>
      <c r="F108" s="93" t="n">
        <v>1.0014</v>
      </c>
      <c r="G108" s="93" t="n">
        <v>20</v>
      </c>
      <c r="H108" s="93" t="n">
        <v>12.89</v>
      </c>
      <c r="I108" s="93" t="n">
        <v>12.87</v>
      </c>
      <c r="J108" s="93" t="n">
        <v>20</v>
      </c>
      <c r="K108" s="93" t="n">
        <v>0</v>
      </c>
      <c r="L108" s="93"/>
    </row>
    <row r="109" customFormat="false" ht="14.25" hidden="false" customHeight="true" outlineLevel="0" collapsed="false">
      <c r="A109" s="93" t="n">
        <v>408</v>
      </c>
      <c r="B109" s="95" t="n">
        <v>46177</v>
      </c>
      <c r="C109" s="96" t="n">
        <v>0.563935185185185</v>
      </c>
      <c r="D109" s="93" t="s">
        <v>359</v>
      </c>
      <c r="E109" s="93"/>
      <c r="F109" s="93" t="n">
        <v>0.9938</v>
      </c>
      <c r="G109" s="93" t="n">
        <v>30.01</v>
      </c>
      <c r="H109" s="93" t="n">
        <v>8.212</v>
      </c>
      <c r="I109" s="93" t="n">
        <v>8.263</v>
      </c>
      <c r="J109" s="93" t="n">
        <v>30</v>
      </c>
      <c r="K109" s="93" t="n">
        <v>0.08</v>
      </c>
      <c r="L109" s="93"/>
    </row>
    <row r="110" customFormat="false" ht="14.25" hidden="false" customHeight="true" outlineLevel="0" collapsed="false">
      <c r="A110" s="93" t="n">
        <v>409</v>
      </c>
      <c r="B110" s="95" t="n">
        <v>46177</v>
      </c>
      <c r="C110" s="96" t="n">
        <v>0.568680555555556</v>
      </c>
      <c r="D110" s="93" t="s">
        <v>359</v>
      </c>
      <c r="E110" s="93"/>
      <c r="F110" s="93" t="n">
        <v>0.9861</v>
      </c>
      <c r="G110" s="93" t="n">
        <v>40.01</v>
      </c>
      <c r="H110" s="93" t="n">
        <v>5.579</v>
      </c>
      <c r="I110" s="93" t="n">
        <v>5.657</v>
      </c>
      <c r="J110" s="93" t="n">
        <v>40</v>
      </c>
      <c r="K110" s="93" t="n">
        <v>0.02</v>
      </c>
      <c r="L110" s="93"/>
    </row>
    <row r="111" customFormat="false" ht="14.25" hidden="false" customHeight="true" outlineLevel="0" collapsed="false">
      <c r="A111" s="93" t="n">
        <v>410</v>
      </c>
      <c r="B111" s="95" t="n">
        <v>46177</v>
      </c>
      <c r="C111" s="96" t="n">
        <v>0.572928240740741</v>
      </c>
      <c r="D111" s="93" t="s">
        <v>359</v>
      </c>
      <c r="E111" s="93"/>
      <c r="F111" s="93" t="n">
        <v>0.9784</v>
      </c>
      <c r="G111" s="93" t="n">
        <v>50.01</v>
      </c>
      <c r="H111" s="93" t="n">
        <v>3.979</v>
      </c>
      <c r="I111" s="93" t="n">
        <v>4.068</v>
      </c>
      <c r="J111" s="93" t="n">
        <v>50</v>
      </c>
      <c r="K111" s="93" t="n">
        <v>0.03</v>
      </c>
      <c r="L111" s="93"/>
    </row>
    <row r="112" customFormat="false" ht="14.25" hidden="false" customHeight="true" outlineLevel="0" collapsed="false">
      <c r="A112" s="93" t="n">
        <v>411</v>
      </c>
      <c r="B112" s="95" t="n">
        <v>46177</v>
      </c>
      <c r="C112" s="96" t="n">
        <v>0.580115740740741</v>
      </c>
      <c r="D112" s="93" t="s">
        <v>359</v>
      </c>
      <c r="E112" s="93"/>
      <c r="F112" s="93" t="n">
        <v>0.9705</v>
      </c>
      <c r="G112" s="93" t="n">
        <v>60.01</v>
      </c>
      <c r="H112" s="93" t="n">
        <v>2.976</v>
      </c>
      <c r="I112" s="93" t="n">
        <v>3.066</v>
      </c>
      <c r="J112" s="93" t="n">
        <v>60</v>
      </c>
      <c r="K112" s="93" t="n">
        <v>0.01</v>
      </c>
      <c r="L112" s="93"/>
    </row>
  </sheetData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M26" activeCellId="1" sqref="B39:F39 M26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4" min="1" style="1" width="9"/>
    <col collapsed="false" customWidth="true" hidden="false" outlineLevel="0" max="5" min="5" style="1" width="20.63"/>
    <col collapsed="false" customWidth="true" hidden="false" outlineLevel="0" max="6" min="6" style="1" width="9"/>
  </cols>
  <sheetData>
    <row r="1" customFormat="false" ht="14.25" hidden="false" customHeight="true" outlineLevel="0" collapsed="false">
      <c r="A1" s="105"/>
      <c r="B1" s="105"/>
      <c r="C1" s="105" t="s">
        <v>273</v>
      </c>
      <c r="D1" s="105"/>
      <c r="E1" s="106" t="s">
        <v>360</v>
      </c>
      <c r="F1" s="105"/>
      <c r="G1" s="105"/>
      <c r="H1" s="105"/>
      <c r="I1" s="105"/>
    </row>
    <row r="2" customFormat="false" ht="14.25" hidden="false" customHeight="true" outlineLevel="0" collapsed="false">
      <c r="A2" s="105" t="s">
        <v>32</v>
      </c>
      <c r="B2" s="105" t="n">
        <v>1</v>
      </c>
      <c r="C2" s="105" t="n">
        <v>122.16</v>
      </c>
      <c r="D2" s="105"/>
      <c r="E2" s="105"/>
      <c r="F2" s="105"/>
      <c r="G2" s="105"/>
      <c r="H2" s="105"/>
      <c r="I2" s="105"/>
    </row>
    <row r="3" customFormat="false" ht="14.25" hidden="false" customHeight="true" outlineLevel="0" collapsed="false">
      <c r="A3" s="105" t="s">
        <v>14</v>
      </c>
      <c r="B3" s="105" t="n">
        <v>2</v>
      </c>
      <c r="C3" s="105" t="n">
        <v>86.13</v>
      </c>
      <c r="D3" s="105"/>
      <c r="E3" s="105"/>
      <c r="F3" s="105"/>
      <c r="G3" s="105"/>
      <c r="H3" s="105"/>
      <c r="I3" s="105"/>
    </row>
    <row r="4" customFormat="false" ht="14.25" hidden="false" customHeight="true" outlineLevel="0" collapsed="false">
      <c r="A4" s="105"/>
      <c r="B4" s="105"/>
      <c r="C4" s="105"/>
      <c r="D4" s="105"/>
      <c r="E4" s="105"/>
      <c r="F4" s="105"/>
      <c r="G4" s="105"/>
      <c r="H4" s="105"/>
      <c r="I4" s="105"/>
    </row>
    <row r="5" customFormat="false" ht="14.25" hidden="false" customHeight="true" outlineLevel="0" collapsed="false">
      <c r="A5" s="105"/>
      <c r="B5" s="105"/>
      <c r="C5" s="105"/>
      <c r="D5" s="105"/>
      <c r="E5" s="105"/>
      <c r="F5" s="105"/>
      <c r="G5" s="105"/>
      <c r="H5" s="105"/>
      <c r="I5" s="105"/>
    </row>
    <row r="6" customFormat="false" ht="14.25" hidden="false" customHeight="true" outlineLevel="0" collapsed="false">
      <c r="A6" s="105"/>
      <c r="B6" s="105"/>
      <c r="C6" s="105"/>
      <c r="D6" s="105"/>
      <c r="E6" s="105" t="s">
        <v>276</v>
      </c>
      <c r="F6" s="105"/>
      <c r="G6" s="105"/>
      <c r="H6" s="105"/>
      <c r="I6" s="105"/>
    </row>
    <row r="7" customFormat="false" ht="14.25" hidden="false" customHeight="true" outlineLevel="0" collapsed="false">
      <c r="A7" s="105" t="s">
        <v>277</v>
      </c>
      <c r="B7" s="105" t="s">
        <v>361</v>
      </c>
      <c r="C7" s="105" t="s">
        <v>279</v>
      </c>
      <c r="D7" s="105" t="s">
        <v>362</v>
      </c>
      <c r="E7" s="105" t="s">
        <v>363</v>
      </c>
      <c r="F7" s="105" t="s">
        <v>282</v>
      </c>
      <c r="G7" s="105" t="s">
        <v>364</v>
      </c>
      <c r="H7" s="105"/>
      <c r="I7" s="105"/>
    </row>
    <row r="8" customFormat="false" ht="14.25" hidden="false" customHeight="true" outlineLevel="0" collapsed="false">
      <c r="A8" s="105" t="n">
        <v>5</v>
      </c>
      <c r="B8" s="105" t="n">
        <f aca="false">IF(D8=0, 0, IF(D8=1, A8, (D8*A8*$C$2)/($C$3*(1-D8)+$C$2*D8)))</f>
        <v>0</v>
      </c>
      <c r="C8" s="105" t="n">
        <f aca="false">A8-B8</f>
        <v>5</v>
      </c>
      <c r="D8" s="105" t="n">
        <v>0</v>
      </c>
      <c r="E8" s="93" t="n">
        <v>0</v>
      </c>
      <c r="F8" s="93" t="n">
        <v>1</v>
      </c>
      <c r="G8" s="93" t="n">
        <f aca="false">IF(AND(E8=0,F8&gt;0),0,"")</f>
        <v>0</v>
      </c>
      <c r="H8" s="105"/>
      <c r="I8" s="105"/>
    </row>
    <row r="9" customFormat="false" ht="14.25" hidden="false" customHeight="true" outlineLevel="0" collapsed="false">
      <c r="A9" s="105" t="n">
        <v>5</v>
      </c>
      <c r="B9" s="105" t="n">
        <f aca="false">IF(D9=0, 0, IF(D9=1, A9, (D9*A9*$C$2)/($C$3*(1-D9)+$C$2*D9)))</f>
        <v>0.680686035237872</v>
      </c>
      <c r="C9" s="105" t="n">
        <f aca="false">A9-B9</f>
        <v>4.31931396476213</v>
      </c>
      <c r="D9" s="105" t="n">
        <v>0.1</v>
      </c>
      <c r="E9" s="93" t="n">
        <v>0.6962</v>
      </c>
      <c r="F9" s="93" t="n">
        <v>4.2371</v>
      </c>
      <c r="G9" s="93" t="n">
        <f aca="false">IFERROR((E9*purity_2pe/MW_2pe)/((E9*purity_2pe/MW_2pe)+(F9*purity_2m3b2oh/MW_2m3b2oh)),"")</f>
        <v>0.104194568642053</v>
      </c>
      <c r="H9" s="105"/>
      <c r="I9" s="105"/>
    </row>
    <row r="10" customFormat="false" ht="14.25" hidden="false" customHeight="true" outlineLevel="0" collapsed="false">
      <c r="A10" s="105" t="n">
        <v>5</v>
      </c>
      <c r="B10" s="105" t="n">
        <f aca="false">IF(D10=0, 0, IF(D10=1, A10, (D10*A10*$C$2)/($C$3*(1-D10)+$C$2*D10)))</f>
        <v>1.3088197480072</v>
      </c>
      <c r="C10" s="105" t="n">
        <f aca="false">A10-B10</f>
        <v>3.6911802519928</v>
      </c>
      <c r="D10" s="105" t="n">
        <v>0.2</v>
      </c>
      <c r="E10" s="93" t="n">
        <v>1.294</v>
      </c>
      <c r="F10" s="93" t="n">
        <v>3.6392</v>
      </c>
      <c r="G10" s="93" t="n">
        <f aca="false">IFERROR((E10*purity_2pe/MW_2pe)/((E10*purity_2pe/MW_2pe)+(F10*purity_2m3b2oh/MW_2m3b2oh)),"")</f>
        <v>0.201090673405402</v>
      </c>
      <c r="H10" s="105"/>
      <c r="I10" s="105"/>
    </row>
    <row r="11" customFormat="false" ht="14.25" hidden="false" customHeight="true" outlineLevel="0" collapsed="false">
      <c r="A11" s="105" t="n">
        <v>5</v>
      </c>
      <c r="B11" s="105" t="n">
        <f aca="false">IF(D11=0, 0, IF(D11=1, A11, (D11*A11*$C$2)/($C$3*(1-D11)+$C$2*D11)))</f>
        <v>1.89026088571163</v>
      </c>
      <c r="C11" s="105" t="n">
        <f aca="false">A11-B11</f>
        <v>3.10973911428837</v>
      </c>
      <c r="D11" s="105" t="n">
        <v>0.3</v>
      </c>
      <c r="E11" s="93" t="n">
        <v>1.8553</v>
      </c>
      <c r="F11" s="93" t="n">
        <v>3.064</v>
      </c>
      <c r="G11" s="93" t="n">
        <f aca="false">IFERROR((E11*purity_2pe/MW_2pe)/((E11*purity_2pe/MW_2pe)+(F11*purity_2m3b2oh/MW_2m3b2oh)),"")</f>
        <v>0.300033004605369</v>
      </c>
      <c r="H11" s="105"/>
      <c r="I11" s="105"/>
    </row>
    <row r="12" customFormat="false" ht="14.25" hidden="false" customHeight="true" outlineLevel="0" collapsed="false">
      <c r="A12" s="105" t="n">
        <v>5</v>
      </c>
      <c r="B12" s="105" t="n">
        <f aca="false">IF(D12=0, 0, IF(D12=1, A12, (D12*A12*$C$2)/($C$3*(1-D12)+$C$2*D12)))</f>
        <v>2.43002924151101</v>
      </c>
      <c r="C12" s="105" t="n">
        <f aca="false">A12-B12</f>
        <v>2.56997075848899</v>
      </c>
      <c r="D12" s="105" t="n">
        <v>0.4</v>
      </c>
      <c r="E12" s="93" t="n">
        <v>2.4117</v>
      </c>
      <c r="F12" s="93" t="n">
        <v>2.4753</v>
      </c>
      <c r="G12" s="93" t="n">
        <f aca="false">IFERROR((E12*purity_2pe/MW_2pe)/((E12*purity_2pe/MW_2pe)+(F12*purity_2m3b2oh/MW_2m3b2oh)),"")</f>
        <v>0.408179689951665</v>
      </c>
      <c r="H12" s="105"/>
      <c r="I12" s="105"/>
    </row>
    <row r="13" customFormat="false" ht="14.25" hidden="false" customHeight="true" outlineLevel="0" collapsed="false">
      <c r="A13" s="105" t="n">
        <v>5</v>
      </c>
      <c r="B13" s="105" t="n">
        <f aca="false">IF(D13=0, 0, IF(D13=1, A13, (D13*A13*$C$2)/($C$3*(1-D13)+$C$2*D13)))</f>
        <v>2.93244994958951</v>
      </c>
      <c r="C13" s="105" t="n">
        <f aca="false">A13-B13</f>
        <v>2.06755005041049</v>
      </c>
      <c r="D13" s="105" t="n">
        <v>0.5</v>
      </c>
      <c r="E13" s="93" t="n">
        <v>2.9291</v>
      </c>
      <c r="F13" s="93" t="n">
        <v>2.1391</v>
      </c>
      <c r="G13" s="93" t="n">
        <f aca="false">IFERROR((E13*purity_2pe/MW_2pe)/((E13*purity_2pe/MW_2pe)+(F13*purity_2m3b2oh/MW_2m3b2oh)),"")</f>
        <v>0.492211673008868</v>
      </c>
      <c r="H13" s="105"/>
      <c r="I13" s="105"/>
    </row>
    <row r="14" customFormat="false" ht="14.25" hidden="false" customHeight="true" outlineLevel="0" collapsed="false">
      <c r="A14" s="105" t="n">
        <v>5</v>
      </c>
      <c r="B14" s="105" t="n">
        <f aca="false">IF(D14=0, 0, IF(D14=1, A14, (D14*A14*$C$2)/($C$3*(1-D14)+$C$2*D14)))</f>
        <v>3.40126962913465</v>
      </c>
      <c r="C14" s="105" t="n">
        <f aca="false">A14-B14</f>
        <v>1.59873037086535</v>
      </c>
      <c r="D14" s="105" t="n">
        <v>0.6</v>
      </c>
      <c r="E14" s="93" t="n">
        <v>3.3962</v>
      </c>
      <c r="F14" s="93" t="n">
        <v>1.5714</v>
      </c>
      <c r="G14" s="93" t="n">
        <f aca="false">IFERROR((E14*purity_2pe/MW_2pe)/((E14*purity_2pe/MW_2pe)+(F14*purity_2m3b2oh/MW_2m3b2oh)),"")</f>
        <v>0.604732715235313</v>
      </c>
      <c r="H14" s="105"/>
      <c r="I14" s="105"/>
    </row>
    <row r="15" customFormat="false" ht="14.25" hidden="false" customHeight="true" outlineLevel="0" collapsed="false">
      <c r="A15" s="105" t="n">
        <v>5</v>
      </c>
      <c r="B15" s="105" t="n">
        <f aca="false">IF(D15=0, 0, IF(D15=1, A15, (D15*A15*$C$2)/($C$3*(1-D15)+$C$2*D15)))</f>
        <v>3.83974997979363</v>
      </c>
      <c r="C15" s="105" t="n">
        <f aca="false">A15-B15</f>
        <v>1.16025002020637</v>
      </c>
      <c r="D15" s="105" t="n">
        <v>0.7</v>
      </c>
      <c r="E15" s="93" t="n">
        <v>3.8352</v>
      </c>
      <c r="F15" s="93" t="n">
        <v>1.1528</v>
      </c>
      <c r="G15" s="93" t="n">
        <f aca="false">IFERROR((E15*purity_2pe/MW_2pe)/((E15*purity_2pe/MW_2pe)+(F15*purity_2m3b2oh/MW_2m3b2oh)),"")</f>
        <v>0.701941849611573</v>
      </c>
      <c r="H15" s="105"/>
      <c r="I15" s="105"/>
    </row>
    <row r="16" customFormat="false" ht="14.25" hidden="false" customHeight="true" outlineLevel="0" collapsed="false">
      <c r="A16" s="105" t="n">
        <v>5</v>
      </c>
      <c r="B16" s="105" t="n">
        <f aca="false">IF(D16=0, 0, IF(D16=1, A16, (D16*A16*$C$2)/($C$3*(1-D16)+$C$2*D16)))</f>
        <v>4.25074377577118</v>
      </c>
      <c r="C16" s="105" t="n">
        <f aca="false">A16-B16</f>
        <v>0.749256224228822</v>
      </c>
      <c r="D16" s="105" t="n">
        <v>0.8</v>
      </c>
      <c r="E16" s="93" t="n">
        <v>4.2186</v>
      </c>
      <c r="F16" s="93" t="n">
        <v>0.7379</v>
      </c>
      <c r="G16" s="93" t="n">
        <f aca="false">IFERROR((E16*purity_2pe/MW_2pe)/((E16*purity_2pe/MW_2pe)+(F16*purity_2m3b2oh/MW_2m3b2oh)),"")</f>
        <v>0.801863852851034</v>
      </c>
      <c r="H16" s="105"/>
      <c r="I16" s="105"/>
    </row>
    <row r="17" customFormat="false" ht="14.25" hidden="false" customHeight="true" outlineLevel="0" collapsed="false">
      <c r="A17" s="105" t="n">
        <v>5</v>
      </c>
      <c r="B17" s="105" t="n">
        <f aca="false">IF(D17=0, 0, IF(D17=1, A17, (D17*A17*$C$2)/($C$3*(1-D17)+$C$2*D17)))</f>
        <v>4.6367570029606</v>
      </c>
      <c r="C17" s="105" t="n">
        <f aca="false">A17-B17</f>
        <v>0.363242997039398</v>
      </c>
      <c r="D17" s="105" t="n">
        <v>0.9</v>
      </c>
      <c r="E17" s="93" t="n">
        <v>4.6901</v>
      </c>
      <c r="F17" s="93" t="n">
        <v>0.3682</v>
      </c>
      <c r="G17" s="93" t="n">
        <f aca="false">IFERROR((E17*purity_2pe/MW_2pe)/((E17*purity_2pe/MW_2pe)+(F17*purity_2m3b2oh/MW_2m3b2oh)),"")</f>
        <v>0.900170194342918</v>
      </c>
      <c r="H17" s="105"/>
      <c r="I17" s="105"/>
    </row>
    <row r="18" customFormat="false" ht="14.25" hidden="false" customHeight="true" outlineLevel="0" collapsed="false">
      <c r="A18" s="105" t="n">
        <v>5</v>
      </c>
      <c r="B18" s="105" t="n">
        <f aca="false">IF(D18=0, 0, IF(D18=1, A18, (D18*A18*$C$2)/($C$3*(1-D18)+$C$2*D18)))</f>
        <v>5</v>
      </c>
      <c r="C18" s="105" t="n">
        <f aca="false">A18-B18</f>
        <v>0</v>
      </c>
      <c r="D18" s="105" t="n">
        <v>1</v>
      </c>
      <c r="E18" s="93" t="n">
        <v>1</v>
      </c>
      <c r="F18" s="93" t="n">
        <v>0</v>
      </c>
      <c r="G18" s="93" t="n">
        <f aca="false">IF(AND(E18&gt;0,F18=0),1,IFERROR((E18/MW_2pe)/((E18/MW_2pe)+(F18/MW_2m3b2oh)),""))</f>
        <v>1</v>
      </c>
      <c r="H18" s="105"/>
      <c r="I18" s="105"/>
    </row>
    <row r="19" customFormat="false" ht="13.5" hidden="false" customHeight="true" outlineLevel="0" collapsed="false"/>
    <row r="20" customFormat="false" ht="14.25" hidden="false" customHeight="true" outlineLevel="0" collapsed="false">
      <c r="A20" s="93" t="s">
        <v>303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customFormat="false" ht="12.75" hidden="false" customHeight="true" outlineLevel="0" collapsed="false">
      <c r="A21" s="93"/>
      <c r="B21" s="93" t="s">
        <v>212</v>
      </c>
      <c r="G21" s="93" t="s">
        <v>284</v>
      </c>
    </row>
    <row r="22" customFormat="false" ht="14.25" hidden="false" customHeight="true" outlineLevel="0" collapsed="false">
      <c r="A22" s="93" t="s">
        <v>285</v>
      </c>
      <c r="B22" s="93" t="n">
        <v>20</v>
      </c>
      <c r="C22" s="97" t="n">
        <v>30</v>
      </c>
      <c r="D22" s="93" t="n">
        <v>40</v>
      </c>
      <c r="E22" s="97" t="n">
        <v>50</v>
      </c>
      <c r="F22" s="93" t="n">
        <v>60</v>
      </c>
      <c r="G22" s="93" t="n">
        <v>20</v>
      </c>
      <c r="H22" s="97" t="n">
        <v>30</v>
      </c>
      <c r="I22" s="93" t="n">
        <v>40</v>
      </c>
      <c r="J22" s="97" t="n">
        <v>50</v>
      </c>
      <c r="K22" s="93" t="n">
        <v>60</v>
      </c>
    </row>
    <row r="23" customFormat="false" ht="14.25" hidden="false" customHeight="true" outlineLevel="0" collapsed="false">
      <c r="A23" s="93" t="n">
        <f aca="false">G8</f>
        <v>0</v>
      </c>
      <c r="B23" s="93" t="n">
        <f aca="false">densidad_viscosidad_puros!G5</f>
        <v>0.82388</v>
      </c>
      <c r="C23" s="93" t="n">
        <f aca="false">densidad_viscosidad_puros!G6</f>
        <v>0.81447</v>
      </c>
      <c r="D23" s="93" t="n">
        <f aca="false">densidad_viscosidad_puros!G7</f>
        <v>0.8047</v>
      </c>
      <c r="E23" s="93" t="n">
        <f aca="false">densidad_viscosidad_puros!G8</f>
        <v>0.79458</v>
      </c>
      <c r="F23" s="93" t="n">
        <f aca="false">densidad_viscosidad_puros!G9</f>
        <v>0.7841</v>
      </c>
      <c r="G23" s="93" t="n">
        <f aca="false">IFERROR((($A23*MW_2pe)+((1-$A23)*MW_2m3b2oh))/B23-(($A23*MW_2pe/B$33)+((1-$A23)*MW_2m3b2oh/B$23)),"")</f>
        <v>0</v>
      </c>
      <c r="H23" s="93" t="n">
        <f aca="false">IFERROR((($A23*MW_2pe)+((1-$A23)*MW_2m3b2oh))/C23-(($A23*MW_2pe/C$33)+((1-$A23)*MW_2m3b2oh/C$23)),"")</f>
        <v>0</v>
      </c>
      <c r="I23" s="93" t="n">
        <f aca="false">IFERROR((($A23*MW_2pe)+((1-$A23)*MW_2m3b2oh))/D23-(($A23*MW_2pe/D$33)+((1-$A23)*MW_2m3b2oh/D$23)),"")</f>
        <v>0</v>
      </c>
      <c r="J23" s="93" t="n">
        <f aca="false">IFERROR((($A23*MW_2pe)+((1-$A23)*MW_2m3b2oh))/E23-(($A23*MW_2pe/E$33)+((1-$A23)*MW_2m3b2oh/E$23)),"")</f>
        <v>0</v>
      </c>
      <c r="K23" s="93" t="n">
        <f aca="false">IFERROR((($A23*MW_2pe)+((1-$A23)*MW_2m3b2oh))/F23-(($A23*MW_2pe/F$33)+((1-$A23)*MW_2m3b2oh/F$23)),"")</f>
        <v>0</v>
      </c>
    </row>
    <row r="24" customFormat="false" ht="14.25" hidden="false" customHeight="true" outlineLevel="0" collapsed="false">
      <c r="A24" s="93" t="n">
        <f aca="false">G9</f>
        <v>0.104194568642053</v>
      </c>
      <c r="B24" s="93" t="n">
        <v>0.84994</v>
      </c>
      <c r="C24" s="93" t="n">
        <v>0.84064</v>
      </c>
      <c r="D24" s="93" t="n">
        <v>0.83113</v>
      </c>
      <c r="E24" s="93" t="n">
        <v>0.82133</v>
      </c>
      <c r="F24" s="93" t="n">
        <v>0.81124</v>
      </c>
      <c r="G24" s="93" t="n">
        <f aca="false">IFERROR((($A24*MW_2pe)+((1-$A24)*MW_2m3b2oh))/B24-(($A24*MW_2pe/B$33)+((1-$A24)*MW_2m3b2oh/B$23)),"")</f>
        <v>-0.376389599100193</v>
      </c>
      <c r="H24" s="93" t="n">
        <f aca="false">IFERROR((($A24*MW_2pe)+((1-$A24)*MW_2m3b2oh))/C24-(($A24*MW_2pe/C$33)+((1-$A24)*MW_2m3b2oh/C$23)),"")</f>
        <v>-0.379762764921864</v>
      </c>
      <c r="I24" s="93" t="n">
        <f aca="false">IFERROR((($A24*MW_2pe)+((1-$A24)*MW_2m3b2oh))/D24-(($A24*MW_2pe/D$33)+((1-$A24)*MW_2m3b2oh/D$23)),"")</f>
        <v>-0.400291820800888</v>
      </c>
      <c r="J24" s="93" t="n">
        <f aca="false">IFERROR((($A24*MW_2pe)+((1-$A24)*MW_2m3b2oh))/E24-(($A24*MW_2pe/E$33)+((1-$A24)*MW_2m3b2oh/E$23)),"")</f>
        <v>-0.427331178566732</v>
      </c>
      <c r="K24" s="93" t="n">
        <f aca="false">IFERROR((($A24*MW_2pe)+((1-$A24)*MW_2m3b2oh))/F24-(($A24*MW_2pe/F$33)+((1-$A24)*MW_2m3b2oh/F$23)),"")</f>
        <v>-0.462790183117917</v>
      </c>
    </row>
    <row r="25" customFormat="false" ht="14.25" hidden="false" customHeight="true" outlineLevel="0" collapsed="false">
      <c r="A25" s="93" t="n">
        <f aca="false">G10</f>
        <v>0.201090673405402</v>
      </c>
      <c r="B25" s="93" t="n">
        <v>0.87251</v>
      </c>
      <c r="C25" s="93" t="n">
        <v>0.86356</v>
      </c>
      <c r="D25" s="93" t="n">
        <v>0.85433</v>
      </c>
      <c r="E25" s="93" t="n">
        <v>0.84486</v>
      </c>
      <c r="F25" s="93" t="n">
        <v>0.83511</v>
      </c>
      <c r="G25" s="93" t="n">
        <f aca="false">IFERROR((($A25*MW_2pe)+((1-$A25)*MW_2m3b2oh))/B25-(($A25*MW_2pe/B$33)+((1-$A25)*MW_2m3b2oh/B$23)),"")</f>
        <v>-0.587454262529619</v>
      </c>
      <c r="H25" s="93" t="n">
        <f aca="false">IFERROR((($A25*MW_2pe)+((1-$A25)*MW_2m3b2oh))/C25-(($A25*MW_2pe/C$33)+((1-$A25)*MW_2m3b2oh/C$23)),"")</f>
        <v>-0.619536899133095</v>
      </c>
      <c r="I25" s="93" t="n">
        <f aca="false">IFERROR((($A25*MW_2pe)+((1-$A25)*MW_2m3b2oh))/D25-(($A25*MW_2pe/D$33)+((1-$A25)*MW_2m3b2oh/D$23)),"")</f>
        <v>-0.658162652662526</v>
      </c>
      <c r="J25" s="93" t="n">
        <f aca="false">IFERROR((($A25*MW_2pe)+((1-$A25)*MW_2m3b2oh))/E25-(($A25*MW_2pe/E$33)+((1-$A25)*MW_2m3b2oh/E$23)),"")</f>
        <v>-0.707924795365202</v>
      </c>
      <c r="K25" s="93" t="n">
        <f aca="false">IFERROR((($A25*MW_2pe)+((1-$A25)*MW_2m3b2oh))/F25-(($A25*MW_2pe/F$33)+((1-$A25)*MW_2m3b2oh/F$23)),"")</f>
        <v>-0.765659214610778</v>
      </c>
    </row>
    <row r="26" customFormat="false" ht="14.25" hidden="false" customHeight="true" outlineLevel="0" collapsed="false">
      <c r="A26" s="97" t="n">
        <f aca="false">G11</f>
        <v>0.300033004605369</v>
      </c>
      <c r="B26" s="93" t="n">
        <v>0.89367</v>
      </c>
      <c r="C26" s="93" t="n">
        <v>0.88491</v>
      </c>
      <c r="D26" s="93" t="n">
        <v>0.87595</v>
      </c>
      <c r="E26" s="93" t="n">
        <v>0.86678</v>
      </c>
      <c r="F26" s="93" t="n">
        <v>0.85736</v>
      </c>
      <c r="G26" s="93" t="n">
        <f aca="false">IFERROR((($A26*MW_2pe)+((1-$A26)*MW_2m3b2oh))/B26-(($A26*MW_2pe/B$33)+((1-$A26)*MW_2m3b2oh/B$23)),"")</f>
        <v>-0.640288897768031</v>
      </c>
      <c r="H26" s="93" t="n">
        <f aca="false">IFERROR((($A26*MW_2pe)+((1-$A26)*MW_2m3b2oh))/C26-(($A26*MW_2pe/C$33)+((1-$A26)*MW_2m3b2oh/C$23)),"")</f>
        <v>-0.674941257051415</v>
      </c>
      <c r="I26" s="93" t="n">
        <f aca="false">IFERROR((($A26*MW_2pe)+((1-$A26)*MW_2m3b2oh))/D26-(($A26*MW_2pe/D$33)+((1-$A26)*MW_2m3b2oh/D$23)),"")</f>
        <v>-0.723269157599844</v>
      </c>
      <c r="J26" s="93" t="n">
        <f aca="false">IFERROR((($A26*MW_2pe)+((1-$A26)*MW_2m3b2oh))/E26-(($A26*MW_2pe/E$33)+((1-$A26)*MW_2m3b2oh/E$23)),"")</f>
        <v>-0.783854728753838</v>
      </c>
      <c r="K26" s="93" t="n">
        <f aca="false">IFERROR((($A26*MW_2pe)+((1-$A26)*MW_2m3b2oh))/F26-(($A26*MW_2pe/F$33)+((1-$A26)*MW_2m3b2oh/F$23)),"")</f>
        <v>-0.85358590912017</v>
      </c>
    </row>
    <row r="27" customFormat="false" ht="14.25" hidden="false" customHeight="true" outlineLevel="0" collapsed="false">
      <c r="A27" s="97" t="n">
        <f aca="false">G12</f>
        <v>0.408179689951665</v>
      </c>
      <c r="B27" s="93" t="n">
        <v>0.91618</v>
      </c>
      <c r="C27" s="93" t="n">
        <v>0.90767</v>
      </c>
      <c r="D27" s="93" t="n">
        <v>0.89901</v>
      </c>
      <c r="E27" s="93" t="n">
        <v>0.89015</v>
      </c>
      <c r="F27" s="93" t="n">
        <v>0.88111</v>
      </c>
      <c r="G27" s="93" t="n">
        <f aca="false">IFERROR((($A27*MW_2pe)+((1-$A27)*MW_2m3b2oh))/B27-(($A27*MW_2pe/B$33)+((1-$A27)*MW_2m3b2oh/B$23)),"")</f>
        <v>-0.700623015033372</v>
      </c>
      <c r="H27" s="93" t="n">
        <f aca="false">IFERROR((($A27*MW_2pe)+((1-$A27)*MW_2m3b2oh))/C27-(($A27*MW_2pe/C$33)+((1-$A27)*MW_2m3b2oh/C$23)),"")</f>
        <v>-0.741379062989978</v>
      </c>
      <c r="I27" s="93" t="n">
        <f aca="false">IFERROR((($A27*MW_2pe)+((1-$A27)*MW_2m3b2oh))/D27-(($A27*MW_2pe/D$33)+((1-$A27)*MW_2m3b2oh/D$23)),"")</f>
        <v>-0.798647239700401</v>
      </c>
      <c r="J27" s="93" t="n">
        <f aca="false">IFERROR((($A27*MW_2pe)+((1-$A27)*MW_2m3b2oh))/E27-(($A27*MW_2pe/E$33)+((1-$A27)*MW_2m3b2oh/E$23)),"")</f>
        <v>-0.866112035935771</v>
      </c>
      <c r="K27" s="93" t="n">
        <f aca="false">IFERROR((($A27*MW_2pe)+((1-$A27)*MW_2m3b2oh))/F27-(($A27*MW_2pe/F$33)+((1-$A27)*MW_2m3b2oh/F$23)),"")</f>
        <v>-0.948252140238338</v>
      </c>
    </row>
    <row r="28" customFormat="false" ht="14.25" hidden="false" customHeight="true" outlineLevel="0" collapsed="false">
      <c r="A28" s="97" t="n">
        <f aca="false">G13</f>
        <v>0.492211673008868</v>
      </c>
      <c r="B28" s="93" t="n">
        <v>0.93261</v>
      </c>
      <c r="C28" s="93" t="n">
        <v>0.92431</v>
      </c>
      <c r="D28" s="93" t="n">
        <v>0.91587</v>
      </c>
      <c r="E28" s="93" t="n">
        <v>0.90725</v>
      </c>
      <c r="F28" s="93" t="n">
        <v>0.89845</v>
      </c>
      <c r="G28" s="93" t="n">
        <f aca="false">IFERROR((($A28*MW_2pe)+((1-$A28)*MW_2m3b2oh))/B28-(($A28*MW_2pe/B$33)+((1-$A28)*MW_2m3b2oh/B$23)),"")</f>
        <v>-0.673842296544876</v>
      </c>
      <c r="H28" s="93" t="n">
        <f aca="false">IFERROR((($A28*MW_2pe)+((1-$A28)*MW_2m3b2oh))/C28-(($A28*MW_2pe/C$33)+((1-$A28)*MW_2m3b2oh/C$23)),"")</f>
        <v>-0.718613565036151</v>
      </c>
      <c r="I28" s="93" t="n">
        <f aca="false">IFERROR((($A28*MW_2pe)+((1-$A28)*MW_2m3b2oh))/D28-(($A28*MW_2pe/D$33)+((1-$A28)*MW_2m3b2oh/D$23)),"")</f>
        <v>-0.778291853958024</v>
      </c>
      <c r="J28" s="93" t="n">
        <f aca="false">IFERROR((($A28*MW_2pe)+((1-$A28)*MW_2m3b2oh))/E28-(($A28*MW_2pe/E$33)+((1-$A28)*MW_2m3b2oh/E$23)),"")</f>
        <v>-0.847759871115486</v>
      </c>
      <c r="K28" s="93" t="n">
        <f aca="false">IFERROR((($A28*MW_2pe)+((1-$A28)*MW_2m3b2oh))/F28-(($A28*MW_2pe/F$33)+((1-$A28)*MW_2m3b2oh/F$23)),"")</f>
        <v>-0.928733626607482</v>
      </c>
    </row>
    <row r="29" customFormat="false" ht="14.25" hidden="false" customHeight="true" outlineLevel="0" collapsed="false">
      <c r="A29" s="97" t="n">
        <f aca="false">G14</f>
        <v>0.604732715235313</v>
      </c>
      <c r="B29" s="93" t="n">
        <v>0.95358</v>
      </c>
      <c r="C29" s="93" t="n">
        <v>0.94558</v>
      </c>
      <c r="D29" s="93" t="n">
        <v>0.93742</v>
      </c>
      <c r="E29" s="93" t="n">
        <v>0.9291</v>
      </c>
      <c r="F29" s="93" t="n">
        <v>0.9206</v>
      </c>
      <c r="G29" s="93" t="n">
        <f aca="false">IFERROR((($A29*MW_2pe)+((1-$A29)*MW_2m3b2oh))/B29-(($A29*MW_2pe/B$33)+((1-$A29)*MW_2m3b2oh/B$23)),"")</f>
        <v>-0.586328234899114</v>
      </c>
      <c r="H29" s="93" t="n">
        <f aca="false">IFERROR((($A29*MW_2pe)+((1-$A29)*MW_2m3b2oh))/C29-(($A29*MW_2pe/C$33)+((1-$A29)*MW_2m3b2oh/C$23)),"")</f>
        <v>-0.636418918872764</v>
      </c>
      <c r="I29" s="93" t="n">
        <f aca="false">IFERROR((($A29*MW_2pe)+((1-$A29)*MW_2m3b2oh))/D29-(($A29*MW_2pe/D$33)+((1-$A29)*MW_2m3b2oh/D$23)),"")</f>
        <v>-0.695003543203455</v>
      </c>
      <c r="J29" s="93" t="n">
        <f aca="false">IFERROR((($A29*MW_2pe)+((1-$A29)*MW_2m3b2oh))/E29-(($A29*MW_2pe/E$33)+((1-$A29)*MW_2m3b2oh/E$23)),"")</f>
        <v>-0.761610449793295</v>
      </c>
      <c r="K29" s="93" t="n">
        <f aca="false">IFERROR((($A29*MW_2pe)+((1-$A29)*MW_2m3b2oh))/F29-(($A29*MW_2pe/F$33)+((1-$A29)*MW_2m3b2oh/F$23)),"")</f>
        <v>-0.835089027013382</v>
      </c>
    </row>
    <row r="30" customFormat="false" ht="14.25" hidden="false" customHeight="true" outlineLevel="0" collapsed="false">
      <c r="A30" s="97" t="n">
        <f aca="false">G15</f>
        <v>0.701941849611573</v>
      </c>
      <c r="B30" s="93" t="n">
        <v>0.97081</v>
      </c>
      <c r="C30" s="93" t="n">
        <v>0.96301</v>
      </c>
      <c r="D30" s="93" t="n">
        <v>0.95504</v>
      </c>
      <c r="E30" s="93" t="n">
        <v>0.94694</v>
      </c>
      <c r="F30" s="93" t="n">
        <v>0.93868</v>
      </c>
      <c r="G30" s="93" t="n">
        <f aca="false">IFERROR((($A30*MW_2pe)+((1-$A30)*MW_2m3b2oh))/B30-(($A30*MW_2pe/B$33)+((1-$A30)*MW_2m3b2oh/B$23)),"")</f>
        <v>-0.468662034416056</v>
      </c>
      <c r="H30" s="93" t="n">
        <f aca="false">IFERROR((($A30*MW_2pe)+((1-$A30)*MW_2m3b2oh))/C30-(($A30*MW_2pe/C$33)+((1-$A30)*MW_2m3b2oh/C$23)),"")</f>
        <v>-0.51444331436619</v>
      </c>
      <c r="I30" s="93" t="n">
        <f aca="false">IFERROR((($A30*MW_2pe)+((1-$A30)*MW_2m3b2oh))/D30-(($A30*MW_2pe/D$33)+((1-$A30)*MW_2m3b2oh/D$23)),"")</f>
        <v>-0.563676534913526</v>
      </c>
      <c r="J30" s="93" t="n">
        <f aca="false">IFERROR((($A30*MW_2pe)+((1-$A30)*MW_2m3b2oh))/E30-(($A30*MW_2pe/E$33)+((1-$A30)*MW_2m3b2oh/E$23)),"")</f>
        <v>-0.620540896628086</v>
      </c>
      <c r="K30" s="93" t="n">
        <f aca="false">IFERROR((($A30*MW_2pe)+((1-$A30)*MW_2m3b2oh))/F30-(($A30*MW_2pe/F$33)+((1-$A30)*MW_2m3b2oh/F$23)),"")</f>
        <v>-0.682400272956031</v>
      </c>
    </row>
    <row r="31" customFormat="false" ht="14.25" hidden="false" customHeight="true" outlineLevel="0" collapsed="false">
      <c r="A31" s="97" t="n">
        <f aca="false">G16</f>
        <v>0.801863852851034</v>
      </c>
      <c r="B31" s="93" t="n">
        <v>0.98783</v>
      </c>
      <c r="C31" s="93" t="n">
        <v>0.98019</v>
      </c>
      <c r="D31" s="93" t="n">
        <v>0.9724</v>
      </c>
      <c r="E31" s="93" t="n">
        <v>0.9645</v>
      </c>
      <c r="F31" s="93" t="n">
        <v>0.95646</v>
      </c>
      <c r="G31" s="93" t="n">
        <f aca="false">IFERROR((($A31*MW_2pe)+((1-$A31)*MW_2m3b2oh))/B31-(($A31*MW_2pe/B$33)+((1-$A31)*MW_2m3b2oh/B$23)),"")</f>
        <v>-0.324439713135519</v>
      </c>
      <c r="H31" s="93" t="n">
        <f aca="false">IFERROR((($A31*MW_2pe)+((1-$A31)*MW_2m3b2oh))/C31-(($A31*MW_2pe/C$33)+((1-$A31)*MW_2m3b2oh/C$23)),"")</f>
        <v>-0.359166126406038</v>
      </c>
      <c r="I31" s="93" t="n">
        <f aca="false">IFERROR((($A31*MW_2pe)+((1-$A31)*MW_2m3b2oh))/D31-(($A31*MW_2pe/D$33)+((1-$A31)*MW_2m3b2oh/D$23)),"")</f>
        <v>-0.395562379714562</v>
      </c>
      <c r="J31" s="93" t="n">
        <f aca="false">IFERROR((($A31*MW_2pe)+((1-$A31)*MW_2m3b2oh))/E31-(($A31*MW_2pe/E$33)+((1-$A31)*MW_2m3b2oh/E$23)),"")</f>
        <v>-0.437621396194032</v>
      </c>
      <c r="K31" s="93" t="n">
        <f aca="false">IFERROR((($A31*MW_2pe)+((1-$A31)*MW_2m3b2oh))/F31-(($A31*MW_2pe/F$33)+((1-$A31)*MW_2m3b2oh/F$23)),"")</f>
        <v>-0.482381554031875</v>
      </c>
    </row>
    <row r="32" customFormat="false" ht="14.25" hidden="false" customHeight="true" outlineLevel="0" collapsed="false">
      <c r="A32" s="97" t="n">
        <f aca="false">G17</f>
        <v>0.900170194342918</v>
      </c>
      <c r="B32" s="93" t="n">
        <v>1.00393</v>
      </c>
      <c r="C32" s="93" t="n">
        <v>0.99643</v>
      </c>
      <c r="D32" s="93" t="n">
        <v>0.9888</v>
      </c>
      <c r="E32" s="93" t="n">
        <v>0.98107</v>
      </c>
      <c r="F32" s="93" t="n">
        <v>0.97322</v>
      </c>
      <c r="G32" s="93" t="n">
        <f aca="false">IFERROR((($A32*MW_2pe)+((1-$A32)*MW_2m3b2oh))/B32-(($A32*MW_2pe/B$33)+((1-$A32)*MW_2m3b2oh/B$23)),"")</f>
        <v>-0.161872003811027</v>
      </c>
      <c r="H32" s="93" t="n">
        <f aca="false">IFERROR((($A32*MW_2pe)+((1-$A32)*MW_2m3b2oh))/C32-(($A32*MW_2pe/C$33)+((1-$A32)*MW_2m3b2oh/C$23)),"")</f>
        <v>-0.182695447854542</v>
      </c>
      <c r="I32" s="93" t="n">
        <f aca="false">IFERROR((($A32*MW_2pe)+((1-$A32)*MW_2m3b2oh))/D32-(($A32*MW_2pe/D$33)+((1-$A32)*MW_2m3b2oh/D$23)),"")</f>
        <v>-0.203306206853412</v>
      </c>
      <c r="J32" s="93" t="n">
        <f aca="false">IFERROR((($A32*MW_2pe)+((1-$A32)*MW_2m3b2oh))/E32-(($A32*MW_2pe/E$33)+((1-$A32)*MW_2m3b2oh/E$23)),"")</f>
        <v>-0.226268308764475</v>
      </c>
      <c r="K32" s="93" t="n">
        <f aca="false">IFERROR((($A32*MW_2pe)+((1-$A32)*MW_2m3b2oh))/F32-(($A32*MW_2pe/F$33)+((1-$A32)*MW_2m3b2oh/F$23)),"")</f>
        <v>-0.249466778890607</v>
      </c>
    </row>
    <row r="33" customFormat="false" ht="14.25" hidden="false" customHeight="true" outlineLevel="0" collapsed="false">
      <c r="A33" s="93" t="n">
        <f aca="false">G18</f>
        <v>1</v>
      </c>
      <c r="B33" s="93" t="n">
        <f aca="false">densidad_viscosidad_puros!G75</f>
        <v>1.01985</v>
      </c>
      <c r="C33" s="93" t="n">
        <f aca="false">densidad_viscosidad_puros!G76</f>
        <v>1.01244</v>
      </c>
      <c r="D33" s="93" t="n">
        <f aca="false">densidad_viscosidad_puros!G77</f>
        <v>1.00494</v>
      </c>
      <c r="E33" s="93" t="n">
        <f aca="false">densidad_viscosidad_puros!G78</f>
        <v>0.99736</v>
      </c>
      <c r="F33" s="93" t="n">
        <f aca="false">densidad_viscosidad_puros!G79</f>
        <v>0.9897</v>
      </c>
      <c r="G33" s="93" t="n">
        <f aca="false">IFERROR((($A33*MW_2pe)+((1-$A33)*MW_2m3b2oh))/B33-(($A33*MW_2pe/B$33)+((1-$A33)*MW_2m3b2oh/B$23)),"")</f>
        <v>0</v>
      </c>
      <c r="H33" s="93" t="n">
        <f aca="false">IFERROR((($A33*MW_2pe)+((1-$A33)*MW_2m3b2oh))/C33-(($A33*MW_2pe/C$33)+((1-$A33)*MW_2m3b2oh/C$23)),"")</f>
        <v>0</v>
      </c>
      <c r="I33" s="93" t="n">
        <f aca="false">IFERROR((($A33*MW_2pe)+((1-$A33)*MW_2m3b2oh))/D33-(($A33*MW_2pe/D$33)+((1-$A33)*MW_2m3b2oh/D$23)),"")</f>
        <v>0</v>
      </c>
      <c r="J33" s="93" t="n">
        <f aca="false">IFERROR((($A33*MW_2pe)+((1-$A33)*MW_2m3b2oh))/E33-(($A33*MW_2pe/E$33)+((1-$A33)*MW_2m3b2oh/E$23)),"")</f>
        <v>0</v>
      </c>
      <c r="K33" s="93" t="n">
        <f aca="false">IFERROR((($A33*MW_2pe)+((1-$A33)*MW_2m3b2oh))/F33-(($A33*MW_2pe/F$33)+((1-$A33)*MW_2m3b2oh/F$23)),"")</f>
        <v>0</v>
      </c>
    </row>
    <row r="34" customFormat="false" ht="14.25" hidden="false" customHeight="true" outlineLevel="0" collapsed="false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</row>
    <row r="35" customFormat="false" ht="12.75" hidden="false" customHeight="true" outlineLevel="0" collapsed="false">
      <c r="A35" s="93"/>
      <c r="B35" s="93" t="s">
        <v>214</v>
      </c>
      <c r="G35" s="93"/>
      <c r="H35" s="93"/>
      <c r="I35" s="93"/>
      <c r="J35" s="93"/>
      <c r="K35" s="93"/>
    </row>
    <row r="36" customFormat="false" ht="14.25" hidden="false" customHeight="true" outlineLevel="0" collapsed="false">
      <c r="A36" s="93" t="s">
        <v>285</v>
      </c>
      <c r="B36" s="93" t="n">
        <v>20</v>
      </c>
      <c r="C36" s="97" t="n">
        <v>30</v>
      </c>
      <c r="D36" s="93" t="n">
        <v>40</v>
      </c>
      <c r="E36" s="97" t="n">
        <v>50</v>
      </c>
      <c r="F36" s="93" t="n">
        <v>60</v>
      </c>
      <c r="G36" s="93"/>
      <c r="H36" s="97"/>
      <c r="I36" s="93"/>
      <c r="J36" s="97"/>
      <c r="K36" s="93"/>
    </row>
    <row r="37" customFormat="false" ht="14.25" hidden="false" customHeight="true" outlineLevel="0" collapsed="false">
      <c r="A37" s="93" t="n">
        <f aca="false">G8</f>
        <v>0</v>
      </c>
      <c r="B37" s="93" t="n">
        <f aca="false">densidad_viscosidad_puros!I5</f>
        <v>2.353</v>
      </c>
      <c r="C37" s="93" t="n">
        <f aca="false">densidad_viscosidad_puros!I6</f>
        <v>1.682</v>
      </c>
      <c r="D37" s="93" t="n">
        <f aca="false">densidad_viscosidad_puros!I7</f>
        <v>1.247</v>
      </c>
      <c r="E37" s="93" t="n">
        <f aca="false">densidad_viscosidad_puros!I8</f>
        <v>0.964</v>
      </c>
      <c r="F37" s="93" t="n">
        <f aca="false">densidad_viscosidad_puros!I9</f>
        <v>0.757</v>
      </c>
      <c r="G37" s="93"/>
      <c r="H37" s="93"/>
      <c r="I37" s="93"/>
      <c r="J37" s="93"/>
      <c r="K37" s="93"/>
    </row>
    <row r="38" customFormat="false" ht="14.25" hidden="false" customHeight="true" outlineLevel="0" collapsed="false">
      <c r="A38" s="93" t="n">
        <f aca="false">G9</f>
        <v>0.104194568642053</v>
      </c>
      <c r="B38" s="93" t="n">
        <v>3.095</v>
      </c>
      <c r="C38" s="93" t="n">
        <v>2.161</v>
      </c>
      <c r="D38" s="93" t="n">
        <v>1.576</v>
      </c>
      <c r="E38" s="93" t="n">
        <v>1.193</v>
      </c>
      <c r="F38" s="93" t="n">
        <v>0.934</v>
      </c>
      <c r="G38" s="93"/>
      <c r="H38" s="93"/>
      <c r="I38" s="93"/>
      <c r="J38" s="93"/>
      <c r="K38" s="93"/>
    </row>
    <row r="39" customFormat="false" ht="14.25" hidden="false" customHeight="true" outlineLevel="0" collapsed="false">
      <c r="A39" s="93" t="n">
        <f aca="false">G10</f>
        <v>0.201090673405402</v>
      </c>
      <c r="B39" s="93" t="n">
        <v>4.023</v>
      </c>
      <c r="C39" s="93" t="n">
        <v>2.76</v>
      </c>
      <c r="D39" s="93" t="n">
        <v>1.986</v>
      </c>
      <c r="E39" s="93" t="n">
        <v>1.484</v>
      </c>
      <c r="F39" s="93" t="n">
        <v>1.128</v>
      </c>
      <c r="G39" s="93"/>
      <c r="H39" s="93"/>
      <c r="I39" s="93"/>
      <c r="J39" s="93"/>
      <c r="K39" s="93"/>
    </row>
    <row r="40" customFormat="false" ht="14.25" hidden="false" customHeight="true" outlineLevel="0" collapsed="false">
      <c r="A40" s="97" t="n">
        <f aca="false">G11</f>
        <v>0.300033004605369</v>
      </c>
      <c r="B40" s="93" t="n">
        <v>4.48</v>
      </c>
      <c r="C40" s="93" t="n">
        <v>3.081</v>
      </c>
      <c r="D40" s="93" t="n">
        <v>2.221</v>
      </c>
      <c r="E40" s="93" t="n">
        <v>1.663</v>
      </c>
      <c r="F40" s="93" t="n">
        <v>1.284</v>
      </c>
      <c r="G40" s="93"/>
      <c r="H40" s="93"/>
      <c r="I40" s="93"/>
      <c r="J40" s="93"/>
      <c r="K40" s="93"/>
    </row>
    <row r="41" customFormat="false" ht="14.25" hidden="false" customHeight="true" outlineLevel="0" collapsed="false">
      <c r="A41" s="97" t="n">
        <f aca="false">G12</f>
        <v>0.408179689951665</v>
      </c>
      <c r="B41" s="93" t="n">
        <v>6.064</v>
      </c>
      <c r="C41" s="93" t="n">
        <v>4.049</v>
      </c>
      <c r="D41" s="93" t="n">
        <v>2.846</v>
      </c>
      <c r="E41" s="93" t="n">
        <v>2.132</v>
      </c>
      <c r="F41" s="93" t="n">
        <v>1.62</v>
      </c>
      <c r="G41" s="93"/>
      <c r="H41" s="93"/>
      <c r="I41" s="93"/>
      <c r="J41" s="93"/>
      <c r="K41" s="93"/>
    </row>
    <row r="42" customFormat="false" ht="14.25" hidden="false" customHeight="true" outlineLevel="0" collapsed="false">
      <c r="A42" s="107" t="n">
        <f aca="false">G13</f>
        <v>0.492211673008868</v>
      </c>
      <c r="B42" s="93" t="n">
        <v>7.061</v>
      </c>
      <c r="C42" s="93" t="n">
        <v>4.672</v>
      </c>
      <c r="D42" s="93" t="n">
        <v>3.264</v>
      </c>
      <c r="E42" s="93" t="n">
        <v>2.383</v>
      </c>
      <c r="F42" s="93" t="n">
        <v>1.805</v>
      </c>
      <c r="G42" s="93"/>
      <c r="H42" s="93"/>
      <c r="I42" s="93"/>
      <c r="J42" s="93"/>
      <c r="K42" s="93"/>
    </row>
    <row r="43" customFormat="false" ht="14.25" hidden="false" customHeight="true" outlineLevel="0" collapsed="false">
      <c r="A43" s="97" t="n">
        <f aca="false">G14</f>
        <v>0.604732715235313</v>
      </c>
      <c r="B43" s="93" t="n">
        <v>8.918</v>
      </c>
      <c r="C43" s="93" t="n">
        <v>5.879</v>
      </c>
      <c r="D43" s="93" t="n">
        <v>4.074</v>
      </c>
      <c r="E43" s="93" t="n">
        <v>2.952</v>
      </c>
      <c r="F43" s="93" t="n">
        <v>2.214</v>
      </c>
      <c r="G43" s="93"/>
      <c r="H43" s="93"/>
      <c r="I43" s="93"/>
      <c r="J43" s="93"/>
      <c r="K43" s="93"/>
    </row>
    <row r="44" customFormat="false" ht="14.25" hidden="false" customHeight="true" outlineLevel="0" collapsed="false">
      <c r="A44" s="97" t="n">
        <f aca="false">G15</f>
        <v>0.701941849611573</v>
      </c>
      <c r="B44" s="93" t="n">
        <v>9.8</v>
      </c>
      <c r="C44" s="93" t="n">
        <v>6.387</v>
      </c>
      <c r="D44" s="93" t="n">
        <v>4.488</v>
      </c>
      <c r="E44" s="93" t="n">
        <v>3.178</v>
      </c>
      <c r="F44" s="93" t="n">
        <v>2.384</v>
      </c>
      <c r="G44" s="93"/>
      <c r="H44" s="93"/>
      <c r="I44" s="93"/>
      <c r="J44" s="93"/>
      <c r="K44" s="93"/>
    </row>
    <row r="45" customFormat="false" ht="14.25" hidden="false" customHeight="true" outlineLevel="0" collapsed="false">
      <c r="A45" s="97" t="n">
        <f aca="false">G16</f>
        <v>0.801863852851034</v>
      </c>
      <c r="B45" s="93" t="n">
        <v>11.18</v>
      </c>
      <c r="C45" s="93" t="n">
        <v>7.247</v>
      </c>
      <c r="D45" s="93" t="n">
        <v>4.971</v>
      </c>
      <c r="E45" s="93" t="n">
        <v>3.675</v>
      </c>
      <c r="F45" s="93" t="n">
        <v>2.738</v>
      </c>
      <c r="G45" s="93"/>
      <c r="H45" s="93"/>
      <c r="I45" s="93"/>
      <c r="J45" s="93"/>
      <c r="K45" s="93"/>
    </row>
    <row r="46" customFormat="false" ht="14.25" hidden="false" customHeight="true" outlineLevel="0" collapsed="false">
      <c r="A46" s="97" t="n">
        <f aca="false">G17</f>
        <v>0.900170194342918</v>
      </c>
      <c r="B46" s="93" t="n">
        <v>12.66</v>
      </c>
      <c r="C46" s="93" t="n">
        <v>8.134</v>
      </c>
      <c r="D46" s="93" t="n">
        <v>5.554</v>
      </c>
      <c r="E46" s="93" t="n">
        <v>3.981</v>
      </c>
      <c r="F46" s="93" t="n">
        <v>2.97</v>
      </c>
      <c r="G46" s="93"/>
      <c r="H46" s="93"/>
      <c r="I46" s="93"/>
      <c r="J46" s="93"/>
      <c r="K46" s="93"/>
    </row>
    <row r="47" customFormat="false" ht="14.25" hidden="false" customHeight="true" outlineLevel="0" collapsed="false">
      <c r="A47" s="93" t="n">
        <f aca="false">G18</f>
        <v>1</v>
      </c>
      <c r="B47" s="93" t="n">
        <f aca="false">densidad_viscosidad_puros!I75</f>
        <v>14.04</v>
      </c>
      <c r="C47" s="93" t="n">
        <f aca="false">densidad_viscosidad_puros!I76</f>
        <v>8.973</v>
      </c>
      <c r="D47" s="93" t="n">
        <f aca="false">densidad_viscosidad_puros!I77</f>
        <v>6.102</v>
      </c>
      <c r="E47" s="93" t="n">
        <f aca="false">densidad_viscosidad_puros!I78</f>
        <v>4.368</v>
      </c>
      <c r="F47" s="93" t="n">
        <f aca="false">densidad_viscosidad_puros!I79</f>
        <v>3.252</v>
      </c>
      <c r="G47" s="93"/>
      <c r="H47" s="93"/>
      <c r="I47" s="93"/>
      <c r="J47" s="93"/>
      <c r="K47" s="93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K70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J36" activeCellId="1" sqref="B39:F39 J36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.63"/>
    <col collapsed="false" customWidth="true" hidden="false" outlineLevel="0" max="3" min="3" style="1" width="13.12"/>
    <col collapsed="false" customWidth="true" hidden="false" outlineLevel="0" max="4" min="4" style="1" width="11"/>
    <col collapsed="false" customWidth="true" hidden="false" outlineLevel="0" max="5" min="5" style="1" width="17.26"/>
    <col collapsed="false" customWidth="true" hidden="false" outlineLevel="0" max="6" min="6" style="1" width="14.13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32</v>
      </c>
      <c r="B2" s="1" t="n">
        <v>1</v>
      </c>
      <c r="C2" s="1" t="n">
        <v>122.16</v>
      </c>
    </row>
    <row r="3" customFormat="false" ht="14.25" hidden="false" customHeight="true" outlineLevel="0" collapsed="false">
      <c r="A3" s="1" t="s">
        <v>17</v>
      </c>
      <c r="B3" s="1" t="n">
        <v>2</v>
      </c>
      <c r="C3" s="1" t="n">
        <v>88.15</v>
      </c>
    </row>
    <row r="6" customFormat="false" ht="14.25" hidden="false" customHeight="true" outlineLevel="0" collapsed="false">
      <c r="E6" s="1" t="s">
        <v>276</v>
      </c>
    </row>
    <row r="7" customFormat="false" ht="30" hidden="false" customHeight="true" outlineLevel="0" collapsed="false">
      <c r="A7" s="108" t="s">
        <v>365</v>
      </c>
      <c r="B7" s="108" t="s">
        <v>366</v>
      </c>
      <c r="C7" s="108" t="s">
        <v>367</v>
      </c>
      <c r="D7" s="108" t="s">
        <v>368</v>
      </c>
      <c r="E7" s="109" t="s">
        <v>369</v>
      </c>
      <c r="F7" s="108" t="s">
        <v>370</v>
      </c>
      <c r="G7" s="1" t="s">
        <v>364</v>
      </c>
    </row>
    <row r="8" customFormat="false" ht="30" hidden="false" customHeight="true" outlineLevel="0" collapsed="false">
      <c r="A8" s="55" t="n">
        <v>5</v>
      </c>
      <c r="B8" s="110" t="n">
        <f aca="false">IF(D8=0, 0, IF(D8=1, A8, (D8*A8*$C$2)/($C$3*(1-D8)+$C$2*D8)))</f>
        <v>0.667169118851787</v>
      </c>
      <c r="C8" s="110" t="n">
        <f aca="false">A8-B8</f>
        <v>4.33283088114821</v>
      </c>
      <c r="D8" s="55" t="n">
        <v>0.1</v>
      </c>
      <c r="E8" s="111" t="n">
        <v>0.6717</v>
      </c>
      <c r="F8" s="111" t="n">
        <v>4.3353</v>
      </c>
      <c r="G8" s="112" t="n">
        <f aca="false">IFERROR((E8*purity_2pe/MW_2pe)/((E8*purity_2pe/MW_2pe)+(F8*purity_2m2boh/MW_2m2boh)),"")</f>
        <v>0.100559254025526</v>
      </c>
    </row>
    <row r="9" customFormat="false" ht="30" hidden="false" customHeight="true" outlineLevel="0" collapsed="false">
      <c r="A9" s="55" t="n">
        <v>5</v>
      </c>
      <c r="B9" s="110" t="n">
        <f aca="false">IF(D9=0, 0, IF(D9=1, A9, (D9*A9*$C$2)/($C$3*(1-D9)+$C$2*D9)))</f>
        <v>1.28654478052068</v>
      </c>
      <c r="C9" s="110" t="n">
        <f aca="false">A9-B9</f>
        <v>3.71345521947932</v>
      </c>
      <c r="D9" s="55" t="n">
        <v>0.2</v>
      </c>
      <c r="E9" s="111" t="n">
        <v>1.2859</v>
      </c>
      <c r="F9" s="111" t="n">
        <v>3.7059</v>
      </c>
      <c r="G9" s="112" t="n">
        <f aca="false">IFERROR((E9*purity_2pe/MW_2pe)/((E9*purity_2pe/MW_2pe)+(F9*purity_2m2boh/MW_2m2boh)),"")</f>
        <v>0.200245765489875</v>
      </c>
    </row>
    <row r="10" customFormat="false" ht="30" hidden="false" customHeight="true" outlineLevel="0" collapsed="false">
      <c r="A10" s="55" t="n">
        <v>5</v>
      </c>
      <c r="B10" s="110" t="n">
        <f aca="false">IF(D10=0, 0, IF(D10=1, A10, (D10*A10*$C$2)/($C$3*(1-D10)+$C$2*D10)))</f>
        <v>1.86308501011662</v>
      </c>
      <c r="C10" s="110" t="n">
        <f aca="false">A10-B10</f>
        <v>3.13691498988338</v>
      </c>
      <c r="D10" s="55" t="n">
        <v>0.3</v>
      </c>
      <c r="E10" s="111" t="n">
        <v>1.8618</v>
      </c>
      <c r="F10" s="111" t="n">
        <v>3.1349</v>
      </c>
      <c r="G10" s="112" t="n">
        <f aca="false">IFERROR((E10*purity_2pe/MW_2pe)/((E10*purity_2pe/MW_2pe)+(F10*purity_2m2boh/MW_2m2boh)),"")</f>
        <v>0.299990044912394</v>
      </c>
    </row>
    <row r="11" customFormat="false" ht="30" hidden="false" customHeight="true" outlineLevel="0" collapsed="false">
      <c r="A11" s="55" t="n">
        <v>5</v>
      </c>
      <c r="B11" s="110" t="n">
        <f aca="false">IF(D11=0, 0, IF(D11=1, A11, (D11*A11*$C$2)/($C$3*(1-D11)+$C$2*D11)))</f>
        <v>2.40108496963264</v>
      </c>
      <c r="C11" s="110" t="n">
        <f aca="false">A11-B11</f>
        <v>2.59891503036736</v>
      </c>
      <c r="D11" s="55" t="n">
        <v>0.4</v>
      </c>
      <c r="E11" s="111" t="n">
        <v>2.4047</v>
      </c>
      <c r="F11" s="111" t="n">
        <v>2.5973</v>
      </c>
      <c r="G11" s="112" t="n">
        <f aca="false">IFERROR((E11*purity_2pe/MW_2pe)/((E11*purity_2pe/MW_2pe)+(F11*purity_2m2boh/MW_2m2boh)),"")</f>
        <v>0.400510364581864</v>
      </c>
    </row>
    <row r="12" customFormat="false" ht="30" hidden="false" customHeight="true" outlineLevel="0" collapsed="false">
      <c r="A12" s="55" t="n">
        <v>5</v>
      </c>
      <c r="B12" s="110" t="n">
        <f aca="false">IF(D12=0, 0, IF(D12=1, A12, (D12*A12*$C$2)/($C$3*(1-D12)+$C$2*D12)))</f>
        <v>2.90428415196615</v>
      </c>
      <c r="C12" s="110" t="n">
        <f aca="false">A12-B12</f>
        <v>2.09571584803386</v>
      </c>
      <c r="D12" s="55" t="n">
        <v>0.5</v>
      </c>
      <c r="E12" s="111" t="n">
        <v>2.907</v>
      </c>
      <c r="F12" s="111" t="n">
        <v>2.0989</v>
      </c>
      <c r="G12" s="112" t="n">
        <f aca="false">IFERROR((E12*purity_2pe/MW_2pe)/((E12*purity_2pe/MW_2pe)+(F12*purity_2m2boh/MW_2m2boh)),"")</f>
        <v>0.499854117889342</v>
      </c>
    </row>
    <row r="13" customFormat="false" ht="30" hidden="false" customHeight="true" outlineLevel="0" collapsed="false">
      <c r="A13" s="55" t="n">
        <v>5</v>
      </c>
      <c r="B13" s="110" t="n">
        <f aca="false">IF(D13=0, 0, IF(D13=1, A13, (D13*A13*$C$2)/($C$3*(1-D13)+$C$2*D13)))</f>
        <v>3.37595342496039</v>
      </c>
      <c r="C13" s="110" t="n">
        <f aca="false">A13-B13</f>
        <v>1.62404657503961</v>
      </c>
      <c r="D13" s="55" t="n">
        <v>0.6</v>
      </c>
      <c r="E13" s="55" t="n">
        <v>3.3745</v>
      </c>
      <c r="F13" s="111" t="n">
        <v>1.6252</v>
      </c>
      <c r="G13" s="112" t="n">
        <f aca="false">IFERROR((E13*purity_2pe/MW_2pe)/((E13*purity_2pe/MW_2pe)+(F13*purity_2m2boh/MW_2m2boh)),"")</f>
        <v>0.599726229578825</v>
      </c>
    </row>
    <row r="14" customFormat="false" ht="30" hidden="false" customHeight="true" outlineLevel="0" collapsed="false">
      <c r="A14" s="55" t="n">
        <v>5</v>
      </c>
      <c r="B14" s="110" t="n">
        <f aca="false">IF(D14=0, 0, IF(D14=1, A14, (D14*A14*$C$2)/($C$3*(1-D14)+$C$2*D14)))</f>
        <v>3.81896621024143</v>
      </c>
      <c r="C14" s="110" t="n">
        <f aca="false">A14-B14</f>
        <v>1.18103378975857</v>
      </c>
      <c r="D14" s="55" t="n">
        <v>0.7</v>
      </c>
      <c r="E14" s="111" t="n">
        <v>3.8123</v>
      </c>
      <c r="F14" s="111" t="n">
        <v>1.1895</v>
      </c>
      <c r="G14" s="112" t="n">
        <f aca="false">IFERROR((E14*purity_2pe/MW_2pe)/((E14*purity_2pe/MW_2pe)+(F14*purity_2m2boh/MW_2m2boh)),"")</f>
        <v>0.698129790940866</v>
      </c>
    </row>
    <row r="15" customFormat="false" ht="30" hidden="false" customHeight="true" outlineLevel="0" collapsed="false">
      <c r="A15" s="55" t="n">
        <v>5</v>
      </c>
      <c r="B15" s="110" t="n">
        <f aca="false">IF(D15=0, 0, IF(D15=1, A15, (D15*A15*$C$2)/($C$3*(1-D15)+$C$2*D15)))</f>
        <v>4.23585707103105</v>
      </c>
      <c r="C15" s="110" t="n">
        <f aca="false">A15-B15</f>
        <v>0.764142928968949</v>
      </c>
      <c r="D15" s="55" t="n">
        <v>0.8</v>
      </c>
      <c r="E15" s="111" t="n">
        <v>4.2341</v>
      </c>
      <c r="F15" s="111" t="n">
        <v>0.7609</v>
      </c>
      <c r="G15" s="112" t="n">
        <f aca="false">IFERROR((E15*purity_2pe/MW_2pe)/((E15*purity_2pe/MW_2pe)+(F15*purity_2m2boh/MW_2m2boh)),"")</f>
        <v>0.80061337514444</v>
      </c>
    </row>
    <row r="16" customFormat="false" ht="30" hidden="false" customHeight="true" outlineLevel="0" collapsed="false">
      <c r="A16" s="55" t="n">
        <v>5</v>
      </c>
      <c r="B16" s="110" t="n">
        <f aca="false">IF(D16=0, 0, IF(D16=1, A16, (D16*A16*$C$2)/($C$3*(1-D16)+$C$2*D16)))</f>
        <v>4.62887023299287</v>
      </c>
      <c r="C16" s="110" t="n">
        <f aca="false">A16-B16</f>
        <v>0.371129767007132</v>
      </c>
      <c r="D16" s="55" t="n">
        <v>0.9</v>
      </c>
      <c r="E16" s="111" t="n">
        <v>4.6223</v>
      </c>
      <c r="F16" s="111" t="n">
        <v>0.3719</v>
      </c>
      <c r="G16" s="112" t="n">
        <f aca="false">IFERROR((E16*purity_2pe/MW_2pe)/((E16*purity_2pe/MW_2pe)+(F16*purity_2m2boh/MW_2m2boh)),"")</f>
        <v>0.899685133190903</v>
      </c>
    </row>
    <row r="17" customFormat="false" ht="14.25" hidden="false" customHeight="true" outlineLevel="0" collapsed="false">
      <c r="E17" s="93"/>
      <c r="F17" s="93"/>
      <c r="G17" s="112" t="n">
        <v>1</v>
      </c>
    </row>
    <row r="18" customFormat="false" ht="14.25" hidden="false" customHeight="true" outlineLevel="0" collapsed="false">
      <c r="E18" s="93"/>
      <c r="F18" s="93"/>
      <c r="G18" s="112"/>
    </row>
    <row r="19" customFormat="false" ht="13.5" hidden="false" customHeight="true" outlineLevel="0" collapsed="false">
      <c r="B19" s="5"/>
    </row>
    <row r="20" customFormat="false" ht="14.25" hidden="false" customHeight="true" outlineLevel="0" collapsed="false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customFormat="false" ht="12.75" hidden="false" customHeight="true" outlineLevel="0" collapsed="false">
      <c r="A21" s="93"/>
      <c r="B21" s="93" t="s">
        <v>212</v>
      </c>
      <c r="G21" s="93" t="s">
        <v>284</v>
      </c>
    </row>
    <row r="22" customFormat="false" ht="14.25" hidden="false" customHeight="true" outlineLevel="0" collapsed="false">
      <c r="A22" s="93" t="s">
        <v>285</v>
      </c>
      <c r="B22" s="93" t="n">
        <v>20</v>
      </c>
      <c r="C22" s="97" t="n">
        <v>30</v>
      </c>
      <c r="D22" s="93" t="n">
        <v>40</v>
      </c>
      <c r="E22" s="97" t="n">
        <v>50</v>
      </c>
      <c r="F22" s="93" t="n">
        <v>60</v>
      </c>
      <c r="G22" s="93" t="n">
        <v>20</v>
      </c>
      <c r="H22" s="97" t="n">
        <v>30</v>
      </c>
      <c r="I22" s="93" t="n">
        <v>40</v>
      </c>
      <c r="J22" s="97" t="n">
        <v>50</v>
      </c>
      <c r="K22" s="93" t="n">
        <v>60</v>
      </c>
    </row>
    <row r="23" customFormat="false" ht="14.25" hidden="false" customHeight="true" outlineLevel="0" collapsed="false">
      <c r="A23" s="1" t="n">
        <v>0</v>
      </c>
      <c r="B23" s="93" t="n">
        <f aca="false">densidad_viscosidad_puros!G15</f>
        <v>0.80899</v>
      </c>
      <c r="C23" s="93" t="n">
        <f aca="false">densidad_viscosidad_puros!G16</f>
        <v>0.79979</v>
      </c>
      <c r="D23" s="93" t="n">
        <f aca="false">densidad_viscosidad_puros!G17</f>
        <v>0.79035</v>
      </c>
      <c r="E23" s="93" t="n">
        <f aca="false">densidad_viscosidad_puros!G18</f>
        <v>0.7806</v>
      </c>
      <c r="F23" s="93" t="n">
        <f aca="false">densidad_viscosidad_puros!G19</f>
        <v>0.77049</v>
      </c>
      <c r="G23" s="93" t="n">
        <f aca="false">IFERROR((($A23*MW_2pe)+((1-$A23)*MW_2m2boh))/B23-(($A23*MW_2pe/B$33)+((1-$A23)*MW_2m2boh/B$23)),"")</f>
        <v>0</v>
      </c>
      <c r="H23" s="93" t="n">
        <f aca="false">IFERROR((($A23*MW_2pe)+((1-$A23)*MW_2m2boh))/C23-(($A23*MW_2pe/C$33)+((1-$A23)*MW_2m2boh/C$23)),"")</f>
        <v>0</v>
      </c>
      <c r="I23" s="93" t="n">
        <f aca="false">IFERROR((($A23*MW_2pe)+((1-$A23)*MW_2m2boh))/D23-(($A23*MW_2pe/D$33)+((1-$A23)*MW_2m2boh/D$23)),"")</f>
        <v>0</v>
      </c>
      <c r="J23" s="93" t="n">
        <f aca="false">IFERROR((($A23*MW_2pe)+((1-$A23)*MW_2m2boh))/E23-(($A23*MW_2pe/E$33)+((1-$A23)*MW_2m2boh/E$23)),"")</f>
        <v>0</v>
      </c>
      <c r="K23" s="93" t="n">
        <f aca="false">IFERROR((($A23*MW_2pe)+((1-$A23)*MW_2m2boh))/F23-(($A23*MW_2pe/F$33)+((1-$A23)*MW_2m2boh/F$23)),"")</f>
        <v>0</v>
      </c>
    </row>
    <row r="24" customFormat="false" ht="14.25" hidden="false" customHeight="true" outlineLevel="0" collapsed="false">
      <c r="A24" s="112" t="n">
        <f aca="false">G8</f>
        <v>0.100559254025526</v>
      </c>
      <c r="B24" s="93" t="n">
        <v>0.8346</v>
      </c>
      <c r="C24" s="93" t="n">
        <v>0.8254</v>
      </c>
      <c r="D24" s="93" t="n">
        <v>0.816</v>
      </c>
      <c r="E24" s="93" t="n">
        <v>0.8063</v>
      </c>
      <c r="F24" s="93" t="n">
        <v>0.7964</v>
      </c>
      <c r="G24" s="93" t="n">
        <f aca="false">IFERROR((($A24*MW_2pe)+((1-$A24)*MW_2m2boh))/B24-(($A24*MW_2pe/B$33)+((1-$A24)*MW_2m2boh/B$23)),"")</f>
        <v>-0.333753952795533</v>
      </c>
      <c r="H24" s="93" t="n">
        <f aca="false">IFERROR((($A24*MW_2pe)+((1-$A24)*MW_2m2boh))/C24-(($A24*MW_2pe/C$33)+((1-$A24)*MW_2m2boh/C$23)),"")</f>
        <v>-0.326354144128231</v>
      </c>
      <c r="I24" s="93" t="n">
        <f aca="false">IFERROR((($A24*MW_2pe)+((1-$A24)*MW_2m2boh))/D24-(($A24*MW_2pe/D$33)+((1-$A24)*MW_2m2boh/D$23)),"")</f>
        <v>-0.32297366446241</v>
      </c>
      <c r="J24" s="93" t="n">
        <f aca="false">IFERROR((($A24*MW_2pe)+((1-$A24)*MW_2m2boh))/E24-(($A24*MW_2pe/E$33)+((1-$A24)*MW_2m2boh/E$23)),"")</f>
        <v>-0.318863674469782</v>
      </c>
      <c r="K24" s="93" t="n">
        <f aca="false">IFERROR((($A24*MW_2pe)+((1-$A24)*MW_2m2boh))/F24-(($A24*MW_2pe/F$33)+((1-$A24)*MW_2m2boh/F$23)),"")</f>
        <v>-0.335188903433263</v>
      </c>
    </row>
    <row r="25" customFormat="false" ht="14.25" hidden="false" customHeight="true" outlineLevel="0" collapsed="false">
      <c r="A25" s="112" t="n">
        <f aca="false">G9</f>
        <v>0.200245765489875</v>
      </c>
      <c r="B25" s="93" t="n">
        <v>0.8583</v>
      </c>
      <c r="C25" s="93" t="n">
        <v>0.8494</v>
      </c>
      <c r="D25" s="93" t="n">
        <v>0.8402</v>
      </c>
      <c r="E25" s="93" t="n">
        <v>0.8307</v>
      </c>
      <c r="F25" s="93" t="n">
        <v>0.8211</v>
      </c>
      <c r="G25" s="93" t="n">
        <f aca="false">IFERROR((($A25*MW_2pe)+((1-$A25)*MW_2m2boh))/B25-(($A25*MW_2pe/B$33)+((1-$A25)*MW_2m2boh/B$23)),"")</f>
        <v>-0.49182160226303</v>
      </c>
      <c r="H25" s="93" t="n">
        <f aca="false">IFERROR((($A25*MW_2pe)+((1-$A25)*MW_2m2boh))/C25-(($A25*MW_2pe/C$33)+((1-$A25)*MW_2m2boh/C$23)),"")</f>
        <v>-0.510527953631524</v>
      </c>
      <c r="I25" s="93" t="n">
        <f aca="false">IFERROR((($A25*MW_2pe)+((1-$A25)*MW_2m2boh))/D25-(($A25*MW_2pe/D$33)+((1-$A25)*MW_2m2boh/D$23)),"")</f>
        <v>-0.51951954640235</v>
      </c>
      <c r="J25" s="93" t="n">
        <f aca="false">IFERROR((($A25*MW_2pe)+((1-$A25)*MW_2m2boh))/E25-(($A25*MW_2pe/E$33)+((1-$A25)*MW_2m2boh/E$23)),"")</f>
        <v>-0.526122255704678</v>
      </c>
      <c r="K25" s="93" t="n">
        <f aca="false">IFERROR((($A25*MW_2pe)+((1-$A25)*MW_2m2boh))/F25-(($A25*MW_2pe/F$33)+((1-$A25)*MW_2m2boh/F$23)),"")</f>
        <v>-0.564483173198795</v>
      </c>
    </row>
    <row r="26" customFormat="false" ht="14.25" hidden="false" customHeight="true" outlineLevel="0" collapsed="false">
      <c r="A26" s="112" t="n">
        <f aca="false">G10</f>
        <v>0.299990044912394</v>
      </c>
      <c r="B26" s="1" t="n">
        <v>0.8808</v>
      </c>
      <c r="C26" s="1" t="n">
        <v>0.8722</v>
      </c>
      <c r="D26" s="1" t="n">
        <v>0.8632</v>
      </c>
      <c r="E26" s="1" t="n">
        <v>0.8541</v>
      </c>
      <c r="F26" s="1" t="n">
        <v>0.8448</v>
      </c>
      <c r="G26" s="93" t="n">
        <f aca="false">IFERROR((($A26*MW_2pe)+((1-$A26)*MW_2m2boh))/B26-(($A26*MW_2pe/B$33)+((1-$A26)*MW_2m2boh/B$23)),"")</f>
        <v>-0.545831873008737</v>
      </c>
      <c r="H26" s="93" t="n">
        <f aca="false">IFERROR((($A26*MW_2pe)+((1-$A26)*MW_2m2boh))/C26-(($A26*MW_2pe/C$33)+((1-$A26)*MW_2m2boh/C$23)),"")</f>
        <v>-0.58521285031614</v>
      </c>
      <c r="I26" s="93" t="n">
        <f aca="false">IFERROR((($A26*MW_2pe)+((1-$A26)*MW_2m2boh))/D26-(($A26*MW_2pe/D$33)+((1-$A26)*MW_2m2boh/D$23)),"")</f>
        <v>-0.601156138593154</v>
      </c>
      <c r="J26" s="93" t="n">
        <f aca="false">IFERROR((($A26*MW_2pe)+((1-$A26)*MW_2m2boh))/E26-(($A26*MW_2pe/E$33)+((1-$A26)*MW_2m2boh/E$23)),"")</f>
        <v>-0.639512921447448</v>
      </c>
      <c r="K26" s="93" t="n">
        <f aca="false">IFERROR((($A26*MW_2pe)+((1-$A26)*MW_2m2boh))/F26-(($A26*MW_2pe/F$33)+((1-$A26)*MW_2m2boh/F$23)),"")</f>
        <v>-0.693475733042561</v>
      </c>
    </row>
    <row r="27" customFormat="false" ht="14.25" hidden="false" customHeight="true" outlineLevel="0" collapsed="false">
      <c r="A27" s="112" t="n">
        <f aca="false">G11</f>
        <v>0.400510364581864</v>
      </c>
      <c r="B27" s="1" t="n">
        <v>0.9026</v>
      </c>
      <c r="C27" s="93" t="n">
        <v>0.8942</v>
      </c>
      <c r="D27" s="93" t="n">
        <v>0.8855</v>
      </c>
      <c r="E27" s="93" t="n">
        <v>0.8767</v>
      </c>
      <c r="F27" s="93" t="n">
        <v>0.8677</v>
      </c>
      <c r="G27" s="93" t="n">
        <f aca="false">IFERROR((($A27*MW_2pe)+((1-$A27)*MW_2m2boh))/B27-(($A27*MW_2pe/B$33)+((1-$A27)*MW_2m2boh/B$23)),"")</f>
        <v>-0.54271331740128</v>
      </c>
      <c r="H27" s="93" t="n">
        <f aca="false">IFERROR((($A27*MW_2pe)+((1-$A27)*MW_2m2boh))/C27-(($A27*MW_2pe/C$33)+((1-$A27)*MW_2m2boh/C$23)),"")</f>
        <v>-0.58604338262623</v>
      </c>
      <c r="I27" s="93" t="n">
        <f aca="false">IFERROR((($A27*MW_2pe)+((1-$A27)*MW_2m2boh))/D27-(($A27*MW_2pe/D$33)+((1-$A27)*MW_2m2boh/D$23)),"")</f>
        <v>-0.617683345581852</v>
      </c>
      <c r="J27" s="93" t="n">
        <f aca="false">IFERROR((($A27*MW_2pe)+((1-$A27)*MW_2m2boh))/E27-(($A27*MW_2pe/E$33)+((1-$A27)*MW_2m2boh/E$23)),"")</f>
        <v>-0.669205732445462</v>
      </c>
      <c r="K27" s="93" t="n">
        <f aca="false">IFERROR((($A27*MW_2pe)+((1-$A27)*MW_2m2boh))/F27-(($A27*MW_2pe/F$33)+((1-$A27)*MW_2m2boh/F$23)),"")</f>
        <v>-0.733125947031866</v>
      </c>
    </row>
    <row r="28" customFormat="false" ht="14.25" hidden="false" customHeight="true" outlineLevel="0" collapsed="false">
      <c r="A28" s="112" t="n">
        <f aca="false">G12</f>
        <v>0.499854117889342</v>
      </c>
      <c r="B28" s="1" t="n">
        <v>0.9234</v>
      </c>
      <c r="C28" s="93" t="n">
        <v>0.9152</v>
      </c>
      <c r="D28" s="93" t="n">
        <v>0.9068</v>
      </c>
      <c r="E28" s="93" t="n">
        <v>0.8983</v>
      </c>
      <c r="F28" s="93" t="n">
        <v>0.8895</v>
      </c>
      <c r="G28" s="93" t="n">
        <f aca="false">IFERROR((($A28*MW_2pe)+((1-$A28)*MW_2m2boh))/B28-(($A28*MW_2pe/B$33)+((1-$A28)*MW_2m2boh/B$23)),"")</f>
        <v>-0.498409788402469</v>
      </c>
      <c r="H28" s="93" t="n">
        <f aca="false">IFERROR((($A28*MW_2pe)+((1-$A28)*MW_2m2boh))/C28-(($A28*MW_2pe/C$33)+((1-$A28)*MW_2m2boh/C$23)),"")</f>
        <v>-0.543231828238334</v>
      </c>
      <c r="I28" s="93" t="n">
        <f aca="false">IFERROR((($A28*MW_2pe)+((1-$A28)*MW_2m2boh))/D28-(($A28*MW_2pe/D$33)+((1-$A28)*MW_2m2boh/D$23)),"")</f>
        <v>-0.587463245568102</v>
      </c>
      <c r="J28" s="93" t="n">
        <f aca="false">IFERROR((($A28*MW_2pe)+((1-$A28)*MW_2m2boh))/E28-(($A28*MW_2pe/E$33)+((1-$A28)*MW_2m2boh/E$23)),"")</f>
        <v>-0.648781902169603</v>
      </c>
      <c r="K28" s="93" t="n">
        <f aca="false">IFERROR((($A28*MW_2pe)+((1-$A28)*MW_2m2boh))/F28-(($A28*MW_2pe/F$33)+((1-$A28)*MW_2m2boh/F$23)),"")</f>
        <v>-0.705690056227084</v>
      </c>
    </row>
    <row r="29" customFormat="false" ht="14.25" hidden="false" customHeight="true" outlineLevel="0" collapsed="false">
      <c r="A29" s="112" t="n">
        <f aca="false">G13</f>
        <v>0.599726229578825</v>
      </c>
      <c r="B29" s="1" t="n">
        <v>0.9436</v>
      </c>
      <c r="C29" s="93" t="n">
        <v>0.9357</v>
      </c>
      <c r="D29" s="93" t="n">
        <v>0.9275</v>
      </c>
      <c r="E29" s="93" t="n">
        <v>0.9192</v>
      </c>
      <c r="F29" s="93" t="n">
        <v>0.9108</v>
      </c>
      <c r="G29" s="93" t="n">
        <f aca="false">IFERROR((($A29*MW_2pe)+((1-$A29)*MW_2m2boh))/B29-(($A29*MW_2pe/B$33)+((1-$A29)*MW_2m2boh/B$23)),"")</f>
        <v>-0.416998815418594</v>
      </c>
      <c r="H29" s="93" t="n">
        <f aca="false">IFERROR((($A29*MW_2pe)+((1-$A29)*MW_2m2boh))/C29-(($A29*MW_2pe/C$33)+((1-$A29)*MW_2m2boh/C$23)),"")</f>
        <v>-0.473248798381178</v>
      </c>
      <c r="I29" s="93" t="n">
        <f aca="false">IFERROR((($A29*MW_2pe)+((1-$A29)*MW_2m2boh))/D29-(($A29*MW_2pe/D$33)+((1-$A29)*MW_2m2boh/D$23)),"")</f>
        <v>-0.514628039914513</v>
      </c>
      <c r="J29" s="93" t="n">
        <f aca="false">IFERROR((($A29*MW_2pe)+((1-$A29)*MW_2m2boh))/E29-(($A29*MW_2pe/E$33)+((1-$A29)*MW_2m2boh/E$23)),"")</f>
        <v>-0.569561858027612</v>
      </c>
      <c r="K29" s="93" t="n">
        <f aca="false">IFERROR((($A29*MW_2pe)+((1-$A29)*MW_2m2boh))/F29-(($A29*MW_2pe/F$33)+((1-$A29)*MW_2m2boh/F$23)),"")</f>
        <v>-0.642116482639722</v>
      </c>
    </row>
    <row r="30" customFormat="false" ht="14.25" hidden="false" customHeight="true" outlineLevel="0" collapsed="false">
      <c r="A30" s="112" t="n">
        <f aca="false">G14</f>
        <v>0.698129790940866</v>
      </c>
      <c r="B30" s="93" t="n">
        <v>0.963</v>
      </c>
      <c r="C30" s="93" t="n">
        <v>0.9552</v>
      </c>
      <c r="D30" s="93" t="n">
        <v>0.9472</v>
      </c>
      <c r="E30" s="93" t="n">
        <v>0.9391</v>
      </c>
      <c r="F30" s="93" t="n">
        <v>0.9309</v>
      </c>
      <c r="G30" s="93" t="n">
        <f aca="false">IFERROR((($A30*MW_2pe)+((1-$A30)*MW_2m2boh))/B30-(($A30*MW_2pe/B$33)+((1-$A30)*MW_2m2boh/B$23)),"")</f>
        <v>-0.323781371777486</v>
      </c>
      <c r="H30" s="93" t="n">
        <f aca="false">IFERROR((($A30*MW_2pe)+((1-$A30)*MW_2m2boh))/C30-(($A30*MW_2pe/C$33)+((1-$A30)*MW_2m2boh/C$23)),"")</f>
        <v>-0.365375589377848</v>
      </c>
      <c r="I30" s="93" t="n">
        <f aca="false">IFERROR((($A30*MW_2pe)+((1-$A30)*MW_2m2boh))/D30-(($A30*MW_2pe/D$33)+((1-$A30)*MW_2m2boh/D$23)),"")</f>
        <v>-0.402060042930202</v>
      </c>
      <c r="J30" s="93" t="n">
        <f aca="false">IFERROR((($A30*MW_2pe)+((1-$A30)*MW_2m2boh))/E30-(($A30*MW_2pe/E$33)+((1-$A30)*MW_2m2boh/E$23)),"")</f>
        <v>-0.448656077923673</v>
      </c>
      <c r="K30" s="93" t="n">
        <f aca="false">IFERROR((($A30*MW_2pe)+((1-$A30)*MW_2m2boh))/F30-(($A30*MW_2pe/F$33)+((1-$A30)*MW_2m2boh/F$23)),"")</f>
        <v>-0.508222422056917</v>
      </c>
    </row>
    <row r="31" customFormat="false" ht="14.25" hidden="false" customHeight="true" outlineLevel="0" collapsed="false">
      <c r="A31" s="112" t="n">
        <f aca="false">G15</f>
        <v>0.80061337514444</v>
      </c>
      <c r="B31" s="93" t="n">
        <v>0.9827</v>
      </c>
      <c r="C31" s="93" t="n">
        <v>0.9751</v>
      </c>
      <c r="D31" s="93" t="n">
        <v>0.9673</v>
      </c>
      <c r="E31" s="93" t="n">
        <v>0.9593</v>
      </c>
      <c r="F31" s="93" t="n">
        <v>0.9513</v>
      </c>
      <c r="G31" s="93" t="n">
        <f aca="false">IFERROR((($A31*MW_2pe)+((1-$A31)*MW_2m2boh))/B31-(($A31*MW_2pe/B$33)+((1-$A31)*MW_2m2boh/B$23)),"")</f>
        <v>-0.215043786300456</v>
      </c>
      <c r="H31" s="93" t="n">
        <f aca="false">IFERROR((($A31*MW_2pe)+((1-$A31)*MW_2m2boh))/C31-(($A31*MW_2pe/C$33)+((1-$A31)*MW_2m2boh/C$23)),"")</f>
        <v>-0.251735882052174</v>
      </c>
      <c r="I31" s="93" t="n">
        <f aca="false">IFERROR((($A31*MW_2pe)+((1-$A31)*MW_2m2boh))/D31-(($A31*MW_2pe/D$33)+((1-$A31)*MW_2m2boh/D$23)),"")</f>
        <v>-0.281026199110812</v>
      </c>
      <c r="J31" s="93" t="n">
        <f aca="false">IFERROR((($A31*MW_2pe)+((1-$A31)*MW_2m2boh))/E31-(($A31*MW_2pe/E$33)+((1-$A31)*MW_2m2boh/E$23)),"")</f>
        <v>-0.303724772435871</v>
      </c>
      <c r="K31" s="93" t="n">
        <f aca="false">IFERROR((($A31*MW_2pe)+((1-$A31)*MW_2m2boh))/F31-(($A31*MW_2pe/F$33)+((1-$A31)*MW_2m2boh/F$23)),"")</f>
        <v>-0.346689114940375</v>
      </c>
    </row>
    <row r="32" customFormat="false" ht="14.25" hidden="false" customHeight="true" outlineLevel="0" collapsed="false">
      <c r="A32" s="112" t="n">
        <f aca="false">G16</f>
        <v>0.899685133190903</v>
      </c>
      <c r="B32" s="93" t="n">
        <v>1.0014</v>
      </c>
      <c r="C32" s="93" t="n">
        <v>0.9938</v>
      </c>
      <c r="D32" s="93" t="n">
        <v>0.9861</v>
      </c>
      <c r="E32" s="93" t="n">
        <v>0.9784</v>
      </c>
      <c r="F32" s="93" t="n">
        <v>0.9705</v>
      </c>
      <c r="G32" s="93" t="n">
        <f aca="false">IFERROR((($A32*MW_2pe)+((1-$A32)*MW_2m2boh))/B32-(($A32*MW_2pe/B$33)+((1-$A32)*MW_2m2boh/B$23)),"")</f>
        <v>-0.114708804506733</v>
      </c>
      <c r="H32" s="93" t="n">
        <f aca="false">IFERROR((($A32*MW_2pe)+((1-$A32)*MW_2m2boh))/C32-(($A32*MW_2pe/C$33)+((1-$A32)*MW_2m2boh/C$23)),"")</f>
        <v>-0.122333027715669</v>
      </c>
      <c r="I32" s="93" t="n">
        <f aca="false">IFERROR((($A32*MW_2pe)+((1-$A32)*MW_2m2boh))/D32-(($A32*MW_2pe/D$33)+((1-$A32)*MW_2m2boh/D$23)),"")</f>
        <v>-0.131516550320512</v>
      </c>
      <c r="J32" s="93" t="n">
        <f aca="false">IFERROR((($A32*MW_2pe)+((1-$A32)*MW_2m2boh))/E32-(($A32*MW_2pe/E$33)+((1-$A32)*MW_2m2boh/E$23)),"")</f>
        <v>-0.154725779623064</v>
      </c>
      <c r="K32" s="93" t="n">
        <f aca="false">IFERROR((($A32*MW_2pe)+((1-$A32)*MW_2m2boh))/F32-(($A32*MW_2pe/F$33)+((1-$A32)*MW_2m2boh/F$23)),"")</f>
        <v>-0.168290871476898</v>
      </c>
    </row>
    <row r="33" customFormat="false" ht="14.25" hidden="false" customHeight="true" outlineLevel="0" collapsed="false">
      <c r="A33" s="112" t="n">
        <f aca="false">G17</f>
        <v>1</v>
      </c>
      <c r="B33" s="93" t="n">
        <f aca="false">densidad_viscosidad_puros!G75</f>
        <v>1.01985</v>
      </c>
      <c r="C33" s="93" t="n">
        <f aca="false">densidad_viscosidad_puros!G76</f>
        <v>1.01244</v>
      </c>
      <c r="D33" s="93" t="n">
        <f aca="false">densidad_viscosidad_puros!G77</f>
        <v>1.00494</v>
      </c>
      <c r="E33" s="93" t="n">
        <f aca="false">densidad_viscosidad_puros!G78</f>
        <v>0.99736</v>
      </c>
      <c r="F33" s="93" t="n">
        <f aca="false">densidad_viscosidad_puros!G79</f>
        <v>0.9897</v>
      </c>
      <c r="G33" s="93" t="n">
        <f aca="false">IFERROR((($A33*MW_2pe)+((1-$A33)*MW_2m2boh))/B33-(($A33*MW_2pe/B$33)+((1-$A33)*MW_2m2boh/B$23)),"")</f>
        <v>0</v>
      </c>
      <c r="H33" s="93" t="n">
        <f aca="false">IFERROR((($A33*MW_2pe)+((1-$A33)*MW_2m2boh))/C33-(($A33*MW_2pe/C$33)+((1-$A33)*MW_2m2boh/C$23)),"")</f>
        <v>0</v>
      </c>
      <c r="I33" s="93" t="n">
        <f aca="false">IFERROR((($A33*MW_2pe)+((1-$A33)*MW_2m2boh))/D33-(($A33*MW_2pe/D$33)+((1-$A33)*MW_2m2boh/D$23)),"")</f>
        <v>0</v>
      </c>
      <c r="J33" s="93" t="n">
        <f aca="false">IFERROR((($A33*MW_2pe)+((1-$A33)*MW_2m2boh))/E33-(($A33*MW_2pe/E$33)+((1-$A33)*MW_2m2boh/E$23)),"")</f>
        <v>0</v>
      </c>
      <c r="K33" s="93" t="n">
        <f aca="false">IFERROR((($A33*MW_2pe)+((1-$A33)*MW_2m2boh))/F33-(($A33*MW_2pe/F$33)+((1-$A33)*MW_2m2boh/F$23)),"")</f>
        <v>0</v>
      </c>
    </row>
    <row r="34" customFormat="false" ht="14.25" hidden="false" customHeight="true" outlineLevel="0" collapsed="false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</row>
    <row r="35" customFormat="false" ht="12.75" hidden="false" customHeight="true" outlineLevel="0" collapsed="false">
      <c r="A35" s="93"/>
      <c r="B35" s="93" t="s">
        <v>214</v>
      </c>
      <c r="G35" s="93"/>
      <c r="H35" s="93"/>
      <c r="I35" s="93"/>
      <c r="J35" s="93"/>
      <c r="K35" s="93"/>
    </row>
    <row r="36" customFormat="false" ht="14.25" hidden="false" customHeight="true" outlineLevel="0" collapsed="false">
      <c r="A36" s="93" t="s">
        <v>285</v>
      </c>
      <c r="B36" s="93" t="n">
        <v>20</v>
      </c>
      <c r="C36" s="97" t="n">
        <v>30</v>
      </c>
      <c r="D36" s="93" t="n">
        <v>40</v>
      </c>
      <c r="E36" s="97" t="n">
        <v>50</v>
      </c>
      <c r="F36" s="93" t="n">
        <v>60</v>
      </c>
      <c r="G36" s="93"/>
      <c r="H36" s="97"/>
      <c r="I36" s="93"/>
      <c r="J36" s="97"/>
      <c r="K36" s="93"/>
    </row>
    <row r="37" customFormat="false" ht="14.25" hidden="false" customHeight="true" outlineLevel="0" collapsed="false">
      <c r="A37" s="112" t="n">
        <v>0</v>
      </c>
      <c r="B37" s="93" t="n">
        <f aca="false">densidad_viscosidad_puros!I15</f>
        <v>4.244</v>
      </c>
      <c r="C37" s="93" t="n">
        <f aca="false">densidad_viscosidad_puros!I16</f>
        <v>2.776</v>
      </c>
      <c r="D37" s="93" t="n">
        <f aca="false">densidad_viscosidad_puros!I17</f>
        <v>1.918</v>
      </c>
      <c r="E37" s="93" t="n">
        <f aca="false">densidad_viscosidad_puros!I18</f>
        <v>1.397</v>
      </c>
      <c r="F37" s="93" t="n">
        <f aca="false">densidad_viscosidad_puros!I19</f>
        <v>1.036</v>
      </c>
      <c r="G37" s="93"/>
      <c r="H37" s="93"/>
      <c r="I37" s="93"/>
      <c r="J37" s="93"/>
      <c r="K37" s="93"/>
    </row>
    <row r="38" customFormat="false" ht="14.25" hidden="false" customHeight="true" outlineLevel="0" collapsed="false">
      <c r="A38" s="112" t="n">
        <f aca="false">G8</f>
        <v>0.100559254025526</v>
      </c>
      <c r="B38" s="93" t="n">
        <v>5.352</v>
      </c>
      <c r="C38" s="93" t="n">
        <v>3.365</v>
      </c>
      <c r="D38" s="93" t="n">
        <v>2.264</v>
      </c>
      <c r="E38" s="93" t="n">
        <v>1.607</v>
      </c>
      <c r="F38" s="93" t="n">
        <v>1.195</v>
      </c>
      <c r="G38" s="93"/>
      <c r="H38" s="93"/>
      <c r="I38" s="93"/>
      <c r="J38" s="93"/>
      <c r="K38" s="93"/>
    </row>
    <row r="39" customFormat="false" ht="14.25" hidden="false" customHeight="true" outlineLevel="0" collapsed="false">
      <c r="A39" s="112" t="n">
        <f aca="false">G9</f>
        <v>0.200245765489875</v>
      </c>
      <c r="B39" s="93" t="n">
        <v>6.445</v>
      </c>
      <c r="C39" s="93" t="n">
        <v>3.971</v>
      </c>
      <c r="D39" s="93" t="n">
        <v>2.661</v>
      </c>
      <c r="E39" s="93" t="n">
        <v>1.882</v>
      </c>
      <c r="F39" s="93" t="n">
        <v>1.393</v>
      </c>
      <c r="G39" s="93"/>
      <c r="H39" s="93"/>
      <c r="I39" s="93"/>
      <c r="J39" s="93"/>
      <c r="K39" s="93"/>
    </row>
    <row r="40" customFormat="false" ht="14.25" hidden="false" customHeight="true" outlineLevel="0" collapsed="false">
      <c r="A40" s="112" t="n">
        <f aca="false">G10</f>
        <v>0.299990044912394</v>
      </c>
      <c r="B40" s="93" t="n">
        <v>7.684</v>
      </c>
      <c r="C40" s="93" t="n">
        <v>4.615</v>
      </c>
      <c r="D40" s="93" t="n">
        <v>3.087</v>
      </c>
      <c r="E40" s="93" t="n">
        <v>2.179</v>
      </c>
      <c r="F40" s="93" t="n">
        <v>1.609</v>
      </c>
      <c r="G40" s="93"/>
      <c r="H40" s="93"/>
      <c r="I40" s="93"/>
      <c r="J40" s="93"/>
      <c r="K40" s="93"/>
    </row>
    <row r="41" customFormat="false" ht="14.25" hidden="false" customHeight="true" outlineLevel="0" collapsed="false">
      <c r="A41" s="112" t="n">
        <f aca="false">G11</f>
        <v>0.400510364581864</v>
      </c>
      <c r="B41" s="93" t="n">
        <v>8.391</v>
      </c>
      <c r="C41" s="93" t="n">
        <v>5.253</v>
      </c>
      <c r="D41" s="93" t="n">
        <v>3.533</v>
      </c>
      <c r="E41" s="93" t="n">
        <v>2.488</v>
      </c>
      <c r="F41" s="93" t="n">
        <v>1.862</v>
      </c>
      <c r="G41" s="93"/>
      <c r="H41" s="93"/>
      <c r="I41" s="93"/>
      <c r="J41" s="93"/>
      <c r="K41" s="93"/>
    </row>
    <row r="42" customFormat="false" ht="14.25" hidden="false" customHeight="true" outlineLevel="0" collapsed="false">
      <c r="A42" s="112" t="n">
        <f aca="false">G12</f>
        <v>0.499854117889342</v>
      </c>
      <c r="B42" s="93" t="n">
        <v>9.549</v>
      </c>
      <c r="C42" s="93" t="n">
        <v>6.014</v>
      </c>
      <c r="D42" s="93" t="n">
        <v>4.106</v>
      </c>
      <c r="E42" s="93" t="n">
        <v>2.879</v>
      </c>
      <c r="F42" s="93" t="n">
        <v>2.061</v>
      </c>
      <c r="G42" s="93"/>
      <c r="H42" s="93"/>
      <c r="I42" s="93"/>
      <c r="J42" s="93"/>
      <c r="K42" s="93"/>
    </row>
    <row r="43" customFormat="false" ht="14.25" hidden="false" customHeight="true" outlineLevel="0" collapsed="false">
      <c r="A43" s="112" t="n">
        <f aca="false">G13</f>
        <v>0.599726229578825</v>
      </c>
      <c r="B43" s="93" t="n">
        <v>10.2</v>
      </c>
      <c r="C43" s="93" t="n">
        <v>6.474</v>
      </c>
      <c r="D43" s="93" t="n">
        <v>4.353</v>
      </c>
      <c r="E43" s="93" t="n">
        <v>3.104</v>
      </c>
      <c r="F43" s="93" t="n">
        <v>2.297</v>
      </c>
      <c r="G43" s="93"/>
      <c r="H43" s="93"/>
      <c r="I43" s="93"/>
      <c r="J43" s="93"/>
      <c r="K43" s="93"/>
    </row>
    <row r="44" customFormat="false" ht="14.25" hidden="false" customHeight="true" outlineLevel="0" collapsed="false">
      <c r="A44" s="112" t="n">
        <f aca="false">G14</f>
        <v>0.698129790940866</v>
      </c>
      <c r="B44" s="93" t="n">
        <v>11.08</v>
      </c>
      <c r="C44" s="93" t="n">
        <v>7.042</v>
      </c>
      <c r="D44" s="93" t="n">
        <v>4.772</v>
      </c>
      <c r="E44" s="93" t="n">
        <v>3.385</v>
      </c>
      <c r="F44" s="93" t="n">
        <v>2.519</v>
      </c>
      <c r="G44" s="93"/>
      <c r="H44" s="93"/>
      <c r="I44" s="93"/>
      <c r="J44" s="93"/>
      <c r="K44" s="93"/>
    </row>
    <row r="45" customFormat="false" ht="14.25" hidden="false" customHeight="true" outlineLevel="0" collapsed="false">
      <c r="A45" s="112" t="n">
        <f aca="false">G15</f>
        <v>0.80061337514444</v>
      </c>
      <c r="B45" s="93" t="n">
        <v>12.19</v>
      </c>
      <c r="C45" s="93" t="n">
        <v>7.656</v>
      </c>
      <c r="D45" s="93" t="n">
        <v>5.176</v>
      </c>
      <c r="E45" s="93" t="n">
        <v>3.74</v>
      </c>
      <c r="F45" s="93" t="n">
        <v>2.769</v>
      </c>
      <c r="G45" s="93"/>
      <c r="H45" s="93"/>
      <c r="I45" s="93"/>
      <c r="J45" s="93"/>
      <c r="K45" s="93"/>
    </row>
    <row r="46" customFormat="false" ht="14.25" hidden="false" customHeight="true" outlineLevel="0" collapsed="false">
      <c r="A46" s="112" t="n">
        <f aca="false">G16</f>
        <v>0.899685133190903</v>
      </c>
      <c r="B46" s="1" t="n">
        <v>12.89</v>
      </c>
      <c r="C46" s="1" t="n">
        <v>8.212</v>
      </c>
      <c r="D46" s="1" t="n">
        <v>5.579</v>
      </c>
      <c r="E46" s="1" t="n">
        <v>3.979</v>
      </c>
      <c r="F46" s="1" t="n">
        <v>2.976</v>
      </c>
      <c r="G46" s="93"/>
      <c r="H46" s="93"/>
      <c r="I46" s="93"/>
      <c r="J46" s="93"/>
      <c r="K46" s="93"/>
    </row>
    <row r="47" customFormat="false" ht="14.25" hidden="false" customHeight="true" outlineLevel="0" collapsed="false">
      <c r="A47" s="112" t="n">
        <f aca="false">G17</f>
        <v>1</v>
      </c>
      <c r="B47" s="93" t="n">
        <f aca="false">densidad_viscosidad_puros!I75</f>
        <v>14.04</v>
      </c>
      <c r="C47" s="93" t="n">
        <f aca="false">densidad_viscosidad_puros!I76</f>
        <v>8.973</v>
      </c>
      <c r="D47" s="93" t="n">
        <f aca="false">densidad_viscosidad_puros!I77</f>
        <v>6.102</v>
      </c>
      <c r="E47" s="93" t="n">
        <f aca="false">densidad_viscosidad_puros!I78</f>
        <v>4.368</v>
      </c>
      <c r="F47" s="93" t="n">
        <f aca="false">densidad_viscosidad_puros!I79</f>
        <v>3.252</v>
      </c>
      <c r="G47" s="93"/>
      <c r="H47" s="93"/>
      <c r="I47" s="93"/>
      <c r="J47" s="93"/>
      <c r="K47" s="93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</sheetData>
  <printOptions headings="false" gridLines="false" gridLinesSet="true" horizontalCentered="true" verticalCentered="false"/>
  <pageMargins left="0.7" right="0.7" top="1.14375" bottom="1.14375" header="0.511811023622047" footer="0.511811023622047"/>
  <pageSetup paperSize="1" scale="1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N17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F37" activeCellId="1" sqref="B39:F39 F37"/>
    </sheetView>
  </sheetViews>
  <sheetFormatPr defaultColWidth="8.50390625" defaultRowHeight="14.2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4" min="4" style="1" width="12.5"/>
    <col collapsed="false" customWidth="true" hidden="false" outlineLevel="0" max="5" min="5" style="1" width="17.12"/>
    <col collapsed="false" customWidth="true" hidden="false" outlineLevel="0" max="6" min="6" style="1" width="12.25"/>
    <col collapsed="false" customWidth="true" hidden="false" outlineLevel="0" max="8" min="8" style="1" width="11.75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32</v>
      </c>
      <c r="B2" s="1" t="n">
        <v>1</v>
      </c>
      <c r="C2" s="1" t="n">
        <v>122.16</v>
      </c>
    </row>
    <row r="3" customFormat="false" ht="14.25" hidden="false" customHeight="true" outlineLevel="0" collapsed="false">
      <c r="A3" s="1" t="s">
        <v>20</v>
      </c>
      <c r="B3" s="1" t="n">
        <v>2</v>
      </c>
      <c r="C3" s="1" t="n">
        <v>102.17</v>
      </c>
    </row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361</v>
      </c>
      <c r="C7" s="1" t="s">
        <v>314</v>
      </c>
      <c r="D7" s="1" t="s">
        <v>362</v>
      </c>
      <c r="E7" s="1" t="s">
        <v>363</v>
      </c>
      <c r="F7" s="1" t="s">
        <v>315</v>
      </c>
      <c r="G7" s="1" t="s">
        <v>371</v>
      </c>
    </row>
    <row r="8" customFormat="false" ht="14.25" hidden="false" customHeight="true" outlineLevel="0" collapsed="false">
      <c r="A8" s="1" t="n">
        <v>5</v>
      </c>
      <c r="B8" s="5" t="n">
        <f aca="false">IF(D8=0, 0, IF(D8=1, A8, (D8*A8*$C$2)/($C$3*(1-D8)+$C$2*D8)))</f>
        <v>0</v>
      </c>
      <c r="C8" s="5" t="n">
        <f aca="false">A8-B8</f>
        <v>5</v>
      </c>
      <c r="D8" s="1" t="n">
        <v>0</v>
      </c>
      <c r="E8" s="1" t="n">
        <v>0</v>
      </c>
      <c r="F8" s="113" t="n">
        <v>1</v>
      </c>
      <c r="G8" s="1" t="n">
        <f aca="false">IF(AND(E8=0,F8&gt;0),0,"")</f>
        <v>0</v>
      </c>
    </row>
    <row r="9" customFormat="false" ht="14.25" hidden="false" customHeight="true" outlineLevel="0" collapsed="false">
      <c r="A9" s="1" t="n">
        <v>5</v>
      </c>
      <c r="B9" s="5" t="n">
        <f aca="false">IF(D9=0, 0, IF(D9=1, A9, (D9*A9*$C$2)/($C$3*(1-D9)+$C$2*D9)))</f>
        <v>0.586354865651009</v>
      </c>
      <c r="C9" s="5" t="n">
        <f aca="false">A9-B9</f>
        <v>4.41364513434899</v>
      </c>
      <c r="D9" s="1" t="n">
        <v>0.1</v>
      </c>
      <c r="E9" s="1" t="n">
        <v>0.5876</v>
      </c>
      <c r="F9" s="1" t="n">
        <v>4.4166</v>
      </c>
      <c r="G9" s="1" t="n">
        <f aca="false">IFERROR((E9*purity_2pe/MW_2pe)/((E9*purity_2pe/MW_2pe)+(F9*purity_hexoh/MW_hexoh)),"")</f>
        <v>0.100311290464003</v>
      </c>
    </row>
    <row r="10" customFormat="false" ht="14.25" hidden="false" customHeight="true" outlineLevel="0" collapsed="false">
      <c r="A10" s="1" t="n">
        <v>5</v>
      </c>
      <c r="B10" s="5" t="n">
        <f aca="false">IF(D10=0, 0, IF(D10=1, A10, (D10*A10*$C$2)/($C$3*(1-D10)+$C$2*D10)))</f>
        <v>1.15062919147012</v>
      </c>
      <c r="C10" s="5" t="n">
        <f aca="false">A10-B10</f>
        <v>3.84937080852988</v>
      </c>
      <c r="D10" s="1" t="n">
        <v>0.2</v>
      </c>
      <c r="E10" s="1" t="n">
        <v>1.1525</v>
      </c>
      <c r="F10" s="1" t="n">
        <v>3.8523</v>
      </c>
      <c r="G10" s="1" t="n">
        <f aca="false">IFERROR((E10*purity_2pe/MW_2pe)/((E10*purity_2pe/MW_2pe)+(F10*purity_hexoh/MW_hexoh)),"")</f>
        <v>0.200458941288258</v>
      </c>
    </row>
    <row r="11" customFormat="false" ht="14.25" hidden="false" customHeight="true" outlineLevel="0" collapsed="false">
      <c r="A11" s="66" t="n">
        <v>5</v>
      </c>
      <c r="B11" s="89" t="n">
        <f aca="false">IF(D11=0, 0, IF(D11=1, A11, (D11*A11*$C$2)/($C$3*(1-D11)+$C$2*D11)))</f>
        <v>1.15062919147012</v>
      </c>
      <c r="C11" s="89" t="n">
        <f aca="false">A11-B11</f>
        <v>3.84937080852988</v>
      </c>
      <c r="D11" s="66" t="n">
        <v>0.2</v>
      </c>
      <c r="E11" s="66" t="n">
        <v>1.1554</v>
      </c>
      <c r="F11" s="66" t="n">
        <v>3.8542</v>
      </c>
      <c r="G11" s="114" t="n">
        <f aca="false">IFERROR((E11*purity_2pe/MW_2pe)/((E11*purity_2pe/MW_2pe)+(F11*purity_hexoh/MW_hexoh)),"")</f>
        <v>0.200782895927302</v>
      </c>
    </row>
    <row r="12" customFormat="false" ht="14.25" hidden="false" customHeight="true" outlineLevel="0" collapsed="false">
      <c r="A12" s="1" t="n">
        <v>5</v>
      </c>
      <c r="B12" s="5" t="n">
        <f aca="false">IF(D12=0, 0, IF(D12=1, A12, (D12*A12*$C$2)/($C$3*(1-D12)+$C$2*D12)))</f>
        <v>1.69404716780534</v>
      </c>
      <c r="C12" s="5" t="n">
        <f aca="false">A12-B12</f>
        <v>3.30595283219466</v>
      </c>
      <c r="D12" s="1" t="n">
        <v>0.3</v>
      </c>
      <c r="E12" s="1" t="n">
        <v>1.6945</v>
      </c>
      <c r="F12" s="1" t="n">
        <v>3.3078</v>
      </c>
      <c r="G12" s="1" t="n">
        <f aca="false">IFERROR((E12*purity_2pe/MW_2pe)/((E12*purity_2pe/MW_2pe)+(F12*purity_hexoh/MW_hexoh)),"")</f>
        <v>0.30035936797046</v>
      </c>
    </row>
    <row r="13" customFormat="false" ht="14.25" hidden="false" customHeight="true" outlineLevel="0" collapsed="false">
      <c r="A13" s="66" t="n">
        <v>5</v>
      </c>
      <c r="B13" s="89" t="n">
        <f aca="false">IF(D13=0, 0, IF(D13=1, A13, (D13*A13*$C$2)/($C$3*(1-D13)+$C$2*D13)))</f>
        <v>1.69404716780534</v>
      </c>
      <c r="C13" s="89" t="n">
        <f aca="false">A13-B13</f>
        <v>3.30595283219466</v>
      </c>
      <c r="D13" s="66" t="n">
        <v>0.3</v>
      </c>
      <c r="E13" s="66" t="n">
        <v>1.6966</v>
      </c>
      <c r="F13" s="66" t="n">
        <v>3.3112</v>
      </c>
      <c r="G13" s="115" t="n">
        <f aca="false">IFERROR((E13*purity_2pe/MW_2pe)/((E13*purity_2pe/MW_2pe)+(F13*purity_hexoh/MW_hexoh)),"")</f>
        <v>0.300403750222645</v>
      </c>
    </row>
    <row r="14" customFormat="false" ht="14.25" hidden="false" customHeight="true" outlineLevel="0" collapsed="false">
      <c r="A14" s="1" t="n">
        <v>5.1683</v>
      </c>
      <c r="B14" s="3" t="n">
        <f aca="false">IF(D14=0, 0, IF(D14=1, A14, (D14*A14*$C$2)/($C$3*(1-D14)+$C$2*D14)))</f>
        <v>2.29239339905234</v>
      </c>
      <c r="C14" s="5" t="n">
        <f aca="false">A14-B14</f>
        <v>2.87590660094766</v>
      </c>
      <c r="D14" s="1" t="n">
        <v>0.4</v>
      </c>
      <c r="E14" s="1" t="n">
        <v>2.2924</v>
      </c>
      <c r="F14" s="1" t="n">
        <v>2.8763</v>
      </c>
      <c r="G14" s="1" t="n">
        <f aca="false">IFERROR((E14*purity_2pe/MW_2pe)/((E14*purity_2pe/MW_2pe)+(F14*purity_hexoh/MW_hexoh)),"")</f>
        <v>0.400448427689503</v>
      </c>
    </row>
    <row r="15" customFormat="false" ht="14.25" hidden="false" customHeight="true" outlineLevel="0" collapsed="false">
      <c r="A15" s="1" t="n">
        <v>5</v>
      </c>
      <c r="B15" s="5" t="n">
        <f aca="false">IF(D15=0, 0, IF(D15=1, A15, (D15*A15*$C$2)/($C$3*(1-D15)+$C$2*D15)))</f>
        <v>2.72277448401908</v>
      </c>
      <c r="C15" s="5" t="n">
        <f aca="false">A15-B15</f>
        <v>2.27722551598092</v>
      </c>
      <c r="D15" s="1" t="n">
        <v>0.5</v>
      </c>
      <c r="E15" s="1" t="n">
        <v>2.7269</v>
      </c>
      <c r="F15" s="1" t="n">
        <v>2.279</v>
      </c>
      <c r="G15" s="1" t="n">
        <f aca="false">IFERROR((E15*purity_2pe/MW_2pe)/((E15*purity_2pe/MW_2pe)+(F15*purity_hexoh/MW_hexoh)),"")</f>
        <v>0.500684278812158</v>
      </c>
    </row>
    <row r="16" customFormat="false" ht="14.25" hidden="false" customHeight="true" outlineLevel="0" collapsed="false">
      <c r="A16" s="1" t="n">
        <v>5</v>
      </c>
      <c r="B16" s="5" t="n">
        <f aca="false">IF(D16=0, 0, IF(D16=1, A16, (D16*A16*$C$2)/($C$3*(1-D16)+$C$2*D16)))</f>
        <v>3.21011877649697</v>
      </c>
      <c r="C16" s="5" t="n">
        <f aca="false">A16-B16</f>
        <v>1.78988122350303</v>
      </c>
      <c r="D16" s="1" t="n">
        <v>0.6</v>
      </c>
      <c r="E16" s="1" t="n">
        <v>3.2121</v>
      </c>
      <c r="F16" s="1" t="n">
        <v>1.7974</v>
      </c>
      <c r="G16" s="1" t="n">
        <f aca="false">IFERROR((E16*purity_2pe/MW_2pe)/((E16*purity_2pe/MW_2pe)+(F16*purity_hexoh/MW_hexoh)),"")</f>
        <v>0.599622439617818</v>
      </c>
    </row>
    <row r="17" customFormat="false" ht="14.25" hidden="false" customHeight="true" outlineLevel="0" collapsed="false">
      <c r="A17" s="1" t="n">
        <v>5</v>
      </c>
      <c r="B17" s="5" t="n">
        <f aca="false">IF(D17=0, 0, IF(D17=1, A17, (D17*A17*$C$2)/($C$3*(1-D17)+$C$2*D17)))</f>
        <v>3.68069006482271</v>
      </c>
      <c r="C17" s="5" t="n">
        <f aca="false">A17-B17</f>
        <v>1.31930993517729</v>
      </c>
      <c r="D17" s="1" t="n">
        <v>0.7</v>
      </c>
      <c r="E17" s="1" t="n">
        <v>3.6855</v>
      </c>
      <c r="F17" s="1" t="n">
        <v>1.3243</v>
      </c>
      <c r="G17" s="1" t="n">
        <f aca="false">IFERROR((E17*purity_2pe/MW_2pe)/((E17*purity_2pe/MW_2pe)+(F17*purity_hexoh/MW_hexoh)),"")</f>
        <v>0.699901869942981</v>
      </c>
    </row>
    <row r="18" customFormat="false" ht="14.25" hidden="false" customHeight="true" outlineLevel="0" collapsed="false">
      <c r="A18" s="1" t="n">
        <v>5</v>
      </c>
      <c r="B18" s="5" t="n">
        <f aca="false">IF(D18=0, 0, IF(D18=1, A18, (D18*A18*$C$2)/($C$3*(1-D18)+$C$2*D18)))</f>
        <v>4.13533961848987</v>
      </c>
      <c r="C18" s="5" t="n">
        <f aca="false">A18-B18</f>
        <v>0.864660381510131</v>
      </c>
      <c r="D18" s="1" t="n">
        <v>0.8</v>
      </c>
      <c r="E18" s="1" t="n">
        <v>4.1333</v>
      </c>
      <c r="F18" s="1" t="n">
        <v>0.8635</v>
      </c>
      <c r="G18" s="1" t="n">
        <f aca="false">IFERROR((E18*purity_2pe/MW_2pe)/((E18*purity_2pe/MW_2pe)+(F18*purity_hexoh/MW_hexoh)),"")</f>
        <v>0.800455861559542</v>
      </c>
    </row>
    <row r="19" customFormat="false" ht="14.25" hidden="false" customHeight="true" outlineLevel="0" collapsed="false">
      <c r="A19" s="1" t="n">
        <v>5</v>
      </c>
      <c r="B19" s="5" t="n">
        <f aca="false">IF(D19=0, 0, IF(D19=1, A19, (D19*A19*$C$2)/($C$3*(1-D19)+$C$2*D19)))</f>
        <v>4.57486206006941</v>
      </c>
      <c r="C19" s="5" t="n">
        <f aca="false">A19-B19</f>
        <v>0.425137939930593</v>
      </c>
      <c r="D19" s="1" t="n">
        <v>0.9</v>
      </c>
      <c r="E19" s="1" t="n">
        <v>4.5734</v>
      </c>
      <c r="F19" s="1" t="n">
        <v>0.4304</v>
      </c>
      <c r="G19" s="1" t="n">
        <f aca="false">IFERROR((E19*purity_2pe/MW_2pe)/((E19*purity_2pe/MW_2pe)+(F19*purity_hexoh/MW_hexoh)),"")</f>
        <v>0.899040225711183</v>
      </c>
    </row>
    <row r="20" customFormat="false" ht="14.25" hidden="false" customHeight="true" outlineLevel="0" collapsed="false">
      <c r="A20" s="1" t="n">
        <v>5</v>
      </c>
      <c r="B20" s="5" t="n">
        <f aca="false">IF(D20=0, 0, IF(D20=1, A20, (D20*A20*$C$2)/($C$3*(1-D20)+$C$2*D20)))</f>
        <v>5</v>
      </c>
      <c r="C20" s="5" t="n">
        <f aca="false">A20-B20</f>
        <v>0</v>
      </c>
      <c r="D20" s="1" t="n">
        <v>1</v>
      </c>
      <c r="E20" s="1" t="n">
        <v>1</v>
      </c>
      <c r="F20" s="1" t="n">
        <v>0</v>
      </c>
      <c r="G20" s="1" t="n">
        <f aca="false">IF(AND(E20&gt;0,F20=0),1,IFERROR((E20/MW_2pe)/((E20/MW_2pe)+(F20/MW_hexoh)),""))</f>
        <v>1</v>
      </c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>
      <c r="B23" s="1" t="s">
        <v>212</v>
      </c>
      <c r="G23" s="1" t="s">
        <v>284</v>
      </c>
    </row>
    <row r="24" customFormat="false" ht="13.5" hidden="false" customHeight="true" outlineLevel="0" collapsed="false">
      <c r="A24" s="93" t="s">
        <v>285</v>
      </c>
      <c r="B24" s="93" t="n">
        <v>20</v>
      </c>
      <c r="C24" s="1" t="n">
        <v>30</v>
      </c>
      <c r="D24" s="1" t="n">
        <v>40</v>
      </c>
      <c r="E24" s="1" t="n">
        <v>50</v>
      </c>
      <c r="F24" s="1" t="n">
        <v>60</v>
      </c>
      <c r="G24" s="1" t="n">
        <v>20</v>
      </c>
      <c r="H24" s="93" t="n">
        <v>30</v>
      </c>
      <c r="I24" s="93" t="n">
        <v>40</v>
      </c>
      <c r="J24" s="93" t="n">
        <v>50</v>
      </c>
      <c r="K24" s="93" t="n">
        <v>60</v>
      </c>
      <c r="L24" s="93"/>
    </row>
    <row r="25" customFormat="false" ht="13.5" hidden="false" customHeight="true" outlineLevel="0" collapsed="false">
      <c r="A25" s="1" t="n">
        <f aca="false">G8</f>
        <v>0</v>
      </c>
      <c r="B25" s="1" t="n">
        <f aca="false">densidad_viscosidad_puros!G25</f>
        <v>0.81883</v>
      </c>
      <c r="C25" s="1" t="n">
        <f aca="false">densidad_viscosidad_puros!G26</f>
        <v>0.81174</v>
      </c>
      <c r="D25" s="1" t="n">
        <f aca="false">densidad_viscosidad_puros!G27</f>
        <v>0.80455</v>
      </c>
      <c r="E25" s="1" t="n">
        <f aca="false">densidad_viscosidad_puros!G28</f>
        <v>0.79722</v>
      </c>
      <c r="F25" s="1" t="n">
        <f aca="false">densidad_viscosidad_puros!G29</f>
        <v>0.78971</v>
      </c>
      <c r="G25" s="1" t="n">
        <f aca="false">IFERROR((($A25*MW_2pe)+((1-$A25)*MW_hexoh))/B25-(($A25*MW_2pe/B$37)+((1-$A25)*MW_hexoh/B$25)),"")</f>
        <v>0</v>
      </c>
      <c r="H25" s="1" t="n">
        <f aca="false">IFERROR((($A25*MW_2pe)+((1-$A25)*MW_hexoh))/C25-(($A25*MW_2pe/C$37)+((1-$A25)*MW_hexoh/C$25)),"")</f>
        <v>0</v>
      </c>
      <c r="I25" s="1" t="n">
        <f aca="false">IFERROR((($A25*MW_2pe)+((1-$A25)*MW_hexoh))/D25-(($A25*MW_2pe/D$37)+((1-$A25)*MW_hexoh/D$25)),"")</f>
        <v>0</v>
      </c>
      <c r="J25" s="1" t="n">
        <f aca="false">IFERROR((($A25*MW_2pe)+((1-$A25)*MW_hexoh))/E25-(($A25*MW_2pe/E$37)+((1-$A25)*MW_hexoh/E$25)),"")</f>
        <v>0</v>
      </c>
      <c r="K25" s="1" t="n">
        <f aca="false">IFERROR((($A25*MW_2pe)+((1-$A25)*MW_hexoh))/F25-(($A25*MW_2pe/F$37)+((1-$A25)*MW_hexoh/F$25)),"")</f>
        <v>0</v>
      </c>
      <c r="L25" s="1" t="str">
        <f aca="false">IFERROR((($A25*MW_2pe)+((1-$A25)*MW_hexoh))/G25-(($A25*MW_2pe/G$37)+((1-$A25)*MW_hexoh/G$25)),"")</f>
        <v/>
      </c>
    </row>
    <row r="26" customFormat="false" ht="13.5" hidden="false" customHeight="true" outlineLevel="0" collapsed="false">
      <c r="A26" s="1" t="n">
        <f aca="false">G9</f>
        <v>0.100311290464003</v>
      </c>
      <c r="B26" s="116" t="n">
        <v>0.83846</v>
      </c>
      <c r="C26" s="116" t="n">
        <v>0.83129</v>
      </c>
      <c r="D26" s="116" t="n">
        <v>0.82404</v>
      </c>
      <c r="E26" s="116" t="n">
        <v>0.81668</v>
      </c>
      <c r="F26" s="116" t="n">
        <v>0.80918</v>
      </c>
      <c r="G26" s="1" t="n">
        <f aca="false">IFERROR((($A26*MW_2pe)+((1-$A26)*MW_hexoh))/B26-(($A26*MW_2pe/B$37)+((1-$A26)*MW_hexoh/B$25)),"")</f>
        <v>-0.0288063163267083</v>
      </c>
      <c r="H26" s="1" t="n">
        <f aca="false">IFERROR((($A26*MW_2pe)+((1-$A26)*MW_hexoh))/C26-(($A26*MW_2pe/C$37)+((1-$A26)*MW_hexoh/C$25)),"")</f>
        <v>-0.0256160343751048</v>
      </c>
      <c r="I26" s="1" t="n">
        <f aca="false">IFERROR((($A26*MW_2pe)+((1-$A26)*MW_hexoh))/D26-(($A26*MW_2pe/D$37)+((1-$A26)*MW_hexoh/D$25)),"")</f>
        <v>-0.0253735247741105</v>
      </c>
      <c r="J26" s="1" t="n">
        <f aca="false">IFERROR((($A26*MW_2pe)+((1-$A26)*MW_hexoh))/E26-(($A26*MW_2pe/E$37)+((1-$A26)*MW_hexoh/E$25)),"")</f>
        <v>-0.0292182853172278</v>
      </c>
      <c r="K26" s="1" t="n">
        <f aca="false">IFERROR((($A26*MW_2pe)+((1-$A26)*MW_hexoh))/F26-(($A26*MW_2pe/F$37)+((1-$A26)*MW_hexoh/F$25)),"")</f>
        <v>-0.0385123553898836</v>
      </c>
      <c r="L26" s="1" t="str">
        <f aca="false">IFERROR((($A26*MW_2pe)+((1-$A26)*MW_hexoh))/#REF!-(($A26*MW_2pe/G$37)+((1-$A26)*MW_hexoh/G$25)),"")</f>
        <v/>
      </c>
    </row>
    <row r="27" customFormat="false" ht="13.5" hidden="false" customHeight="true" outlineLevel="0" collapsed="false">
      <c r="A27" s="1" t="n">
        <f aca="false">G10</f>
        <v>0.200458941288258</v>
      </c>
      <c r="B27" s="93" t="n">
        <v>0.85828</v>
      </c>
      <c r="C27" s="93" t="n">
        <v>0.85113</v>
      </c>
      <c r="D27" s="93" t="n">
        <v>0.84386</v>
      </c>
      <c r="E27" s="93" t="n">
        <v>0.83647</v>
      </c>
      <c r="F27" s="93" t="n">
        <v>0.82892</v>
      </c>
      <c r="G27" s="1" t="n">
        <f aca="false">IFERROR((($A27*MW_2pe)+((1-$A27)*MW_hexoh))/B27-(($A27*MW_2pe/B$37)+((1-$A27)*MW_hexoh/B$25)),"")</f>
        <v>-0.0653991177192239</v>
      </c>
      <c r="H27" s="1" t="n">
        <f aca="false">IFERROR((($A27*MW_2pe)+((1-$A27)*MW_hexoh))/C27-(($A27*MW_2pe/C$37)+((1-$A27)*MW_hexoh/C$25)),"")</f>
        <v>-0.0732703390074221</v>
      </c>
      <c r="I27" s="1" t="n">
        <f aca="false">IFERROR((($A27*MW_2pe)+((1-$A27)*MW_hexoh))/D27-(($A27*MW_2pe/D$37)+((1-$A27)*MW_hexoh/D$25)),"")</f>
        <v>-0.0783909270415535</v>
      </c>
      <c r="J27" s="1" t="n">
        <f aca="false">IFERROR((($A27*MW_2pe)+((1-$A27)*MW_hexoh))/E27-(($A27*MW_2pe/E$37)+((1-$A27)*MW_hexoh/E$25)),"")</f>
        <v>-0.0855193749496834</v>
      </c>
      <c r="K27" s="1" t="n">
        <f aca="false">IFERROR((($A27*MW_2pe)+((1-$A27)*MW_hexoh))/F27-(($A27*MW_2pe/F$37)+((1-$A27)*MW_hexoh/F$25)),"")</f>
        <v>-0.0938464132378272</v>
      </c>
      <c r="L27" s="1" t="str">
        <f aca="false">IFERROR((($A27*MW_2pe)+((1-$A27)*MW_hexoh))/G27-(($A27*MW_2pe/G$37)+((1-$A27)*MW_hexoh/G$25)),"")</f>
        <v/>
      </c>
    </row>
    <row r="28" customFormat="false" ht="13.5" hidden="false" customHeight="true" outlineLevel="0" collapsed="false">
      <c r="A28" s="3" t="n">
        <f aca="false">G11</f>
        <v>0.200782895927302</v>
      </c>
      <c r="B28" s="107" t="n">
        <v>0.85801</v>
      </c>
      <c r="C28" s="107" t="n">
        <v>0.8509</v>
      </c>
      <c r="D28" s="107" t="n">
        <v>0.84361</v>
      </c>
      <c r="E28" s="107" t="n">
        <v>0.83623</v>
      </c>
      <c r="F28" s="107" t="n">
        <v>0.8287</v>
      </c>
      <c r="G28" s="1" t="n">
        <f aca="false">IFERROR((($A28*MW_2pe)+((1-$A28)*MW_hexoh))/B28-(($A28*MW_2pe/B$37)+((1-$A28)*MW_hexoh/B$25)),"")</f>
        <v>-0.0173049668393048</v>
      </c>
      <c r="H28" s="1" t="n">
        <f aca="false">IFERROR((($A28*MW_2pe)+((1-$A28)*MW_hexoh))/C28-(($A28*MW_2pe/C$37)+((1-$A28)*MW_hexoh/C$25)),"")</f>
        <v>-0.0302533336552386</v>
      </c>
      <c r="I28" s="1" t="n">
        <f aca="false">IFERROR((($A28*MW_2pe)+((1-$A28)*MW_hexoh))/D28-(($A28*MW_2pe/D$37)+((1-$A28)*MW_hexoh/D$25)),"")</f>
        <v>-0.0316681142663811</v>
      </c>
      <c r="J28" s="1" t="n">
        <f aca="false">IFERROR((($A28*MW_2pe)+((1-$A28)*MW_hexoh))/E28-(($A28*MW_2pe/E$37)+((1-$A28)*MW_hexoh/E$25)),"")</f>
        <v>-0.039506394174424</v>
      </c>
      <c r="K28" s="1" t="n">
        <f aca="false">IFERROR((($A28*MW_2pe)+((1-$A28)*MW_hexoh))/F28-(($A28*MW_2pe/F$37)+((1-$A28)*MW_hexoh/F$25)),"")</f>
        <v>-0.050100858397343</v>
      </c>
    </row>
    <row r="29" customFormat="false" ht="13.5" hidden="false" customHeight="true" outlineLevel="0" collapsed="false">
      <c r="A29" s="1" t="n">
        <f aca="false">G12</f>
        <v>0.30035936797046</v>
      </c>
      <c r="B29" s="116" t="n">
        <v>0.8777</v>
      </c>
      <c r="C29" s="93" t="n">
        <v>0.87064</v>
      </c>
      <c r="D29" s="93" t="n">
        <v>0.86334</v>
      </c>
      <c r="E29" s="93" t="n">
        <v>0.85593</v>
      </c>
      <c r="F29" s="93" t="n">
        <v>0.84835</v>
      </c>
      <c r="G29" s="1" t="n">
        <f aca="false">IFERROR((($A29*MW_2pe)+((1-$A29)*MW_hexoh))/B29-(($A29*MW_2pe/B$37)+((1-$A29)*MW_hexoh/B$25)),"")</f>
        <v>-0.0284854335819915</v>
      </c>
      <c r="H29" s="1" t="n">
        <f aca="false">IFERROR((($A29*MW_2pe)+((1-$A29)*MW_hexoh))/C29-(($A29*MW_2pe/C$37)+((1-$A29)*MW_hexoh/C$25)),"")</f>
        <v>-0.0548846486428687</v>
      </c>
      <c r="I29" s="1" t="n">
        <f aca="false">IFERROR((($A29*MW_2pe)+((1-$A29)*MW_hexoh))/D29-(($A29*MW_2pe/D$37)+((1-$A29)*MW_hexoh/D$25)),"")</f>
        <v>-0.0617524780926431</v>
      </c>
      <c r="J29" s="1" t="n">
        <f aca="false">IFERROR((($A29*MW_2pe)+((1-$A29)*MW_hexoh))/E29-(($A29*MW_2pe/E$37)+((1-$A29)*MW_hexoh/E$25)),"")</f>
        <v>-0.0714165666854711</v>
      </c>
      <c r="K29" s="1" t="n">
        <f aca="false">IFERROR((($A29*MW_2pe)+((1-$A29)*MW_hexoh))/F29-(($A29*MW_2pe/F$37)+((1-$A29)*MW_hexoh/F$25)),"")</f>
        <v>-0.079623454764004</v>
      </c>
      <c r="L29" s="1" t="str">
        <f aca="false">IFERROR((($A29*MW_2pe)+((1-$A29)*MW_hexoh))/G29-(($A29*MW_2pe/G$37)+((1-$A29)*MW_hexoh/G$25)),"")</f>
        <v/>
      </c>
    </row>
    <row r="30" customFormat="false" ht="13.5" hidden="false" customHeight="true" outlineLevel="0" collapsed="false">
      <c r="A30" s="4" t="n">
        <f aca="false">G13</f>
        <v>0.300403750222645</v>
      </c>
      <c r="B30" s="107" t="n">
        <v>0.87776</v>
      </c>
      <c r="C30" s="107" t="n">
        <v>0.87054</v>
      </c>
      <c r="D30" s="107" t="n">
        <v>0.86324</v>
      </c>
      <c r="E30" s="107" t="n">
        <v>0.85584</v>
      </c>
      <c r="F30" s="107" t="n">
        <v>0.84824</v>
      </c>
      <c r="G30" s="1" t="n">
        <f aca="false">IFERROR((($A30*MW_2pe)+((1-$A30)*MW_hexoh))/B30-(($A30*MW_2pe/B$37)+((1-$A30)*MW_hexoh/B$25)),"")</f>
        <v>-0.0356777366556713</v>
      </c>
      <c r="H30" s="1" t="n">
        <f aca="false">IFERROR((($A30*MW_2pe)+((1-$A30)*MW_hexoh))/C30-(($A30*MW_2pe/C$37)+((1-$A30)*MW_hexoh/C$25)),"")</f>
        <v>-0.0393620608827519</v>
      </c>
      <c r="I30" s="1" t="n">
        <f aca="false">IFERROR((($A30*MW_2pe)+((1-$A30)*MW_hexoh))/D30-(($A30*MW_2pe/D$37)+((1-$A30)*MW_hexoh/D$25)),"")</f>
        <v>-0.0459689203511573</v>
      </c>
      <c r="J30" s="1" t="n">
        <f aca="false">IFERROR((($A30*MW_2pe)+((1-$A30)*MW_hexoh))/E30-(($A30*MW_2pe/E$37)+((1-$A30)*MW_hexoh/E$25)),"")</f>
        <v>-0.0568377601360623</v>
      </c>
      <c r="K30" s="1" t="n">
        <f aca="false">IFERROR((($A30*MW_2pe)+((1-$A30)*MW_hexoh))/F30-(($A30*MW_2pe/F$37)+((1-$A30)*MW_hexoh/F$25)),"")</f>
        <v>-0.0617779619677776</v>
      </c>
    </row>
    <row r="31" customFormat="false" ht="13.5" hidden="false" customHeight="true" outlineLevel="0" collapsed="false">
      <c r="A31" s="1" t="n">
        <f aca="false">G14</f>
        <v>0.400448427689503</v>
      </c>
      <c r="B31" s="93" t="n">
        <v>0.89773</v>
      </c>
      <c r="C31" s="93" t="n">
        <v>0.89055</v>
      </c>
      <c r="D31" s="93" t="n">
        <v>0.8832</v>
      </c>
      <c r="E31" s="93" t="n">
        <v>0.87576</v>
      </c>
      <c r="F31" s="93" t="n">
        <v>0.86818</v>
      </c>
      <c r="G31" s="1" t="n">
        <f aca="false">IFERROR((($A31*MW_2pe)+((1-$A31)*MW_hexoh))/B31-(($A31*MW_2pe/B$37)+((1-$A31)*MW_hexoh/B$25)),"")</f>
        <v>-0.0498765015017142</v>
      </c>
      <c r="H31" s="1" t="n">
        <f aca="false">IFERROR((($A31*MW_2pe)+((1-$A31)*MW_hexoh))/C31-(($A31*MW_2pe/C$37)+((1-$A31)*MW_hexoh/C$25)),"")</f>
        <v>-0.0648800615072531</v>
      </c>
      <c r="I31" s="1" t="n">
        <f aca="false">IFERROR((($A31*MW_2pe)+((1-$A31)*MW_hexoh))/D31-(($A31*MW_2pe/D$37)+((1-$A31)*MW_hexoh/D$25)),"")</f>
        <v>-0.0703050511738326</v>
      </c>
      <c r="J31" s="1" t="n">
        <f aca="false">IFERROR((($A31*MW_2pe)+((1-$A31)*MW_hexoh))/E31-(($A31*MW_2pe/E$37)+((1-$A31)*MW_hexoh/E$25)),"")</f>
        <v>-0.0805328937818786</v>
      </c>
      <c r="K31" s="1" t="n">
        <f aca="false">IFERROR((($A31*MW_2pe)+((1-$A31)*MW_hexoh))/F31-(($A31*MW_2pe/F$37)+((1-$A31)*MW_hexoh/F$25)),"")</f>
        <v>-0.0924693314556748</v>
      </c>
      <c r="L31" s="1" t="str">
        <f aca="false">IFERROR((($A31*MW_2pe)+((1-$A31)*MW_hexoh))/G31-(($A31*MW_2pe/G$37)+((1-$A31)*MW_hexoh/G$25)),"")</f>
        <v/>
      </c>
    </row>
    <row r="32" customFormat="false" ht="13.5" hidden="false" customHeight="true" outlineLevel="0" collapsed="false">
      <c r="A32" s="1" t="n">
        <f aca="false">G15</f>
        <v>0.500684278812158</v>
      </c>
      <c r="B32" s="93" t="n">
        <v>0.91775</v>
      </c>
      <c r="C32" s="93" t="n">
        <v>0.9105</v>
      </c>
      <c r="D32" s="93" t="n">
        <v>0.90313</v>
      </c>
      <c r="E32" s="93" t="n">
        <v>0.89564</v>
      </c>
      <c r="F32" s="93" t="n">
        <v>0.88806</v>
      </c>
      <c r="G32" s="1" t="n">
        <f aca="false">IFERROR((($A32*MW_2pe)+((1-$A32)*MW_hexoh))/B32-(($A32*MW_2pe/B$37)+((1-$A32)*MW_hexoh/B$25)),"")</f>
        <v>-0.0432567956296026</v>
      </c>
      <c r="H32" s="1" t="n">
        <f aca="false">IFERROR((($A32*MW_2pe)+((1-$A32)*MW_hexoh))/C32-(($A32*MW_2pe/C$37)+((1-$A32)*MW_hexoh/C$25)),"")</f>
        <v>-0.0530728465171961</v>
      </c>
      <c r="I32" s="1" t="n">
        <f aca="false">IFERROR((($A32*MW_2pe)+((1-$A32)*MW_hexoh))/D32-(($A32*MW_2pe/D$37)+((1-$A32)*MW_hexoh/D$25)),"")</f>
        <v>-0.0601552746246341</v>
      </c>
      <c r="J32" s="1" t="n">
        <f aca="false">IFERROR((($A32*MW_2pe)+((1-$A32)*MW_hexoh))/E32-(($A32*MW_2pe/E$37)+((1-$A32)*MW_hexoh/E$25)),"")</f>
        <v>-0.0669775705761708</v>
      </c>
      <c r="K32" s="1" t="n">
        <f aca="false">IFERROR((($A32*MW_2pe)+((1-$A32)*MW_hexoh))/F32-(($A32*MW_2pe/F$37)+((1-$A32)*MW_hexoh/F$25)),"")</f>
        <v>-0.0811006371580874</v>
      </c>
      <c r="L32" s="1" t="str">
        <f aca="false">IFERROR((($A32*MW_2pe)+((1-$A32)*MW_hexoh))/G32-(($A32*MW_2pe/G$37)+((1-$A32)*MW_hexoh/G$25)),"")</f>
        <v/>
      </c>
    </row>
    <row r="33" customFormat="false" ht="13.5" hidden="false" customHeight="true" outlineLevel="0" collapsed="false">
      <c r="A33" s="1" t="n">
        <f aca="false">G16</f>
        <v>0.599622439617818</v>
      </c>
      <c r="B33" s="93" t="n">
        <v>0.93772</v>
      </c>
      <c r="C33" s="93" t="n">
        <v>0.93044</v>
      </c>
      <c r="D33" s="93" t="n">
        <v>0.92306</v>
      </c>
      <c r="E33" s="93" t="n">
        <v>0.91556</v>
      </c>
      <c r="F33" s="93" t="n">
        <v>0.90792</v>
      </c>
      <c r="G33" s="1" t="n">
        <f aca="false">IFERROR((($A33*MW_2pe)+((1-$A33)*MW_hexoh))/B33-(($A33*MW_2pe/B$37)+((1-$A33)*MW_hexoh/B$25)),"")</f>
        <v>-0.0432007836652417</v>
      </c>
      <c r="H33" s="1" t="n">
        <f aca="false">IFERROR((($A33*MW_2pe)+((1-$A33)*MW_hexoh))/C33-(($A33*MW_2pe/C$37)+((1-$A33)*MW_hexoh/C$25)),"")</f>
        <v>-0.0527104476106928</v>
      </c>
      <c r="I33" s="1" t="n">
        <f aca="false">IFERROR((($A33*MW_2pe)+((1-$A33)*MW_hexoh))/D33-(($A33*MW_2pe/D$37)+((1-$A33)*MW_hexoh/D$25)),"")</f>
        <v>-0.0620876881458798</v>
      </c>
      <c r="J33" s="1" t="n">
        <f aca="false">IFERROR((($A33*MW_2pe)+((1-$A33)*MW_hexoh))/E33-(($A33*MW_2pe/E$37)+((1-$A33)*MW_hexoh/E$25)),"")</f>
        <v>-0.0704550092302014</v>
      </c>
      <c r="K33" s="1" t="n">
        <f aca="false">IFERROR((($A33*MW_2pe)+((1-$A33)*MW_hexoh))/F33-(($A33*MW_2pe/F$37)+((1-$A33)*MW_hexoh/F$25)),"")</f>
        <v>-0.0776497632365079</v>
      </c>
      <c r="L33" s="1" t="str">
        <f aca="false">IFERROR((($A33*MW_2pe)+((1-$A33)*MW_hexoh))/G33-(($A33*MW_2pe/G$37)+((1-$A33)*MW_hexoh/G$25)),"")</f>
        <v/>
      </c>
    </row>
    <row r="34" customFormat="false" ht="13.5" hidden="false" customHeight="true" outlineLevel="0" collapsed="false">
      <c r="A34" s="1" t="n">
        <f aca="false">G17</f>
        <v>0.699901869942981</v>
      </c>
      <c r="B34" s="93" t="n">
        <v>0.95813</v>
      </c>
      <c r="C34" s="93" t="n">
        <v>0.95076</v>
      </c>
      <c r="D34" s="93" t="n">
        <v>0.94335</v>
      </c>
      <c r="E34" s="93" t="n">
        <v>0.93583</v>
      </c>
      <c r="F34" s="93" t="n">
        <v>0.92821</v>
      </c>
      <c r="G34" s="1" t="n">
        <f aca="false">IFERROR((($A34*MW_2pe)+((1-$A34)*MW_hexoh))/B34-(($A34*MW_2pe/B$37)+((1-$A34)*MW_hexoh/B$25)),"")</f>
        <v>-0.0435512849105919</v>
      </c>
      <c r="H34" s="1" t="n">
        <f aca="false">IFERROR((($A34*MW_2pe)+((1-$A34)*MW_hexoh))/C34-(($A34*MW_2pe/C$37)+((1-$A34)*MW_hexoh/C$25)),"")</f>
        <v>-0.0444041701675957</v>
      </c>
      <c r="I34" s="1" t="n">
        <f aca="false">IFERROR((($A34*MW_2pe)+((1-$A34)*MW_hexoh))/D34-(($A34*MW_2pe/D$37)+((1-$A34)*MW_hexoh/D$25)),"")</f>
        <v>-0.0525186969651372</v>
      </c>
      <c r="J34" s="1" t="n">
        <f aca="false">IFERROR((($A34*MW_2pe)+((1-$A34)*MW_hexoh))/E34-(($A34*MW_2pe/E$37)+((1-$A34)*MW_hexoh/E$25)),"")</f>
        <v>-0.0600428625867835</v>
      </c>
      <c r="K34" s="1" t="n">
        <f aca="false">IFERROR((($A34*MW_2pe)+((1-$A34)*MW_hexoh))/F34-(($A34*MW_2pe/F$37)+((1-$A34)*MW_hexoh/F$25)),"")</f>
        <v>-0.0702921330565118</v>
      </c>
      <c r="L34" s="1" t="str">
        <f aca="false">IFERROR((($A34*MW_2pe)+((1-$A34)*MW_hexoh))/G34-(($A34*MW_2pe/G$37)+((1-$A34)*MW_hexoh/G$25)),"")</f>
        <v/>
      </c>
    </row>
    <row r="35" customFormat="false" ht="13.5" hidden="false" customHeight="true" outlineLevel="0" collapsed="false">
      <c r="A35" s="1" t="n">
        <f aca="false">G18</f>
        <v>0.800455861559542</v>
      </c>
      <c r="B35" s="93" t="n">
        <v>0.9786</v>
      </c>
      <c r="C35" s="93" t="n">
        <v>0.97124</v>
      </c>
      <c r="D35" s="93" t="n">
        <v>0.96379</v>
      </c>
      <c r="E35" s="93" t="n">
        <v>0.95624</v>
      </c>
      <c r="F35" s="93" t="n">
        <v>0.94861</v>
      </c>
      <c r="G35" s="1" t="n">
        <f aca="false">IFERROR((($A35*MW_2pe)+((1-$A35)*MW_hexoh))/B35-(($A35*MW_2pe/B$37)+((1-$A35)*MW_hexoh/B$25)),"")</f>
        <v>-0.0234238215649043</v>
      </c>
      <c r="H35" s="1" t="n">
        <f aca="false">IFERROR((($A35*MW_2pe)+((1-$A35)*MW_hexoh))/C35-(($A35*MW_2pe/C$37)+((1-$A35)*MW_hexoh/C$25)),"")</f>
        <v>-0.0275611858649967</v>
      </c>
      <c r="I35" s="1" t="n">
        <f aca="false">IFERROR((($A35*MW_2pe)+((1-$A35)*MW_hexoh))/D35-(($A35*MW_2pe/D$37)+((1-$A35)*MW_hexoh/D$25)),"")</f>
        <v>-0.0323181919477236</v>
      </c>
      <c r="J35" s="1" t="n">
        <f aca="false">IFERROR((($A35*MW_2pe)+((1-$A35)*MW_hexoh))/E35-(($A35*MW_2pe/E$37)+((1-$A35)*MW_hexoh/E$25)),"")</f>
        <v>-0.0367412736965065</v>
      </c>
      <c r="K35" s="1" t="n">
        <f aca="false">IFERROR((($A35*MW_2pe)+((1-$A35)*MW_hexoh))/F35-(($A35*MW_2pe/F$37)+((1-$A35)*MW_hexoh/F$25)),"")</f>
        <v>-0.0447706059938611</v>
      </c>
      <c r="L35" s="1" t="str">
        <f aca="false">IFERROR((($A35*MW_2pe)+((1-$A35)*MW_hexoh))/G35-(($A35*MW_2pe/G$37)+((1-$A35)*MW_hexoh/G$25)),"")</f>
        <v/>
      </c>
    </row>
    <row r="36" customFormat="false" ht="13.5" hidden="false" customHeight="true" outlineLevel="0" collapsed="false">
      <c r="A36" s="1" t="n">
        <f aca="false">G19</f>
        <v>0.899040225711183</v>
      </c>
      <c r="B36" s="93" t="n">
        <v>0.9989</v>
      </c>
      <c r="C36" s="93" t="n">
        <v>0.99151</v>
      </c>
      <c r="D36" s="93" t="n">
        <v>0.98404</v>
      </c>
      <c r="E36" s="93" t="n">
        <v>0.97647</v>
      </c>
      <c r="F36" s="93" t="n">
        <v>0.96881</v>
      </c>
      <c r="G36" s="1" t="n">
        <f aca="false">IFERROR((($A36*MW_2pe)+((1-$A36)*MW_hexoh))/B36-(($A36*MW_2pe/B$37)+((1-$A36)*MW_hexoh/B$25)),"")</f>
        <v>-0.0123250575351932</v>
      </c>
      <c r="H36" s="1" t="n">
        <f aca="false">IFERROR((($A36*MW_2pe)+((1-$A36)*MW_hexoh))/C36-(($A36*MW_2pe/C$37)+((1-$A36)*MW_hexoh/C$25)),"")</f>
        <v>-0.0140891939375223</v>
      </c>
      <c r="I36" s="1" t="n">
        <f aca="false">IFERROR((($A36*MW_2pe)+((1-$A36)*MW_hexoh))/D36-(($A36*MW_2pe/D$37)+((1-$A36)*MW_hexoh/D$25)),"")</f>
        <v>-0.0174065496861999</v>
      </c>
      <c r="J36" s="1" t="n">
        <f aca="false">IFERROR((($A36*MW_2pe)+((1-$A36)*MW_hexoh))/E36-(($A36*MW_2pe/E$37)+((1-$A36)*MW_hexoh/E$25)),"")</f>
        <v>-0.0193798351876922</v>
      </c>
      <c r="K36" s="1" t="n">
        <f aca="false">IFERROR((($A36*MW_2pe)+((1-$A36)*MW_hexoh))/F36-(($A36*MW_2pe/F$37)+((1-$A36)*MW_hexoh/F$25)),"")</f>
        <v>-0.0218994162017054</v>
      </c>
      <c r="L36" s="1" t="str">
        <f aca="false">IFERROR((($A36*MW_2pe)+((1-$A36)*MW_hexoh))/G36-(($A36*MW_2pe/G$37)+((1-$A36)*MW_hexoh/G$25)),"")</f>
        <v/>
      </c>
    </row>
    <row r="37" customFormat="false" ht="13.5" hidden="false" customHeight="true" outlineLevel="0" collapsed="false">
      <c r="A37" s="1" t="n">
        <f aca="false">G20</f>
        <v>1</v>
      </c>
      <c r="B37" s="1" t="n">
        <f aca="false">densidad_viscosidad_puros!G75</f>
        <v>1.01985</v>
      </c>
      <c r="C37" s="1" t="n">
        <f aca="false">densidad_viscosidad_puros!G76</f>
        <v>1.01244</v>
      </c>
      <c r="D37" s="1" t="n">
        <f aca="false">densidad_viscosidad_puros!G77</f>
        <v>1.00494</v>
      </c>
      <c r="E37" s="1" t="n">
        <f aca="false">densidad_viscosidad_puros!G78</f>
        <v>0.99736</v>
      </c>
      <c r="F37" s="1" t="n">
        <f aca="false">densidad_viscosidad_puros!G79</f>
        <v>0.9897</v>
      </c>
      <c r="G37" s="1" t="n">
        <f aca="false">IFERROR((($A37*MW_2pe)+((1-$A37)*MW_hexoh))/B37-(($A37*MW_2pe/B$37)+((1-$A37)*MW_hexoh/B$25)),"")</f>
        <v>0</v>
      </c>
      <c r="H37" s="1" t="n">
        <f aca="false">IFERROR((($A37*MW_2pe)+((1-$A37)*MW_hexoh))/C37-(($A37*MW_2pe/C$37)+((1-$A37)*MW_hexoh/C$25)),"")</f>
        <v>0</v>
      </c>
      <c r="I37" s="1" t="n">
        <f aca="false">IFERROR((($A37*MW_2pe)+((1-$A37)*MW_hexoh))/D37-(($A37*MW_2pe/D$37)+((1-$A37)*MW_hexoh/D$25)),"")</f>
        <v>0</v>
      </c>
      <c r="J37" s="1" t="n">
        <f aca="false">IFERROR((($A37*MW_2pe)+((1-$A37)*MW_hexoh))/E37-(($A37*MW_2pe/E$37)+((1-$A37)*MW_hexoh/E$25)),"")</f>
        <v>0</v>
      </c>
      <c r="K37" s="1" t="n">
        <f aca="false">IFERROR((($A37*MW_2pe)+((1-$A37)*MW_hexoh))/F37-(($A37*MW_2pe/F$37)+((1-$A37)*MW_hexoh/F$25)),"")</f>
        <v>0</v>
      </c>
      <c r="L37" s="1" t="str">
        <f aca="false">IFERROR((($A37*MW_2pe)+((1-$A37)*MW_hexoh))/G37-(($A37*MW_2pe/G$37)+((1-$A37)*MW_hexoh/G$25)),"")</f>
        <v/>
      </c>
    </row>
    <row r="38" customFormat="false" ht="13.5" hidden="false" customHeight="true" outlineLevel="0" collapsed="false"/>
    <row r="39" customFormat="false" ht="13.5" hidden="false" customHeight="true" outlineLevel="0" collapsed="false">
      <c r="B39" s="1" t="s">
        <v>214</v>
      </c>
    </row>
    <row r="40" customFormat="false" ht="13.5" hidden="false" customHeight="true" outlineLevel="0" collapsed="false">
      <c r="A40" s="1" t="s">
        <v>285</v>
      </c>
      <c r="B40" s="93" t="n">
        <v>20</v>
      </c>
      <c r="C40" s="1" t="n">
        <v>30</v>
      </c>
      <c r="D40" s="1" t="n">
        <v>40</v>
      </c>
      <c r="E40" s="1" t="n">
        <v>50</v>
      </c>
      <c r="F40" s="1" t="n">
        <v>60</v>
      </c>
    </row>
    <row r="41" customFormat="false" ht="13.5" hidden="false" customHeight="true" outlineLevel="0" collapsed="false">
      <c r="A41" s="1" t="n">
        <f aca="false">G8</f>
        <v>0</v>
      </c>
      <c r="B41" s="1" t="n">
        <f aca="false">densidad_viscosidad_puros!I25</f>
        <v>5.278</v>
      </c>
      <c r="C41" s="1" t="n">
        <f aca="false">densidad_viscosidad_puros!I26</f>
        <v>3.881</v>
      </c>
      <c r="D41" s="1" t="n">
        <f aca="false">densidad_viscosidad_puros!I27</f>
        <v>2.919</v>
      </c>
      <c r="E41" s="1" t="n">
        <f aca="false">densidad_viscosidad_puros!I28</f>
        <v>2.24</v>
      </c>
      <c r="F41" s="1" t="n">
        <f aca="false">densidad_viscosidad_puros!I29</f>
        <v>1.75</v>
      </c>
      <c r="H41" s="93"/>
    </row>
    <row r="42" customFormat="false" ht="13.5" hidden="false" customHeight="true" outlineLevel="0" collapsed="false">
      <c r="A42" s="1" t="n">
        <f aca="false">G9</f>
        <v>0.100311290464003</v>
      </c>
      <c r="B42" s="117" t="n">
        <v>5.58</v>
      </c>
      <c r="C42" s="93" t="n">
        <v>4.074</v>
      </c>
      <c r="D42" s="93" t="n">
        <v>3.049</v>
      </c>
      <c r="E42" s="93" t="n">
        <v>2.332</v>
      </c>
      <c r="F42" s="93" t="n">
        <v>1.819</v>
      </c>
      <c r="G42" s="93"/>
      <c r="H42" s="93"/>
      <c r="I42" s="93"/>
    </row>
    <row r="43" customFormat="false" ht="13.5" hidden="false" customHeight="true" outlineLevel="0" collapsed="false">
      <c r="A43" s="1" t="n">
        <f aca="false">G10</f>
        <v>0.200458941288258</v>
      </c>
      <c r="B43" s="93" t="n">
        <v>5.966</v>
      </c>
      <c r="C43" s="93" t="n">
        <v>4.31</v>
      </c>
      <c r="D43" s="93" t="n">
        <v>3.205</v>
      </c>
      <c r="E43" s="93" t="n">
        <v>2.442</v>
      </c>
      <c r="F43" s="117" t="n">
        <v>1.9</v>
      </c>
      <c r="H43" s="93"/>
    </row>
    <row r="44" customFormat="false" ht="13.5" hidden="false" customHeight="true" outlineLevel="0" collapsed="false">
      <c r="A44" s="3" t="n">
        <f aca="false">G11</f>
        <v>0.200782895927302</v>
      </c>
      <c r="B44" s="107" t="n">
        <v>5.9694</v>
      </c>
      <c r="C44" s="107" t="n">
        <v>4.3146</v>
      </c>
      <c r="D44" s="107" t="n">
        <v>3.2054</v>
      </c>
      <c r="E44" s="107" t="n">
        <v>2.4414</v>
      </c>
      <c r="F44" s="118" t="n">
        <v>1.8995</v>
      </c>
      <c r="H44" s="93"/>
    </row>
    <row r="45" customFormat="false" ht="13.5" hidden="false" customHeight="true" outlineLevel="0" collapsed="false">
      <c r="A45" s="1" t="n">
        <f aca="false">G12</f>
        <v>0.30035936797046</v>
      </c>
      <c r="B45" s="93" t="n">
        <v>6.422</v>
      </c>
      <c r="C45" s="93" t="n">
        <v>4.594</v>
      </c>
      <c r="D45" s="93" t="n">
        <v>3.391</v>
      </c>
      <c r="E45" s="93" t="n">
        <v>2.572</v>
      </c>
      <c r="F45" s="93" t="n">
        <v>1.997</v>
      </c>
      <c r="H45" s="93"/>
    </row>
    <row r="46" customFormat="false" ht="13.5" hidden="false" customHeight="true" outlineLevel="0" collapsed="false">
      <c r="A46" s="4" t="n">
        <f aca="false">G13</f>
        <v>0.300403750222645</v>
      </c>
      <c r="B46" s="107" t="n">
        <v>6.419</v>
      </c>
      <c r="C46" s="107" t="n">
        <v>4.589</v>
      </c>
      <c r="D46" s="107" t="n">
        <v>3.386</v>
      </c>
      <c r="E46" s="107" t="n">
        <v>2.566</v>
      </c>
      <c r="F46" s="118" t="n">
        <v>1.99</v>
      </c>
      <c r="H46" s="93"/>
    </row>
    <row r="47" customFormat="false" ht="13.5" hidden="false" customHeight="true" outlineLevel="0" collapsed="false">
      <c r="A47" s="1" t="n">
        <f aca="false">G14</f>
        <v>0.400448427689503</v>
      </c>
      <c r="B47" s="93" t="n">
        <v>6.992</v>
      </c>
      <c r="C47" s="93" t="n">
        <v>4.945</v>
      </c>
      <c r="D47" s="93" t="n">
        <v>3.621</v>
      </c>
      <c r="E47" s="117" t="n">
        <v>2.73</v>
      </c>
      <c r="F47" s="93" t="n">
        <v>2.111</v>
      </c>
      <c r="H47" s="93"/>
    </row>
    <row r="48" customFormat="false" ht="13.5" hidden="false" customHeight="true" outlineLevel="0" collapsed="false">
      <c r="A48" s="1" t="n">
        <f aca="false">G15</f>
        <v>0.500684278812158</v>
      </c>
      <c r="B48" s="93" t="n">
        <v>7.621</v>
      </c>
      <c r="C48" s="93" t="n">
        <v>5.323</v>
      </c>
      <c r="D48" s="93" t="n">
        <v>3.864</v>
      </c>
      <c r="E48" s="93" t="n">
        <v>2.894</v>
      </c>
      <c r="F48" s="93" t="n">
        <v>2.228</v>
      </c>
    </row>
    <row r="49" customFormat="false" ht="13.5" hidden="false" customHeight="true" outlineLevel="0" collapsed="false">
      <c r="A49" s="1" t="n">
        <f aca="false">G16</f>
        <v>0.599622439617818</v>
      </c>
      <c r="B49" s="93" t="n">
        <v>8.415</v>
      </c>
      <c r="C49" s="93" t="n">
        <v>5.795</v>
      </c>
      <c r="D49" s="93" t="n">
        <v>4.161</v>
      </c>
      <c r="E49" s="93" t="n">
        <v>3.096</v>
      </c>
      <c r="F49" s="93" t="n">
        <v>2.372</v>
      </c>
      <c r="H49" s="93"/>
    </row>
    <row r="50" customFormat="false" ht="13.5" hidden="false" customHeight="true" outlineLevel="0" collapsed="false">
      <c r="A50" s="1" t="n">
        <f aca="false">G17</f>
        <v>0.699901869942981</v>
      </c>
      <c r="B50" s="93" t="n">
        <v>9.384</v>
      </c>
      <c r="C50" s="93" t="n">
        <v>6.363</v>
      </c>
      <c r="D50" s="93" t="n">
        <v>4.52</v>
      </c>
      <c r="E50" s="93" t="n">
        <v>3.336</v>
      </c>
      <c r="F50" s="93" t="n">
        <v>2.542</v>
      </c>
      <c r="H50" s="93"/>
    </row>
    <row r="51" customFormat="false" ht="13.5" hidden="false" customHeight="true" outlineLevel="0" collapsed="false">
      <c r="A51" s="1" t="n">
        <f aca="false">G18</f>
        <v>0.800455861559542</v>
      </c>
      <c r="B51" s="93" t="n">
        <v>10.57</v>
      </c>
      <c r="C51" s="93" t="n">
        <v>7.049</v>
      </c>
      <c r="D51" s="93" t="n">
        <v>4.947</v>
      </c>
      <c r="E51" s="93" t="n">
        <v>3.618</v>
      </c>
      <c r="F51" s="93" t="n">
        <v>2.735</v>
      </c>
      <c r="H51" s="93"/>
    </row>
    <row r="52" customFormat="false" ht="13.5" hidden="false" customHeight="true" outlineLevel="0" collapsed="false">
      <c r="A52" s="1" t="n">
        <f aca="false">G19</f>
        <v>0.899040225711183</v>
      </c>
      <c r="B52" s="93" t="n">
        <v>12.09</v>
      </c>
      <c r="C52" s="93" t="n">
        <v>7.875</v>
      </c>
      <c r="D52" s="93" t="n">
        <v>5.449</v>
      </c>
      <c r="E52" s="93" t="n">
        <v>3.944</v>
      </c>
      <c r="F52" s="93" t="n">
        <v>2.964</v>
      </c>
      <c r="H52" s="93"/>
    </row>
    <row r="53" customFormat="false" ht="13.5" hidden="false" customHeight="true" outlineLevel="0" collapsed="false">
      <c r="A53" s="1" t="n">
        <f aca="false">G20</f>
        <v>1</v>
      </c>
      <c r="B53" s="1" t="n">
        <f aca="false">densidad_viscosidad_puros!I75</f>
        <v>14.04</v>
      </c>
      <c r="C53" s="1" t="n">
        <f aca="false">densidad_viscosidad_puros!I76</f>
        <v>8.973</v>
      </c>
      <c r="D53" s="1" t="n">
        <f aca="false">densidad_viscosidad_puros!I77</f>
        <v>6.102</v>
      </c>
      <c r="E53" s="1" t="n">
        <f aca="false">densidad_viscosidad_puros!I78</f>
        <v>4.368</v>
      </c>
      <c r="F53" s="1" t="n">
        <f aca="false">densidad_viscosidad_puros!I79</f>
        <v>3.252</v>
      </c>
      <c r="H53" s="93"/>
    </row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>
      <c r="A56" s="75" t="s">
        <v>237</v>
      </c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</row>
    <row r="57" customFormat="false" ht="13.5" hidden="false" customHeight="true" outlineLevel="0" collapsed="false">
      <c r="A57" s="94" t="s">
        <v>238</v>
      </c>
      <c r="B57" s="94" t="s">
        <v>239</v>
      </c>
      <c r="C57" s="94" t="s">
        <v>240</v>
      </c>
      <c r="D57" s="94" t="s">
        <v>241</v>
      </c>
      <c r="E57" s="94"/>
      <c r="F57" s="94" t="s">
        <v>242</v>
      </c>
      <c r="G57" s="94" t="s">
        <v>243</v>
      </c>
      <c r="H57" s="94" t="s">
        <v>244</v>
      </c>
      <c r="I57" s="94" t="s">
        <v>245</v>
      </c>
      <c r="J57" s="94" t="s">
        <v>246</v>
      </c>
      <c r="K57" s="94" t="s">
        <v>247</v>
      </c>
      <c r="L57" s="94" t="s">
        <v>248</v>
      </c>
      <c r="M57" s="94" t="s">
        <v>249</v>
      </c>
      <c r="N57" s="94" t="s">
        <v>250</v>
      </c>
    </row>
    <row r="58" customFormat="false" ht="13.5" hidden="false" customHeight="true" outlineLevel="0" collapsed="false">
      <c r="A58" s="93"/>
      <c r="B58" s="93"/>
      <c r="C58" s="93"/>
      <c r="D58" s="94" t="s">
        <v>102</v>
      </c>
      <c r="E58" s="94"/>
      <c r="F58" s="94" t="s">
        <v>102</v>
      </c>
      <c r="G58" s="94" t="s">
        <v>93</v>
      </c>
      <c r="H58" s="94" t="s">
        <v>92</v>
      </c>
      <c r="I58" s="94" t="s">
        <v>94</v>
      </c>
      <c r="J58" s="94" t="s">
        <v>286</v>
      </c>
      <c r="K58" s="94" t="s">
        <v>92</v>
      </c>
      <c r="L58" s="94" t="s">
        <v>287</v>
      </c>
      <c r="M58" s="94" t="s">
        <v>287</v>
      </c>
      <c r="N58" s="94" t="s">
        <v>102</v>
      </c>
    </row>
    <row r="59" customFormat="false" ht="13.5" hidden="false" customHeight="true" outlineLevel="0" collapsed="false">
      <c r="A59" s="93" t="n">
        <v>12924</v>
      </c>
      <c r="B59" s="95" t="n">
        <v>45985</v>
      </c>
      <c r="C59" s="96" t="n">
        <v>0.607928240740741</v>
      </c>
      <c r="D59" s="93" t="s">
        <v>372</v>
      </c>
      <c r="E59" s="93"/>
      <c r="F59" s="93" t="s">
        <v>373</v>
      </c>
      <c r="G59" s="93" t="s">
        <v>289</v>
      </c>
      <c r="H59" s="93" t="s">
        <v>289</v>
      </c>
      <c r="I59" s="93" t="s">
        <v>289</v>
      </c>
      <c r="J59" s="93" t="s">
        <v>289</v>
      </c>
      <c r="K59" s="93" t="s">
        <v>289</v>
      </c>
      <c r="L59" s="93" t="s">
        <v>289</v>
      </c>
      <c r="M59" s="93" t="s">
        <v>289</v>
      </c>
      <c r="N59" s="93" t="s">
        <v>254</v>
      </c>
    </row>
    <row r="60" customFormat="false" ht="13.5" hidden="false" customHeight="true" outlineLevel="0" collapsed="false">
      <c r="A60" s="93" t="n">
        <v>12925</v>
      </c>
      <c r="B60" s="95" t="n">
        <v>45985</v>
      </c>
      <c r="C60" s="96" t="n">
        <v>0.57568287037037</v>
      </c>
      <c r="D60" s="93" t="s">
        <v>372</v>
      </c>
      <c r="E60" s="93"/>
      <c r="F60" s="93" t="s">
        <v>253</v>
      </c>
      <c r="G60" s="93" t="n">
        <v>0.83846</v>
      </c>
      <c r="H60" s="93" t="n">
        <v>20.08</v>
      </c>
      <c r="I60" s="93" t="n">
        <v>5.58</v>
      </c>
      <c r="J60" s="93" t="n">
        <v>6.655</v>
      </c>
      <c r="K60" s="93" t="n">
        <v>20</v>
      </c>
      <c r="L60" s="93" t="n">
        <v>0.07</v>
      </c>
      <c r="M60" s="93" t="n">
        <v>0.16</v>
      </c>
      <c r="N60" s="93" t="s">
        <v>254</v>
      </c>
    </row>
    <row r="61" customFormat="false" ht="13.5" hidden="false" customHeight="true" outlineLevel="0" collapsed="false">
      <c r="A61" s="93" t="n">
        <v>12926</v>
      </c>
      <c r="B61" s="95" t="n">
        <v>45985</v>
      </c>
      <c r="C61" s="96" t="n">
        <v>0.581724537037037</v>
      </c>
      <c r="D61" s="93" t="s">
        <v>372</v>
      </c>
      <c r="E61" s="93"/>
      <c r="F61" s="93" t="s">
        <v>253</v>
      </c>
      <c r="G61" s="93" t="n">
        <v>0.83129</v>
      </c>
      <c r="H61" s="93" t="n">
        <v>29.97</v>
      </c>
      <c r="I61" s="93" t="n">
        <v>4.074</v>
      </c>
      <c r="J61" s="93" t="n">
        <v>4.901</v>
      </c>
      <c r="K61" s="93" t="n">
        <v>30</v>
      </c>
      <c r="L61" s="93" t="n">
        <v>0.07</v>
      </c>
      <c r="M61" s="93" t="n">
        <v>0.57</v>
      </c>
      <c r="N61" s="93" t="s">
        <v>254</v>
      </c>
    </row>
    <row r="62" customFormat="false" ht="13.5" hidden="false" customHeight="true" outlineLevel="0" collapsed="false">
      <c r="A62" s="93" t="n">
        <v>12927</v>
      </c>
      <c r="B62" s="95" t="n">
        <v>45985</v>
      </c>
      <c r="C62" s="96" t="n">
        <v>0.58755787037037</v>
      </c>
      <c r="D62" s="93" t="s">
        <v>372</v>
      </c>
      <c r="E62" s="93"/>
      <c r="F62" s="93" t="s">
        <v>253</v>
      </c>
      <c r="G62" s="93" t="n">
        <v>0.82404</v>
      </c>
      <c r="H62" s="93" t="n">
        <v>39.97</v>
      </c>
      <c r="I62" s="93" t="n">
        <v>3.049</v>
      </c>
      <c r="J62" s="93" t="n">
        <v>3.7</v>
      </c>
      <c r="K62" s="93" t="n">
        <v>40</v>
      </c>
      <c r="L62" s="93" t="n">
        <v>0.02</v>
      </c>
      <c r="M62" s="93" t="n">
        <v>0.85</v>
      </c>
      <c r="N62" s="93" t="s">
        <v>254</v>
      </c>
    </row>
    <row r="63" customFormat="false" ht="13.5" hidden="false" customHeight="true" outlineLevel="0" collapsed="false">
      <c r="A63" s="93" t="n">
        <v>12928</v>
      </c>
      <c r="B63" s="95" t="n">
        <v>45985</v>
      </c>
      <c r="C63" s="96" t="n">
        <v>0.597372685185185</v>
      </c>
      <c r="D63" s="93" t="s">
        <v>372</v>
      </c>
      <c r="E63" s="93"/>
      <c r="F63" s="93" t="s">
        <v>253</v>
      </c>
      <c r="G63" s="93" t="n">
        <v>0.81668</v>
      </c>
      <c r="H63" s="93" t="n">
        <v>49.98</v>
      </c>
      <c r="I63" s="93" t="n">
        <v>2.332</v>
      </c>
      <c r="J63" s="93" t="n">
        <v>2.856</v>
      </c>
      <c r="K63" s="93" t="n">
        <v>50</v>
      </c>
      <c r="L63" s="93" t="n">
        <v>0.08</v>
      </c>
      <c r="M63" s="93" t="n">
        <v>0.74</v>
      </c>
      <c r="N63" s="93" t="s">
        <v>254</v>
      </c>
    </row>
    <row r="64" customFormat="false" ht="13.5" hidden="false" customHeight="true" outlineLevel="0" collapsed="false">
      <c r="A64" s="93" t="n">
        <v>12929</v>
      </c>
      <c r="B64" s="95" t="n">
        <v>45985</v>
      </c>
      <c r="C64" s="96" t="n">
        <v>0.607881944444444</v>
      </c>
      <c r="D64" s="93" t="s">
        <v>372</v>
      </c>
      <c r="E64" s="93"/>
      <c r="F64" s="93" t="s">
        <v>373</v>
      </c>
      <c r="G64" s="93" t="n">
        <v>0.80917</v>
      </c>
      <c r="H64" s="93" t="n">
        <v>59.98</v>
      </c>
      <c r="I64" s="93" t="n">
        <v>1.847</v>
      </c>
      <c r="J64" s="93" t="n">
        <v>2.282</v>
      </c>
      <c r="K64" s="93" t="n">
        <v>60</v>
      </c>
      <c r="L64" s="93" t="n">
        <v>0.12</v>
      </c>
      <c r="M64" s="93" t="n">
        <v>3.58</v>
      </c>
      <c r="N64" s="93" t="s">
        <v>254</v>
      </c>
    </row>
    <row r="65" customFormat="false" ht="13.5" hidden="false" customHeight="true" outlineLevel="0" collapsed="false">
      <c r="A65" s="93" t="n">
        <v>12930</v>
      </c>
      <c r="B65" s="95" t="n">
        <v>45985</v>
      </c>
      <c r="C65" s="96" t="n">
        <v>0.625983796296296</v>
      </c>
      <c r="D65" s="93" t="s">
        <v>372</v>
      </c>
      <c r="E65" s="93"/>
      <c r="F65" s="93" t="s">
        <v>253</v>
      </c>
      <c r="G65" s="93" t="n">
        <v>0.80918</v>
      </c>
      <c r="H65" s="93" t="n">
        <v>59.98</v>
      </c>
      <c r="I65" s="93" t="n">
        <v>1.819</v>
      </c>
      <c r="J65" s="93" t="n">
        <v>2.248</v>
      </c>
      <c r="K65" s="93" t="n">
        <v>60</v>
      </c>
      <c r="L65" s="93" t="n">
        <v>0.03</v>
      </c>
      <c r="M65" s="93" t="n">
        <v>0.54</v>
      </c>
      <c r="N65" s="93" t="s">
        <v>254</v>
      </c>
    </row>
    <row r="66" customFormat="false" ht="13.5" hidden="false" customHeight="true" outlineLevel="0" collapsed="false">
      <c r="A66" s="93" t="n">
        <v>12931</v>
      </c>
      <c r="B66" s="95" t="n">
        <v>45985</v>
      </c>
      <c r="C66" s="96" t="n">
        <v>0.665844907407407</v>
      </c>
      <c r="D66" s="93" t="s">
        <v>372</v>
      </c>
      <c r="E66" s="93"/>
      <c r="F66" s="93" t="s">
        <v>253</v>
      </c>
      <c r="G66" s="93" t="n">
        <v>0.85824</v>
      </c>
      <c r="H66" s="93" t="n">
        <v>20.03</v>
      </c>
      <c r="I66" s="93" t="n">
        <v>5.977</v>
      </c>
      <c r="J66" s="93" t="n">
        <v>6.964</v>
      </c>
      <c r="K66" s="93" t="n">
        <v>20</v>
      </c>
      <c r="L66" s="93" t="n">
        <v>0.03</v>
      </c>
      <c r="M66" s="93" t="n">
        <v>0.25</v>
      </c>
      <c r="N66" s="93" t="s">
        <v>254</v>
      </c>
    </row>
    <row r="67" customFormat="false" ht="13.5" hidden="false" customHeight="true" outlineLevel="0" collapsed="false">
      <c r="A67" s="93" t="n">
        <v>12932</v>
      </c>
      <c r="B67" s="95" t="n">
        <v>45985</v>
      </c>
      <c r="C67" s="96" t="n">
        <v>0.686469907407407</v>
      </c>
      <c r="D67" s="93" t="s">
        <v>372</v>
      </c>
      <c r="E67" s="93"/>
      <c r="F67" s="93" t="s">
        <v>253</v>
      </c>
      <c r="G67" s="93" t="n">
        <v>0.85827</v>
      </c>
      <c r="H67" s="93" t="n">
        <v>20</v>
      </c>
      <c r="I67" s="93" t="n">
        <v>5.971</v>
      </c>
      <c r="J67" s="93" t="n">
        <v>6.956</v>
      </c>
      <c r="K67" s="93" t="n">
        <v>20</v>
      </c>
      <c r="L67" s="93" t="n">
        <v>0.04</v>
      </c>
      <c r="M67" s="93" t="n">
        <v>0.42</v>
      </c>
      <c r="N67" s="93" t="s">
        <v>254</v>
      </c>
    </row>
    <row r="68" customFormat="false" ht="13.5" hidden="false" customHeight="true" outlineLevel="0" collapsed="false">
      <c r="A68" s="93" t="n">
        <v>12933</v>
      </c>
      <c r="B68" s="95" t="n">
        <v>45985</v>
      </c>
      <c r="C68" s="96" t="n">
        <v>0.738634259259259</v>
      </c>
      <c r="D68" s="93" t="s">
        <v>374</v>
      </c>
      <c r="E68" s="93"/>
      <c r="F68" s="93" t="s">
        <v>253</v>
      </c>
      <c r="G68" s="93" t="s">
        <v>289</v>
      </c>
      <c r="H68" s="93" t="s">
        <v>289</v>
      </c>
      <c r="I68" s="93" t="s">
        <v>289</v>
      </c>
      <c r="J68" s="93" t="s">
        <v>289</v>
      </c>
      <c r="K68" s="93" t="s">
        <v>289</v>
      </c>
      <c r="L68" s="93" t="s">
        <v>289</v>
      </c>
      <c r="M68" s="93" t="s">
        <v>289</v>
      </c>
      <c r="N68" s="93" t="s">
        <v>254</v>
      </c>
    </row>
    <row r="69" customFormat="false" ht="13.5" hidden="false" customHeight="true" outlineLevel="0" collapsed="false">
      <c r="A69" s="93" t="n">
        <v>12934</v>
      </c>
      <c r="B69" s="95" t="n">
        <v>45985</v>
      </c>
      <c r="C69" s="96" t="n">
        <v>0.707881944444444</v>
      </c>
      <c r="D69" s="93" t="s">
        <v>374</v>
      </c>
      <c r="E69" s="93"/>
      <c r="F69" s="93" t="s">
        <v>253</v>
      </c>
      <c r="G69" s="93" t="n">
        <v>0.85828</v>
      </c>
      <c r="H69" s="93" t="n">
        <v>19.98</v>
      </c>
      <c r="I69" s="93" t="n">
        <v>5.966</v>
      </c>
      <c r="J69" s="93" t="n">
        <v>6.951</v>
      </c>
      <c r="K69" s="93" t="n">
        <v>20</v>
      </c>
      <c r="L69" s="93" t="n">
        <v>0.01</v>
      </c>
      <c r="M69" s="93" t="n">
        <v>0.47</v>
      </c>
      <c r="N69" s="93" t="s">
        <v>254</v>
      </c>
    </row>
    <row r="70" customFormat="false" ht="13.5" hidden="false" customHeight="true" outlineLevel="0" collapsed="false">
      <c r="A70" s="93" t="n">
        <v>12935</v>
      </c>
      <c r="B70" s="95" t="n">
        <v>45985</v>
      </c>
      <c r="C70" s="96" t="n">
        <v>0.714074074074074</v>
      </c>
      <c r="D70" s="93" t="s">
        <v>374</v>
      </c>
      <c r="E70" s="93"/>
      <c r="F70" s="93" t="s">
        <v>253</v>
      </c>
      <c r="G70" s="93" t="n">
        <v>0.85113</v>
      </c>
      <c r="H70" s="93" t="n">
        <v>29.97</v>
      </c>
      <c r="I70" s="93" t="n">
        <v>4.31</v>
      </c>
      <c r="J70" s="93" t="n">
        <v>5.064</v>
      </c>
      <c r="K70" s="93" t="n">
        <v>30</v>
      </c>
      <c r="L70" s="93" t="n">
        <v>0</v>
      </c>
      <c r="M70" s="93" t="n">
        <v>0.67</v>
      </c>
      <c r="N70" s="93" t="s">
        <v>254</v>
      </c>
    </row>
    <row r="71" customFormat="false" ht="13.5" hidden="false" customHeight="true" outlineLevel="0" collapsed="false">
      <c r="A71" s="93" t="n">
        <v>12936</v>
      </c>
      <c r="B71" s="95" t="n">
        <v>45985</v>
      </c>
      <c r="C71" s="96" t="n">
        <v>0.719548611111111</v>
      </c>
      <c r="D71" s="93" t="s">
        <v>374</v>
      </c>
      <c r="E71" s="93"/>
      <c r="F71" s="93" t="s">
        <v>253</v>
      </c>
      <c r="G71" s="93" t="n">
        <v>0.84386</v>
      </c>
      <c r="H71" s="93" t="n">
        <v>39.97</v>
      </c>
      <c r="I71" s="93" t="n">
        <v>3.205</v>
      </c>
      <c r="J71" s="93" t="n">
        <v>3.798</v>
      </c>
      <c r="K71" s="93" t="n">
        <v>40</v>
      </c>
      <c r="L71" s="93" t="n">
        <v>0.04</v>
      </c>
      <c r="M71" s="93" t="n">
        <v>0.68</v>
      </c>
      <c r="N71" s="93" t="s">
        <v>254</v>
      </c>
    </row>
    <row r="72" customFormat="false" ht="14.25" hidden="false" customHeight="true" outlineLevel="0" collapsed="false">
      <c r="A72" s="93" t="n">
        <v>12937</v>
      </c>
      <c r="B72" s="95" t="n">
        <v>45985</v>
      </c>
      <c r="C72" s="96" t="n">
        <v>0.72787037037037</v>
      </c>
      <c r="D72" s="93" t="s">
        <v>374</v>
      </c>
      <c r="E72" s="93"/>
      <c r="F72" s="93" t="s">
        <v>253</v>
      </c>
      <c r="G72" s="93" t="n">
        <v>0.83647</v>
      </c>
      <c r="H72" s="93" t="n">
        <v>49.97</v>
      </c>
      <c r="I72" s="93" t="n">
        <v>2.442</v>
      </c>
      <c r="J72" s="93" t="n">
        <v>2.919</v>
      </c>
      <c r="K72" s="93" t="n">
        <v>50</v>
      </c>
      <c r="L72" s="93" t="n">
        <v>0.07</v>
      </c>
      <c r="M72" s="93" t="n">
        <v>0.83</v>
      </c>
      <c r="N72" s="93" t="s">
        <v>254</v>
      </c>
    </row>
    <row r="73" customFormat="false" ht="14.25" hidden="false" customHeight="true" outlineLevel="0" collapsed="false">
      <c r="A73" s="93" t="n">
        <v>12938</v>
      </c>
      <c r="B73" s="95" t="n">
        <v>45985</v>
      </c>
      <c r="C73" s="96" t="n">
        <v>0.738576388888889</v>
      </c>
      <c r="D73" s="93" t="s">
        <v>374</v>
      </c>
      <c r="E73" s="93"/>
      <c r="F73" s="93" t="s">
        <v>253</v>
      </c>
      <c r="G73" s="93" t="n">
        <v>0.82892</v>
      </c>
      <c r="H73" s="93" t="n">
        <v>59.98</v>
      </c>
      <c r="I73" s="93" t="n">
        <v>1.9</v>
      </c>
      <c r="J73" s="93" t="n">
        <v>2.293</v>
      </c>
      <c r="K73" s="93" t="n">
        <v>60</v>
      </c>
      <c r="L73" s="93" t="n">
        <v>0.02</v>
      </c>
      <c r="M73" s="93" t="n">
        <v>0.97</v>
      </c>
      <c r="N73" s="93" t="s">
        <v>254</v>
      </c>
    </row>
    <row r="74" customFormat="false" ht="14.25" hidden="false" customHeight="true" outlineLevel="0" collapsed="false">
      <c r="A74" s="93" t="n">
        <v>12939</v>
      </c>
      <c r="B74" s="95" t="n">
        <v>45985</v>
      </c>
      <c r="C74" s="96" t="n">
        <v>0.809861111111111</v>
      </c>
      <c r="D74" s="93" t="s">
        <v>375</v>
      </c>
      <c r="E74" s="93"/>
      <c r="F74" s="93" t="s">
        <v>253</v>
      </c>
      <c r="G74" s="93" t="s">
        <v>289</v>
      </c>
      <c r="H74" s="93" t="s">
        <v>289</v>
      </c>
      <c r="I74" s="93" t="s">
        <v>289</v>
      </c>
      <c r="J74" s="93" t="s">
        <v>289</v>
      </c>
      <c r="K74" s="93" t="s">
        <v>289</v>
      </c>
      <c r="L74" s="93" t="s">
        <v>289</v>
      </c>
      <c r="M74" s="93" t="s">
        <v>289</v>
      </c>
      <c r="N74" s="93" t="s">
        <v>254</v>
      </c>
    </row>
    <row r="75" customFormat="false" ht="14.25" hidden="false" customHeight="true" outlineLevel="0" collapsed="false">
      <c r="A75" s="93" t="n">
        <v>12940</v>
      </c>
      <c r="B75" s="95" t="n">
        <v>45985</v>
      </c>
      <c r="C75" s="96" t="n">
        <v>0.781226851851852</v>
      </c>
      <c r="D75" s="93" t="s">
        <v>375</v>
      </c>
      <c r="E75" s="93"/>
      <c r="F75" s="93" t="s">
        <v>253</v>
      </c>
      <c r="G75" s="93" t="n">
        <v>0.8777</v>
      </c>
      <c r="H75" s="93" t="n">
        <v>20.08</v>
      </c>
      <c r="I75" s="93" t="n">
        <v>6.422</v>
      </c>
      <c r="J75" s="93" t="n">
        <v>7.317</v>
      </c>
      <c r="K75" s="93" t="n">
        <v>20</v>
      </c>
      <c r="L75" s="93" t="n">
        <v>0.02</v>
      </c>
      <c r="M75" s="93" t="n">
        <v>0.37</v>
      </c>
      <c r="N75" s="93" t="s">
        <v>254</v>
      </c>
    </row>
    <row r="76" customFormat="false" ht="14.25" hidden="false" customHeight="true" outlineLevel="0" collapsed="false">
      <c r="A76" s="93" t="n">
        <v>12941</v>
      </c>
      <c r="B76" s="95" t="n">
        <v>45985</v>
      </c>
      <c r="C76" s="96" t="n">
        <v>0.787604166666667</v>
      </c>
      <c r="D76" s="93" t="s">
        <v>375</v>
      </c>
      <c r="E76" s="93"/>
      <c r="F76" s="93" t="s">
        <v>253</v>
      </c>
      <c r="G76" s="93" t="n">
        <v>0.87064</v>
      </c>
      <c r="H76" s="93" t="n">
        <v>29.98</v>
      </c>
      <c r="I76" s="93" t="n">
        <v>4.594</v>
      </c>
      <c r="J76" s="93" t="n">
        <v>5.277</v>
      </c>
      <c r="K76" s="93" t="n">
        <v>30</v>
      </c>
      <c r="L76" s="93" t="n">
        <v>0.05</v>
      </c>
      <c r="M76" s="93" t="n">
        <v>0.64</v>
      </c>
      <c r="N76" s="93" t="s">
        <v>254</v>
      </c>
    </row>
    <row r="77" customFormat="false" ht="14.25" hidden="false" customHeight="true" outlineLevel="0" collapsed="false">
      <c r="A77" s="93" t="n">
        <v>12942</v>
      </c>
      <c r="B77" s="95" t="n">
        <v>45985</v>
      </c>
      <c r="C77" s="96" t="n">
        <v>0.793136574074074</v>
      </c>
      <c r="D77" s="93" t="s">
        <v>375</v>
      </c>
      <c r="E77" s="93"/>
      <c r="F77" s="93" t="s">
        <v>253</v>
      </c>
      <c r="G77" s="93" t="n">
        <v>0.86334</v>
      </c>
      <c r="H77" s="93" t="n">
        <v>39.97</v>
      </c>
      <c r="I77" s="93" t="n">
        <v>3.391</v>
      </c>
      <c r="J77" s="93" t="n">
        <v>3.928</v>
      </c>
      <c r="K77" s="93" t="n">
        <v>40</v>
      </c>
      <c r="L77" s="93" t="n">
        <v>0.01</v>
      </c>
      <c r="M77" s="93" t="n">
        <v>0.66</v>
      </c>
      <c r="N77" s="93" t="s">
        <v>254</v>
      </c>
    </row>
    <row r="78" customFormat="false" ht="14.25" hidden="false" customHeight="true" outlineLevel="0" collapsed="false">
      <c r="A78" s="93" t="n">
        <v>12943</v>
      </c>
      <c r="B78" s="95" t="n">
        <v>45985</v>
      </c>
      <c r="C78" s="96" t="n">
        <v>0.799490740740741</v>
      </c>
      <c r="D78" s="93" t="s">
        <v>375</v>
      </c>
      <c r="E78" s="93"/>
      <c r="F78" s="93" t="s">
        <v>253</v>
      </c>
      <c r="G78" s="93" t="n">
        <v>0.85593</v>
      </c>
      <c r="H78" s="93" t="n">
        <v>49.97</v>
      </c>
      <c r="I78" s="93" t="n">
        <v>2.572</v>
      </c>
      <c r="J78" s="93" t="n">
        <v>3.005</v>
      </c>
      <c r="K78" s="93" t="n">
        <v>50</v>
      </c>
      <c r="L78" s="93" t="n">
        <v>0.06</v>
      </c>
      <c r="M78" s="93" t="n">
        <v>0.78</v>
      </c>
      <c r="N78" s="93" t="s">
        <v>254</v>
      </c>
    </row>
    <row r="79" customFormat="false" ht="14.25" hidden="false" customHeight="true" outlineLevel="0" collapsed="false">
      <c r="A79" s="93" t="n">
        <v>12944</v>
      </c>
      <c r="B79" s="95" t="n">
        <v>45985</v>
      </c>
      <c r="C79" s="96" t="n">
        <v>0.809780092592593</v>
      </c>
      <c r="D79" s="93" t="s">
        <v>375</v>
      </c>
      <c r="E79" s="93"/>
      <c r="F79" s="93" t="s">
        <v>253</v>
      </c>
      <c r="G79" s="93" t="n">
        <v>0.84835</v>
      </c>
      <c r="H79" s="93" t="n">
        <v>59.98</v>
      </c>
      <c r="I79" s="93" t="n">
        <v>1.997</v>
      </c>
      <c r="J79" s="93" t="n">
        <v>2.354</v>
      </c>
      <c r="K79" s="93" t="n">
        <v>60</v>
      </c>
      <c r="L79" s="93" t="n">
        <v>0.01</v>
      </c>
      <c r="M79" s="93" t="n">
        <v>0.94</v>
      </c>
      <c r="N79" s="93" t="s">
        <v>254</v>
      </c>
    </row>
    <row r="80" customFormat="false" ht="14.25" hidden="false" customHeight="true" outlineLevel="0" collapsed="false">
      <c r="A80" s="93" t="n">
        <v>12945</v>
      </c>
      <c r="B80" s="95" t="n">
        <v>45986</v>
      </c>
      <c r="C80" s="96" t="n">
        <v>0.808009259259259</v>
      </c>
      <c r="D80" s="93" t="s">
        <v>376</v>
      </c>
      <c r="E80" s="93"/>
      <c r="F80" s="93" t="s">
        <v>373</v>
      </c>
      <c r="G80" s="93" t="s">
        <v>289</v>
      </c>
      <c r="H80" s="93" t="s">
        <v>289</v>
      </c>
      <c r="I80" s="93" t="s">
        <v>289</v>
      </c>
      <c r="J80" s="93" t="s">
        <v>289</v>
      </c>
      <c r="K80" s="93" t="s">
        <v>289</v>
      </c>
      <c r="L80" s="93" t="s">
        <v>289</v>
      </c>
      <c r="M80" s="93" t="s">
        <v>289</v>
      </c>
      <c r="N80" s="93" t="s">
        <v>254</v>
      </c>
    </row>
    <row r="81" customFormat="false" ht="14.25" hidden="false" customHeight="true" outlineLevel="0" collapsed="false">
      <c r="A81" s="93" t="n">
        <v>12946</v>
      </c>
      <c r="B81" s="95" t="n">
        <v>45986</v>
      </c>
      <c r="C81" s="96" t="n">
        <v>0.769305555555556</v>
      </c>
      <c r="D81" s="93" t="s">
        <v>376</v>
      </c>
      <c r="E81" s="93"/>
      <c r="F81" s="93" t="s">
        <v>253</v>
      </c>
      <c r="G81" s="93" t="n">
        <v>0.89773</v>
      </c>
      <c r="H81" s="93" t="n">
        <v>20.03</v>
      </c>
      <c r="I81" s="93" t="n">
        <v>6.992</v>
      </c>
      <c r="J81" s="93" t="n">
        <v>7.789</v>
      </c>
      <c r="K81" s="93" t="n">
        <v>20</v>
      </c>
      <c r="L81" s="93" t="n">
        <v>0.04</v>
      </c>
      <c r="M81" s="93" t="n">
        <v>0.46</v>
      </c>
      <c r="N81" s="93" t="s">
        <v>254</v>
      </c>
    </row>
    <row r="82" customFormat="false" ht="14.25" hidden="false" customHeight="true" outlineLevel="0" collapsed="false">
      <c r="A82" s="93" t="n">
        <v>12947</v>
      </c>
      <c r="B82" s="95" t="n">
        <v>45986</v>
      </c>
      <c r="C82" s="96" t="n">
        <v>0.778240740740741</v>
      </c>
      <c r="D82" s="93" t="s">
        <v>376</v>
      </c>
      <c r="E82" s="93"/>
      <c r="F82" s="93" t="s">
        <v>253</v>
      </c>
      <c r="G82" s="93" t="n">
        <v>0.89055</v>
      </c>
      <c r="H82" s="93" t="n">
        <v>29.97</v>
      </c>
      <c r="I82" s="93" t="n">
        <v>4.945</v>
      </c>
      <c r="J82" s="93" t="n">
        <v>5.553</v>
      </c>
      <c r="K82" s="93" t="n">
        <v>30</v>
      </c>
      <c r="L82" s="93" t="n">
        <v>0.08</v>
      </c>
      <c r="M82" s="93" t="n">
        <v>0.82</v>
      </c>
      <c r="N82" s="93" t="s">
        <v>254</v>
      </c>
    </row>
    <row r="83" customFormat="false" ht="14.25" hidden="false" customHeight="true" outlineLevel="0" collapsed="false">
      <c r="A83" s="93" t="n">
        <v>12948</v>
      </c>
      <c r="B83" s="95" t="n">
        <v>45986</v>
      </c>
      <c r="C83" s="96" t="n">
        <v>0.786805555555556</v>
      </c>
      <c r="D83" s="93" t="s">
        <v>376</v>
      </c>
      <c r="E83" s="93"/>
      <c r="F83" s="93" t="s">
        <v>253</v>
      </c>
      <c r="G83" s="93" t="n">
        <v>0.8832</v>
      </c>
      <c r="H83" s="93" t="n">
        <v>39.97</v>
      </c>
      <c r="I83" s="93" t="n">
        <v>3.621</v>
      </c>
      <c r="J83" s="93" t="n">
        <v>4.1</v>
      </c>
      <c r="K83" s="93" t="n">
        <v>40</v>
      </c>
      <c r="L83" s="93" t="n">
        <v>0.08</v>
      </c>
      <c r="M83" s="93" t="n">
        <v>0.87</v>
      </c>
      <c r="N83" s="93" t="s">
        <v>254</v>
      </c>
    </row>
    <row r="84" customFormat="false" ht="14.25" hidden="false" customHeight="true" outlineLevel="0" collapsed="false">
      <c r="A84" s="93" t="n">
        <v>12949</v>
      </c>
      <c r="B84" s="95" t="n">
        <v>45986</v>
      </c>
      <c r="C84" s="96" t="n">
        <v>0.797013888888889</v>
      </c>
      <c r="D84" s="93" t="s">
        <v>376</v>
      </c>
      <c r="E84" s="93"/>
      <c r="F84" s="93" t="s">
        <v>253</v>
      </c>
      <c r="G84" s="93" t="n">
        <v>0.87576</v>
      </c>
      <c r="H84" s="93" t="n">
        <v>49.98</v>
      </c>
      <c r="I84" s="93" t="n">
        <v>2.73</v>
      </c>
      <c r="J84" s="93" t="n">
        <v>3.118</v>
      </c>
      <c r="K84" s="93" t="n">
        <v>50</v>
      </c>
      <c r="L84" s="93" t="n">
        <v>0.05</v>
      </c>
      <c r="M84" s="93" t="n">
        <v>0.91</v>
      </c>
      <c r="N84" s="93" t="s">
        <v>254</v>
      </c>
    </row>
    <row r="85" customFormat="false" ht="14.25" hidden="false" customHeight="true" outlineLevel="0" collapsed="false">
      <c r="A85" s="93" t="n">
        <v>12950</v>
      </c>
      <c r="B85" s="95" t="n">
        <v>45986</v>
      </c>
      <c r="C85" s="96" t="n">
        <v>0.807928240740741</v>
      </c>
      <c r="D85" s="93" t="s">
        <v>376</v>
      </c>
      <c r="E85" s="93"/>
      <c r="F85" s="93" t="s">
        <v>373</v>
      </c>
      <c r="G85" s="93" t="n">
        <v>0.8682</v>
      </c>
      <c r="H85" s="93" t="n">
        <v>59.98</v>
      </c>
      <c r="I85" s="93" t="n">
        <v>2.141</v>
      </c>
      <c r="J85" s="93" t="n">
        <v>2.466</v>
      </c>
      <c r="K85" s="93" t="n">
        <v>60</v>
      </c>
      <c r="L85" s="93" t="n">
        <v>0.13</v>
      </c>
      <c r="M85" s="93" t="n">
        <v>3.55</v>
      </c>
      <c r="N85" s="93" t="s">
        <v>254</v>
      </c>
    </row>
    <row r="86" customFormat="false" ht="14.25" hidden="false" customHeight="true" outlineLevel="0" collapsed="false">
      <c r="A86" s="93" t="n">
        <v>12951</v>
      </c>
      <c r="B86" s="95" t="n">
        <v>45986</v>
      </c>
      <c r="C86" s="96" t="n">
        <v>0.812592592592593</v>
      </c>
      <c r="D86" s="93" t="s">
        <v>376</v>
      </c>
      <c r="E86" s="93"/>
      <c r="F86" s="93" t="s">
        <v>253</v>
      </c>
      <c r="G86" s="93" t="n">
        <v>0.86818</v>
      </c>
      <c r="H86" s="93" t="n">
        <v>59.99</v>
      </c>
      <c r="I86" s="93" t="n">
        <v>2.111</v>
      </c>
      <c r="J86" s="93" t="n">
        <v>2.431</v>
      </c>
      <c r="K86" s="93" t="n">
        <v>60</v>
      </c>
      <c r="L86" s="93" t="n">
        <v>0.06</v>
      </c>
      <c r="M86" s="93" t="n">
        <v>0.91</v>
      </c>
      <c r="N86" s="93" t="s">
        <v>254</v>
      </c>
    </row>
    <row r="87" customFormat="false" ht="14.25" hidden="false" customHeight="true" outlineLevel="0" collapsed="false">
      <c r="A87" s="93" t="n">
        <v>12953</v>
      </c>
      <c r="B87" s="95" t="n">
        <v>45987</v>
      </c>
      <c r="C87" s="96" t="n">
        <v>0.599537037037037</v>
      </c>
      <c r="D87" s="93" t="s">
        <v>377</v>
      </c>
      <c r="E87" s="93"/>
      <c r="F87" s="93" t="s">
        <v>253</v>
      </c>
      <c r="G87" s="93" t="n">
        <v>0.99714</v>
      </c>
      <c r="H87" s="93" t="n">
        <v>24.98</v>
      </c>
      <c r="I87" s="93" t="n">
        <v>0.912</v>
      </c>
      <c r="J87" s="93" t="n">
        <v>0.914</v>
      </c>
      <c r="K87" s="93" t="n">
        <v>25</v>
      </c>
      <c r="L87" s="93" t="n">
        <v>0</v>
      </c>
      <c r="M87" s="93" t="n">
        <v>0.86</v>
      </c>
      <c r="N87" s="93" t="s">
        <v>254</v>
      </c>
    </row>
    <row r="88" customFormat="false" ht="14.25" hidden="false" customHeight="true" outlineLevel="0" collapsed="false">
      <c r="A88" s="93" t="n">
        <v>12954</v>
      </c>
      <c r="B88" s="95" t="n">
        <v>45987</v>
      </c>
      <c r="C88" s="96" t="n">
        <v>0.605659722222222</v>
      </c>
      <c r="D88" s="93" t="s">
        <v>377</v>
      </c>
      <c r="E88" s="93"/>
      <c r="F88" s="93" t="s">
        <v>253</v>
      </c>
      <c r="G88" s="93" t="n">
        <v>0.99576</v>
      </c>
      <c r="H88" s="93" t="n">
        <v>29.97</v>
      </c>
      <c r="I88" s="93" t="n">
        <v>0.819</v>
      </c>
      <c r="J88" s="93" t="n">
        <v>0.822</v>
      </c>
      <c r="K88" s="93" t="n">
        <v>30</v>
      </c>
      <c r="L88" s="93" t="n">
        <v>0.11</v>
      </c>
      <c r="M88" s="93" t="n">
        <v>1.19</v>
      </c>
      <c r="N88" s="93" t="s">
        <v>254</v>
      </c>
    </row>
    <row r="89" customFormat="false" ht="14.25" hidden="false" customHeight="true" outlineLevel="0" collapsed="false">
      <c r="A89" s="93" t="n">
        <v>12955</v>
      </c>
      <c r="B89" s="95" t="n">
        <v>45987</v>
      </c>
      <c r="C89" s="96" t="n">
        <v>0.611053240740741</v>
      </c>
      <c r="D89" s="93" t="s">
        <v>377</v>
      </c>
      <c r="E89" s="93"/>
      <c r="F89" s="93" t="s">
        <v>253</v>
      </c>
      <c r="G89" s="93" t="n">
        <v>0.99413</v>
      </c>
      <c r="H89" s="93" t="n">
        <v>34.97</v>
      </c>
      <c r="I89" s="93" t="n">
        <v>0.74</v>
      </c>
      <c r="J89" s="93" t="n">
        <v>0.745</v>
      </c>
      <c r="K89" s="93" t="n">
        <v>35</v>
      </c>
      <c r="L89" s="93" t="n">
        <v>0.08</v>
      </c>
      <c r="M89" s="93" t="n">
        <v>1.4</v>
      </c>
      <c r="N89" s="93" t="s">
        <v>254</v>
      </c>
    </row>
    <row r="90" customFormat="false" ht="14.25" hidden="false" customHeight="true" outlineLevel="0" collapsed="false">
      <c r="A90" s="93" t="n">
        <v>12956</v>
      </c>
      <c r="B90" s="95" t="n">
        <v>45987</v>
      </c>
      <c r="C90" s="96" t="n">
        <v>0.617060185185185</v>
      </c>
      <c r="D90" s="93" t="s">
        <v>377</v>
      </c>
      <c r="E90" s="93"/>
      <c r="F90" s="93" t="s">
        <v>253</v>
      </c>
      <c r="G90" s="93" t="n">
        <v>0.99236</v>
      </c>
      <c r="H90" s="93" t="n">
        <v>39.97</v>
      </c>
      <c r="I90" s="93" t="n">
        <v>0.676</v>
      </c>
      <c r="J90" s="93" t="n">
        <v>0.681</v>
      </c>
      <c r="K90" s="93" t="n">
        <v>40</v>
      </c>
      <c r="L90" s="93" t="n">
        <v>0.19</v>
      </c>
      <c r="M90" s="93" t="n">
        <v>1.48</v>
      </c>
      <c r="N90" s="93" t="s">
        <v>254</v>
      </c>
    </row>
    <row r="91" customFormat="false" ht="14.25" hidden="false" customHeight="true" outlineLevel="0" collapsed="false">
      <c r="A91" s="93" t="n">
        <v>12957</v>
      </c>
      <c r="B91" s="95" t="n">
        <v>45987</v>
      </c>
      <c r="C91" s="96" t="n">
        <v>0.625</v>
      </c>
      <c r="D91" s="93" t="s">
        <v>377</v>
      </c>
      <c r="E91" s="93"/>
      <c r="F91" s="93" t="s">
        <v>378</v>
      </c>
      <c r="G91" s="93" t="n">
        <v>0.98967</v>
      </c>
      <c r="H91" s="93" t="n">
        <v>44.97</v>
      </c>
      <c r="I91" s="93" t="n">
        <v>0.62</v>
      </c>
      <c r="J91" s="93" t="n">
        <v>0.626</v>
      </c>
      <c r="K91" s="93" t="n">
        <v>45</v>
      </c>
      <c r="L91" s="93" t="n">
        <v>0.08</v>
      </c>
      <c r="M91" s="93" t="n">
        <v>1.39</v>
      </c>
      <c r="N91" s="93" t="s">
        <v>254</v>
      </c>
    </row>
    <row r="92" customFormat="false" ht="14.25" hidden="false" customHeight="true" outlineLevel="0" collapsed="false">
      <c r="A92" s="93" t="n">
        <v>12958</v>
      </c>
      <c r="B92" s="95" t="n">
        <v>45987</v>
      </c>
      <c r="C92" s="96" t="n">
        <v>0.632685185185185</v>
      </c>
      <c r="D92" s="93" t="s">
        <v>377</v>
      </c>
      <c r="E92" s="93"/>
      <c r="F92" s="93" t="s">
        <v>293</v>
      </c>
      <c r="G92" s="93" t="s">
        <v>289</v>
      </c>
      <c r="H92" s="93" t="s">
        <v>289</v>
      </c>
      <c r="I92" s="93" t="s">
        <v>289</v>
      </c>
      <c r="J92" s="93" t="s">
        <v>289</v>
      </c>
      <c r="K92" s="93" t="s">
        <v>289</v>
      </c>
      <c r="L92" s="93" t="s">
        <v>289</v>
      </c>
      <c r="M92" s="93" t="s">
        <v>289</v>
      </c>
      <c r="N92" s="93" t="s">
        <v>254</v>
      </c>
    </row>
    <row r="93" customFormat="false" ht="14.25" hidden="false" customHeight="true" outlineLevel="0" collapsed="false">
      <c r="A93" s="93" t="n">
        <v>12959</v>
      </c>
      <c r="B93" s="95" t="n">
        <v>45987</v>
      </c>
      <c r="C93" s="96" t="n">
        <v>0.640798611111111</v>
      </c>
      <c r="D93" s="93" t="s">
        <v>379</v>
      </c>
      <c r="E93" s="93"/>
      <c r="F93" s="93" t="s">
        <v>378</v>
      </c>
      <c r="G93" s="93" t="n">
        <v>0.98828</v>
      </c>
      <c r="H93" s="93" t="n">
        <v>49.97</v>
      </c>
      <c r="I93" s="93" t="n">
        <v>0.625</v>
      </c>
      <c r="J93" s="93" t="n">
        <v>0.633</v>
      </c>
      <c r="K93" s="93" t="n">
        <v>50</v>
      </c>
      <c r="L93" s="93" t="n">
        <v>0.06</v>
      </c>
      <c r="M93" s="93" t="n">
        <v>5.05</v>
      </c>
      <c r="N93" s="93" t="s">
        <v>254</v>
      </c>
    </row>
    <row r="94" customFormat="false" ht="14.25" hidden="false" customHeight="true" outlineLevel="0" collapsed="false">
      <c r="A94" s="93" t="n">
        <v>12961</v>
      </c>
      <c r="B94" s="95" t="n">
        <v>45987</v>
      </c>
      <c r="C94" s="96" t="n">
        <v>0.652708333333333</v>
      </c>
      <c r="D94" s="93" t="s">
        <v>380</v>
      </c>
      <c r="E94" s="93"/>
      <c r="F94" s="93" t="s">
        <v>378</v>
      </c>
      <c r="G94" s="93" t="n">
        <v>0.9898</v>
      </c>
      <c r="H94" s="93" t="n">
        <v>45.02</v>
      </c>
      <c r="I94" s="93" t="n">
        <v>0.622</v>
      </c>
      <c r="J94" s="93" t="n">
        <v>0.629</v>
      </c>
      <c r="K94" s="93" t="n">
        <v>45</v>
      </c>
      <c r="L94" s="93" t="n">
        <v>3.73</v>
      </c>
      <c r="M94" s="93" t="n">
        <v>6.98</v>
      </c>
      <c r="N94" s="93" t="s">
        <v>254</v>
      </c>
    </row>
    <row r="95" customFormat="false" ht="14.25" hidden="false" customHeight="true" outlineLevel="0" collapsed="false">
      <c r="A95" s="93" t="n">
        <v>12962</v>
      </c>
      <c r="B95" s="95" t="n">
        <v>45987</v>
      </c>
      <c r="C95" s="96" t="n">
        <v>0.653773148148148</v>
      </c>
      <c r="D95" s="93" t="s">
        <v>380</v>
      </c>
      <c r="E95" s="93"/>
      <c r="F95" s="93" t="s">
        <v>293</v>
      </c>
      <c r="G95" s="93" t="s">
        <v>289</v>
      </c>
      <c r="H95" s="93" t="s">
        <v>289</v>
      </c>
      <c r="I95" s="93" t="s">
        <v>289</v>
      </c>
      <c r="J95" s="93" t="s">
        <v>289</v>
      </c>
      <c r="K95" s="93" t="s">
        <v>289</v>
      </c>
      <c r="L95" s="93" t="s">
        <v>289</v>
      </c>
      <c r="M95" s="93" t="s">
        <v>289</v>
      </c>
      <c r="N95" s="93" t="s">
        <v>254</v>
      </c>
    </row>
    <row r="96" customFormat="false" ht="14.25" hidden="false" customHeight="true" outlineLevel="0" collapsed="false">
      <c r="A96" s="93" t="n">
        <v>12964</v>
      </c>
      <c r="B96" s="95" t="n">
        <v>45987</v>
      </c>
      <c r="C96" s="96" t="n">
        <v>0.657858796296296</v>
      </c>
      <c r="D96" s="93" t="s">
        <v>380</v>
      </c>
      <c r="E96" s="93"/>
      <c r="F96" s="93" t="s">
        <v>381</v>
      </c>
      <c r="G96" s="93" t="n">
        <v>0.99037</v>
      </c>
      <c r="H96" s="93" t="n">
        <v>45.02</v>
      </c>
      <c r="I96" s="93" t="n">
        <v>0.623</v>
      </c>
      <c r="J96" s="93" t="n">
        <v>0.629</v>
      </c>
      <c r="K96" s="93" t="n">
        <v>45</v>
      </c>
      <c r="L96" s="93" t="n">
        <v>3.05</v>
      </c>
      <c r="M96" s="93" t="n">
        <v>5.96</v>
      </c>
      <c r="N96" s="93" t="s">
        <v>254</v>
      </c>
    </row>
    <row r="97" customFormat="false" ht="14.25" hidden="false" customHeight="true" outlineLevel="0" collapsed="false">
      <c r="A97" s="93" t="n">
        <v>12965</v>
      </c>
      <c r="B97" s="95" t="n">
        <v>45987</v>
      </c>
      <c r="C97" s="96" t="n">
        <v>0.659293981481481</v>
      </c>
      <c r="D97" s="93" t="s">
        <v>380</v>
      </c>
      <c r="E97" s="93"/>
      <c r="F97" s="93" t="s">
        <v>293</v>
      </c>
      <c r="G97" s="93" t="s">
        <v>289</v>
      </c>
      <c r="H97" s="93" t="s">
        <v>289</v>
      </c>
      <c r="I97" s="93" t="s">
        <v>289</v>
      </c>
      <c r="J97" s="93" t="s">
        <v>289</v>
      </c>
      <c r="K97" s="93" t="s">
        <v>289</v>
      </c>
      <c r="L97" s="93" t="s">
        <v>289</v>
      </c>
      <c r="M97" s="93" t="s">
        <v>289</v>
      </c>
      <c r="N97" s="93" t="s">
        <v>254</v>
      </c>
    </row>
    <row r="98" customFormat="false" ht="14.25" hidden="false" customHeight="true" outlineLevel="0" collapsed="false">
      <c r="A98" s="93" t="n">
        <v>12966</v>
      </c>
      <c r="B98" s="95" t="n">
        <v>45987</v>
      </c>
      <c r="C98" s="96" t="n">
        <v>0.668252314814815</v>
      </c>
      <c r="D98" s="93" t="s">
        <v>380</v>
      </c>
      <c r="E98" s="93"/>
      <c r="F98" s="93" t="s">
        <v>378</v>
      </c>
      <c r="G98" s="93" t="s">
        <v>289</v>
      </c>
      <c r="H98" s="93" t="s">
        <v>289</v>
      </c>
      <c r="I98" s="93" t="s">
        <v>289</v>
      </c>
      <c r="J98" s="93" t="s">
        <v>289</v>
      </c>
      <c r="K98" s="93" t="s">
        <v>289</v>
      </c>
      <c r="L98" s="93" t="s">
        <v>289</v>
      </c>
      <c r="M98" s="93" t="s">
        <v>289</v>
      </c>
      <c r="N98" s="93" t="s">
        <v>254</v>
      </c>
    </row>
    <row r="99" customFormat="false" ht="14.25" hidden="false" customHeight="true" outlineLevel="0" collapsed="false">
      <c r="A99" s="93" t="n">
        <v>12967</v>
      </c>
      <c r="B99" s="95" t="n">
        <v>45987</v>
      </c>
      <c r="C99" s="96" t="n">
        <v>0.662546296296296</v>
      </c>
      <c r="D99" s="93" t="s">
        <v>380</v>
      </c>
      <c r="E99" s="93"/>
      <c r="F99" s="93" t="s">
        <v>253</v>
      </c>
      <c r="G99" s="93" t="n">
        <v>0.99057</v>
      </c>
      <c r="H99" s="93" t="n">
        <v>45</v>
      </c>
      <c r="I99" s="93" t="n">
        <v>0.608</v>
      </c>
      <c r="J99" s="93" t="n">
        <v>0.614</v>
      </c>
      <c r="K99" s="93" t="n">
        <v>45</v>
      </c>
      <c r="L99" s="93" t="n">
        <v>0.21</v>
      </c>
      <c r="M99" s="93" t="n">
        <v>1.51</v>
      </c>
      <c r="N99" s="93" t="s">
        <v>254</v>
      </c>
    </row>
    <row r="100" customFormat="false" ht="14.25" hidden="false" customHeight="true" outlineLevel="0" collapsed="false">
      <c r="A100" s="93" t="n">
        <v>12968</v>
      </c>
      <c r="B100" s="95" t="n">
        <v>45987</v>
      </c>
      <c r="C100" s="96" t="n">
        <v>0.66818287037037</v>
      </c>
      <c r="D100" s="93" t="s">
        <v>380</v>
      </c>
      <c r="E100" s="93"/>
      <c r="F100" s="93" t="s">
        <v>378</v>
      </c>
      <c r="G100" s="93" t="n">
        <v>0.98502</v>
      </c>
      <c r="H100" s="93" t="n">
        <v>49.97</v>
      </c>
      <c r="I100" s="93" t="n">
        <v>0.599</v>
      </c>
      <c r="J100" s="93" t="n">
        <v>0.608</v>
      </c>
      <c r="K100" s="93" t="n">
        <v>50</v>
      </c>
      <c r="L100" s="93" t="n">
        <v>1.8</v>
      </c>
      <c r="M100" s="93" t="n">
        <v>6.73</v>
      </c>
      <c r="N100" s="93" t="s">
        <v>254</v>
      </c>
    </row>
    <row r="101" customFormat="false" ht="14.25" hidden="false" customHeight="true" outlineLevel="0" collapsed="false">
      <c r="A101" s="93" t="n">
        <v>12970</v>
      </c>
      <c r="B101" s="95" t="n">
        <v>45992</v>
      </c>
      <c r="C101" s="96" t="n">
        <v>0.67224537037037</v>
      </c>
      <c r="D101" s="93" t="s">
        <v>382</v>
      </c>
      <c r="E101" s="93"/>
      <c r="F101" s="93" t="s">
        <v>373</v>
      </c>
      <c r="G101" s="93" t="s">
        <v>289</v>
      </c>
      <c r="H101" s="93" t="s">
        <v>289</v>
      </c>
      <c r="I101" s="93" t="s">
        <v>289</v>
      </c>
      <c r="J101" s="93" t="s">
        <v>289</v>
      </c>
      <c r="K101" s="93" t="s">
        <v>289</v>
      </c>
      <c r="L101" s="93" t="s">
        <v>289</v>
      </c>
      <c r="M101" s="93" t="s">
        <v>289</v>
      </c>
      <c r="N101" s="93" t="s">
        <v>254</v>
      </c>
    </row>
    <row r="102" customFormat="false" ht="14.25" hidden="false" customHeight="true" outlineLevel="0" collapsed="false">
      <c r="A102" s="93" t="n">
        <v>12971</v>
      </c>
      <c r="B102" s="95" t="n">
        <v>45992</v>
      </c>
      <c r="C102" s="96" t="n">
        <v>0.638761574074074</v>
      </c>
      <c r="D102" s="93" t="s">
        <v>382</v>
      </c>
      <c r="E102" s="93"/>
      <c r="F102" s="93" t="s">
        <v>253</v>
      </c>
      <c r="G102" s="93" t="n">
        <v>0.91775</v>
      </c>
      <c r="H102" s="93" t="n">
        <v>20.09</v>
      </c>
      <c r="I102" s="93" t="n">
        <v>7.621</v>
      </c>
      <c r="J102" s="93" t="n">
        <v>8.304</v>
      </c>
      <c r="K102" s="93" t="n">
        <v>20</v>
      </c>
      <c r="L102" s="93" t="n">
        <v>0.01</v>
      </c>
      <c r="M102" s="93" t="n">
        <v>0.63</v>
      </c>
      <c r="N102" s="93" t="s">
        <v>254</v>
      </c>
    </row>
    <row r="103" customFormat="false" ht="14.25" hidden="false" customHeight="true" outlineLevel="0" collapsed="false">
      <c r="A103" s="93" t="n">
        <v>12972</v>
      </c>
      <c r="B103" s="95" t="n">
        <v>45992</v>
      </c>
      <c r="C103" s="96" t="n">
        <v>0.645763888888889</v>
      </c>
      <c r="D103" s="93" t="s">
        <v>382</v>
      </c>
      <c r="E103" s="93"/>
      <c r="F103" s="93" t="s">
        <v>253</v>
      </c>
      <c r="G103" s="93" t="n">
        <v>0.9105</v>
      </c>
      <c r="H103" s="93" t="n">
        <v>29.97</v>
      </c>
      <c r="I103" s="93" t="n">
        <v>5.323</v>
      </c>
      <c r="J103" s="93" t="n">
        <v>5.846</v>
      </c>
      <c r="K103" s="93" t="n">
        <v>30</v>
      </c>
      <c r="L103" s="93" t="n">
        <v>0.1</v>
      </c>
      <c r="M103" s="93" t="n">
        <v>0.46</v>
      </c>
      <c r="N103" s="93" t="s">
        <v>254</v>
      </c>
    </row>
    <row r="104" customFormat="false" ht="14.25" hidden="false" customHeight="true" outlineLevel="0" collapsed="false">
      <c r="A104" s="93" t="n">
        <v>12973</v>
      </c>
      <c r="B104" s="95" t="n">
        <v>45992</v>
      </c>
      <c r="C104" s="96" t="n">
        <v>0.651701388888889</v>
      </c>
      <c r="D104" s="93" t="s">
        <v>382</v>
      </c>
      <c r="E104" s="93"/>
      <c r="F104" s="93" t="s">
        <v>253</v>
      </c>
      <c r="G104" s="93" t="n">
        <v>0.90313</v>
      </c>
      <c r="H104" s="93" t="n">
        <v>39.97</v>
      </c>
      <c r="I104" s="93" t="n">
        <v>3.864</v>
      </c>
      <c r="J104" s="93" t="n">
        <v>4.278</v>
      </c>
      <c r="K104" s="93" t="n">
        <v>40</v>
      </c>
      <c r="L104" s="93" t="n">
        <v>0.07</v>
      </c>
      <c r="M104" s="93" t="n">
        <v>0.88</v>
      </c>
      <c r="N104" s="93" t="s">
        <v>254</v>
      </c>
    </row>
    <row r="105" customFormat="false" ht="14.25" hidden="false" customHeight="true" outlineLevel="0" collapsed="false">
      <c r="A105" s="93" t="n">
        <v>12974</v>
      </c>
      <c r="B105" s="95" t="n">
        <v>45992</v>
      </c>
      <c r="C105" s="96" t="n">
        <v>0.661539351851852</v>
      </c>
      <c r="D105" s="93" t="s">
        <v>382</v>
      </c>
      <c r="E105" s="93"/>
      <c r="F105" s="93" t="s">
        <v>253</v>
      </c>
      <c r="G105" s="93" t="n">
        <v>0.89564</v>
      </c>
      <c r="H105" s="93" t="n">
        <v>49.98</v>
      </c>
      <c r="I105" s="93" t="n">
        <v>2.894</v>
      </c>
      <c r="J105" s="93" t="n">
        <v>3.232</v>
      </c>
      <c r="K105" s="93" t="n">
        <v>50</v>
      </c>
      <c r="L105" s="93" t="n">
        <v>0.14</v>
      </c>
      <c r="M105" s="93" t="n">
        <v>0.76</v>
      </c>
      <c r="N105" s="93" t="s">
        <v>254</v>
      </c>
    </row>
    <row r="106" customFormat="false" ht="14.25" hidden="false" customHeight="true" outlineLevel="0" collapsed="false">
      <c r="A106" s="93" t="n">
        <v>12975</v>
      </c>
      <c r="B106" s="95" t="n">
        <v>45992</v>
      </c>
      <c r="C106" s="96" t="n">
        <v>0.672175925925926</v>
      </c>
      <c r="D106" s="93" t="s">
        <v>382</v>
      </c>
      <c r="E106" s="93"/>
      <c r="F106" s="93" t="s">
        <v>373</v>
      </c>
      <c r="G106" s="93" t="n">
        <v>0.88807</v>
      </c>
      <c r="H106" s="93" t="n">
        <v>59.98</v>
      </c>
      <c r="I106" s="93" t="n">
        <v>2.251</v>
      </c>
      <c r="J106" s="93" t="n">
        <v>2.534</v>
      </c>
      <c r="K106" s="93" t="n">
        <v>60</v>
      </c>
      <c r="L106" s="93" t="n">
        <v>0.34</v>
      </c>
      <c r="M106" s="93" t="n">
        <v>2.68</v>
      </c>
      <c r="N106" s="93" t="s">
        <v>254</v>
      </c>
    </row>
    <row r="107" customFormat="false" ht="14.25" hidden="false" customHeight="true" outlineLevel="0" collapsed="false">
      <c r="A107" s="93" t="n">
        <v>12976</v>
      </c>
      <c r="B107" s="95" t="n">
        <v>45992</v>
      </c>
      <c r="C107" s="96" t="n">
        <v>0.683877314814815</v>
      </c>
      <c r="D107" s="93" t="s">
        <v>382</v>
      </c>
      <c r="E107" s="93"/>
      <c r="F107" s="93" t="s">
        <v>253</v>
      </c>
      <c r="G107" s="93" t="n">
        <v>0.88806</v>
      </c>
      <c r="H107" s="93" t="n">
        <v>59.98</v>
      </c>
      <c r="I107" s="93" t="n">
        <v>2.228</v>
      </c>
      <c r="J107" s="93" t="n">
        <v>2.509</v>
      </c>
      <c r="K107" s="93" t="n">
        <v>60</v>
      </c>
      <c r="L107" s="93" t="n">
        <v>0.01</v>
      </c>
      <c r="M107" s="93" t="n">
        <v>0.39</v>
      </c>
      <c r="N107" s="93" t="s">
        <v>254</v>
      </c>
    </row>
    <row r="108" customFormat="false" ht="14.25" hidden="false" customHeight="true" outlineLevel="0" collapsed="false">
      <c r="A108" s="93" t="n">
        <v>12977</v>
      </c>
      <c r="B108" s="95" t="n">
        <v>45992</v>
      </c>
      <c r="C108" s="96" t="n">
        <v>0.700833333333333</v>
      </c>
      <c r="D108" s="93" t="s">
        <v>382</v>
      </c>
      <c r="E108" s="93"/>
      <c r="F108" s="93" t="s">
        <v>293</v>
      </c>
      <c r="G108" s="93" t="s">
        <v>289</v>
      </c>
      <c r="H108" s="93" t="s">
        <v>289</v>
      </c>
      <c r="I108" s="93" t="s">
        <v>289</v>
      </c>
      <c r="J108" s="93" t="s">
        <v>289</v>
      </c>
      <c r="K108" s="93" t="s">
        <v>289</v>
      </c>
      <c r="L108" s="93" t="s">
        <v>289</v>
      </c>
      <c r="M108" s="93" t="s">
        <v>289</v>
      </c>
      <c r="N108" s="93" t="s">
        <v>254</v>
      </c>
    </row>
    <row r="109" customFormat="false" ht="14.25" hidden="false" customHeight="true" outlineLevel="0" collapsed="false">
      <c r="A109" s="93" t="n">
        <v>12978</v>
      </c>
      <c r="B109" s="95" t="n">
        <v>45992</v>
      </c>
      <c r="C109" s="96" t="n">
        <v>0.758298611111111</v>
      </c>
      <c r="D109" s="93" t="s">
        <v>383</v>
      </c>
      <c r="E109" s="93"/>
      <c r="F109" s="93" t="s">
        <v>253</v>
      </c>
      <c r="G109" s="93" t="s">
        <v>289</v>
      </c>
      <c r="H109" s="93" t="s">
        <v>289</v>
      </c>
      <c r="I109" s="93" t="s">
        <v>289</v>
      </c>
      <c r="J109" s="93" t="s">
        <v>289</v>
      </c>
      <c r="K109" s="93" t="s">
        <v>289</v>
      </c>
      <c r="L109" s="93" t="s">
        <v>289</v>
      </c>
      <c r="M109" s="93" t="s">
        <v>289</v>
      </c>
      <c r="N109" s="93" t="s">
        <v>254</v>
      </c>
    </row>
    <row r="110" customFormat="false" ht="14.25" hidden="false" customHeight="true" outlineLevel="0" collapsed="false">
      <c r="A110" s="93" t="n">
        <v>12979</v>
      </c>
      <c r="B110" s="95" t="n">
        <v>45992</v>
      </c>
      <c r="C110" s="96" t="n">
        <v>0.726793981481481</v>
      </c>
      <c r="D110" s="93" t="s">
        <v>383</v>
      </c>
      <c r="E110" s="93"/>
      <c r="F110" s="93" t="s">
        <v>253</v>
      </c>
      <c r="G110" s="93" t="n">
        <v>0.93772</v>
      </c>
      <c r="H110" s="93" t="n">
        <v>20</v>
      </c>
      <c r="I110" s="93" t="n">
        <v>8.415</v>
      </c>
      <c r="J110" s="93" t="n">
        <v>8.974</v>
      </c>
      <c r="K110" s="93" t="n">
        <v>20</v>
      </c>
      <c r="L110" s="93" t="n">
        <v>0.22</v>
      </c>
      <c r="M110" s="93" t="n">
        <v>0.2</v>
      </c>
      <c r="N110" s="93" t="s">
        <v>254</v>
      </c>
    </row>
    <row r="111" customFormat="false" ht="14.25" hidden="false" customHeight="true" outlineLevel="0" collapsed="false">
      <c r="A111" s="93" t="n">
        <v>12980</v>
      </c>
      <c r="B111" s="95" t="n">
        <v>45992</v>
      </c>
      <c r="C111" s="96" t="n">
        <v>0.734143518518519</v>
      </c>
      <c r="D111" s="93" t="s">
        <v>383</v>
      </c>
      <c r="E111" s="93"/>
      <c r="F111" s="93" t="s">
        <v>253</v>
      </c>
      <c r="G111" s="93" t="n">
        <v>0.93044</v>
      </c>
      <c r="H111" s="93" t="n">
        <v>29.97</v>
      </c>
      <c r="I111" s="93" t="n">
        <v>5.795</v>
      </c>
      <c r="J111" s="93" t="n">
        <v>6.228</v>
      </c>
      <c r="K111" s="93" t="n">
        <v>30</v>
      </c>
      <c r="L111" s="93" t="n">
        <v>0.02</v>
      </c>
      <c r="M111" s="93" t="n">
        <v>0.78</v>
      </c>
      <c r="N111" s="93" t="s">
        <v>254</v>
      </c>
    </row>
    <row r="112" customFormat="false" ht="14.25" hidden="false" customHeight="true" outlineLevel="0" collapsed="false">
      <c r="A112" s="93" t="n">
        <v>12981</v>
      </c>
      <c r="B112" s="95" t="n">
        <v>45992</v>
      </c>
      <c r="C112" s="96" t="n">
        <v>0.740289351851852</v>
      </c>
      <c r="D112" s="93" t="s">
        <v>383</v>
      </c>
      <c r="E112" s="93"/>
      <c r="F112" s="93" t="s">
        <v>253</v>
      </c>
      <c r="G112" s="93" t="n">
        <v>0.92306</v>
      </c>
      <c r="H112" s="93" t="n">
        <v>39.97</v>
      </c>
      <c r="I112" s="93" t="n">
        <v>4.161</v>
      </c>
      <c r="J112" s="93" t="n">
        <v>4.507</v>
      </c>
      <c r="K112" s="93" t="n">
        <v>40</v>
      </c>
      <c r="L112" s="93" t="n">
        <v>0.04</v>
      </c>
      <c r="M112" s="93" t="n">
        <v>0.71</v>
      </c>
      <c r="N112" s="93" t="s">
        <v>254</v>
      </c>
    </row>
    <row r="113" customFormat="false" ht="14.25" hidden="false" customHeight="true" outlineLevel="0" collapsed="false">
      <c r="A113" s="93" t="n">
        <v>12982</v>
      </c>
      <c r="B113" s="95" t="n">
        <v>45992</v>
      </c>
      <c r="C113" s="96" t="n">
        <v>0.747766203703704</v>
      </c>
      <c r="D113" s="93" t="s">
        <v>383</v>
      </c>
      <c r="E113" s="93"/>
      <c r="F113" s="93" t="s">
        <v>253</v>
      </c>
      <c r="G113" s="93" t="n">
        <v>0.91556</v>
      </c>
      <c r="H113" s="93" t="n">
        <v>49.97</v>
      </c>
      <c r="I113" s="93" t="n">
        <v>3.096</v>
      </c>
      <c r="J113" s="93" t="n">
        <v>3.382</v>
      </c>
      <c r="K113" s="93" t="n">
        <v>50</v>
      </c>
      <c r="L113" s="93" t="n">
        <v>0.08</v>
      </c>
      <c r="M113" s="93" t="n">
        <v>0.62</v>
      </c>
      <c r="N113" s="93" t="s">
        <v>254</v>
      </c>
    </row>
    <row r="114" customFormat="false" ht="14.25" hidden="false" customHeight="true" outlineLevel="0" collapsed="false">
      <c r="A114" s="93" t="n">
        <v>12983</v>
      </c>
      <c r="B114" s="95" t="n">
        <v>45992</v>
      </c>
      <c r="C114" s="96" t="n">
        <v>0.758229166666667</v>
      </c>
      <c r="D114" s="93" t="s">
        <v>383</v>
      </c>
      <c r="E114" s="93"/>
      <c r="F114" s="93" t="s">
        <v>253</v>
      </c>
      <c r="G114" s="93" t="n">
        <v>0.90792</v>
      </c>
      <c r="H114" s="93" t="n">
        <v>59.98</v>
      </c>
      <c r="I114" s="93" t="n">
        <v>2.372</v>
      </c>
      <c r="J114" s="93" t="n">
        <v>2.613</v>
      </c>
      <c r="K114" s="93" t="n">
        <v>60</v>
      </c>
      <c r="L114" s="93" t="n">
        <v>0.01</v>
      </c>
      <c r="M114" s="93" t="n">
        <v>1.05</v>
      </c>
      <c r="N114" s="93" t="s">
        <v>254</v>
      </c>
    </row>
    <row r="115" customFormat="false" ht="14.25" hidden="false" customHeight="true" outlineLevel="0" collapsed="false">
      <c r="A115" s="93" t="n">
        <v>12984</v>
      </c>
      <c r="B115" s="95" t="n">
        <v>45992</v>
      </c>
      <c r="C115" s="96" t="n">
        <v>0.826087962962963</v>
      </c>
      <c r="D115" s="93" t="s">
        <v>384</v>
      </c>
      <c r="E115" s="93"/>
      <c r="F115" s="93" t="s">
        <v>253</v>
      </c>
      <c r="G115" s="93" t="s">
        <v>289</v>
      </c>
      <c r="H115" s="93" t="s">
        <v>289</v>
      </c>
      <c r="I115" s="93" t="s">
        <v>289</v>
      </c>
      <c r="J115" s="93" t="s">
        <v>289</v>
      </c>
      <c r="K115" s="93" t="s">
        <v>289</v>
      </c>
      <c r="L115" s="93" t="s">
        <v>289</v>
      </c>
      <c r="M115" s="93" t="s">
        <v>289</v>
      </c>
      <c r="N115" s="93" t="s">
        <v>254</v>
      </c>
    </row>
    <row r="116" customFormat="false" ht="14.25" hidden="false" customHeight="true" outlineLevel="0" collapsed="false">
      <c r="A116" s="93" t="n">
        <v>12985</v>
      </c>
      <c r="B116" s="95" t="n">
        <v>45992</v>
      </c>
      <c r="C116" s="96" t="n">
        <v>0.795115740740741</v>
      </c>
      <c r="D116" s="93" t="s">
        <v>384</v>
      </c>
      <c r="E116" s="93"/>
      <c r="F116" s="93" t="s">
        <v>253</v>
      </c>
      <c r="G116" s="93" t="n">
        <v>0.95813</v>
      </c>
      <c r="H116" s="93" t="n">
        <v>20.08</v>
      </c>
      <c r="I116" s="93" t="n">
        <v>9.384</v>
      </c>
      <c r="J116" s="93" t="n">
        <v>9.794</v>
      </c>
      <c r="K116" s="93" t="n">
        <v>20</v>
      </c>
      <c r="L116" s="93" t="n">
        <v>0</v>
      </c>
      <c r="M116" s="93" t="n">
        <v>0.39</v>
      </c>
      <c r="N116" s="93" t="s">
        <v>254</v>
      </c>
    </row>
    <row r="117" customFormat="false" ht="14.25" hidden="false" customHeight="true" outlineLevel="0" collapsed="false">
      <c r="A117" s="93" t="n">
        <v>12986</v>
      </c>
      <c r="B117" s="95" t="n">
        <v>45992</v>
      </c>
      <c r="C117" s="96" t="n">
        <v>0.802858796296296</v>
      </c>
      <c r="D117" s="93" t="s">
        <v>384</v>
      </c>
      <c r="E117" s="93"/>
      <c r="F117" s="93" t="s">
        <v>253</v>
      </c>
      <c r="G117" s="93" t="n">
        <v>0.95076</v>
      </c>
      <c r="H117" s="93" t="n">
        <v>29.98</v>
      </c>
      <c r="I117" s="93" t="n">
        <v>6.363</v>
      </c>
      <c r="J117" s="93" t="n">
        <v>6.693</v>
      </c>
      <c r="K117" s="93" t="n">
        <v>30</v>
      </c>
      <c r="L117" s="93" t="n">
        <v>0.02</v>
      </c>
      <c r="M117" s="93" t="n">
        <v>0.68</v>
      </c>
      <c r="N117" s="93" t="s">
        <v>254</v>
      </c>
    </row>
    <row r="118" customFormat="false" ht="14.25" hidden="false" customHeight="true" outlineLevel="0" collapsed="false">
      <c r="A118" s="93" t="n">
        <v>12987</v>
      </c>
      <c r="B118" s="95" t="n">
        <v>45992</v>
      </c>
      <c r="C118" s="96" t="n">
        <v>0.809282407407407</v>
      </c>
      <c r="D118" s="93" t="s">
        <v>384</v>
      </c>
      <c r="E118" s="93"/>
      <c r="F118" s="93" t="s">
        <v>253</v>
      </c>
      <c r="G118" s="93" t="n">
        <v>0.94335</v>
      </c>
      <c r="H118" s="93" t="n">
        <v>39.98</v>
      </c>
      <c r="I118" s="93" t="n">
        <v>4.52</v>
      </c>
      <c r="J118" s="93" t="n">
        <v>4.792</v>
      </c>
      <c r="K118" s="93" t="n">
        <v>40</v>
      </c>
      <c r="L118" s="93" t="n">
        <v>0.1</v>
      </c>
      <c r="M118" s="93" t="n">
        <v>0.56</v>
      </c>
      <c r="N118" s="93" t="s">
        <v>254</v>
      </c>
    </row>
    <row r="119" customFormat="false" ht="14.25" hidden="false" customHeight="true" outlineLevel="0" collapsed="false">
      <c r="A119" s="93" t="n">
        <v>12988</v>
      </c>
      <c r="B119" s="95" t="n">
        <v>45992</v>
      </c>
      <c r="C119" s="96" t="n">
        <v>0.815694444444445</v>
      </c>
      <c r="D119" s="93" t="s">
        <v>384</v>
      </c>
      <c r="E119" s="93"/>
      <c r="F119" s="93" t="s">
        <v>253</v>
      </c>
      <c r="G119" s="93" t="n">
        <v>0.93583</v>
      </c>
      <c r="H119" s="93" t="n">
        <v>49.97</v>
      </c>
      <c r="I119" s="93" t="n">
        <v>3.336</v>
      </c>
      <c r="J119" s="93" t="n">
        <v>3.565</v>
      </c>
      <c r="K119" s="93" t="n">
        <v>50</v>
      </c>
      <c r="L119" s="93" t="n">
        <v>0.03</v>
      </c>
      <c r="M119" s="93" t="n">
        <v>0.78</v>
      </c>
      <c r="N119" s="93" t="s">
        <v>254</v>
      </c>
    </row>
    <row r="120" customFormat="false" ht="14.25" hidden="false" customHeight="true" outlineLevel="0" collapsed="false">
      <c r="A120" s="93" t="n">
        <v>12989</v>
      </c>
      <c r="B120" s="95" t="n">
        <v>45992</v>
      </c>
      <c r="C120" s="96" t="n">
        <v>0.826030092592593</v>
      </c>
      <c r="D120" s="93" t="s">
        <v>384</v>
      </c>
      <c r="E120" s="93"/>
      <c r="F120" s="93" t="s">
        <v>253</v>
      </c>
      <c r="G120" s="93" t="n">
        <v>0.92821</v>
      </c>
      <c r="H120" s="93" t="n">
        <v>59.98</v>
      </c>
      <c r="I120" s="93" t="n">
        <v>2.542</v>
      </c>
      <c r="J120" s="93" t="n">
        <v>2.739</v>
      </c>
      <c r="K120" s="93" t="n">
        <v>60</v>
      </c>
      <c r="L120" s="93" t="n">
        <v>0.01</v>
      </c>
      <c r="M120" s="93" t="n">
        <v>0.88</v>
      </c>
      <c r="N120" s="93" t="s">
        <v>254</v>
      </c>
    </row>
    <row r="121" customFormat="false" ht="14.25" hidden="false" customHeight="true" outlineLevel="0" collapsed="false">
      <c r="A121" s="93" t="n">
        <v>12991</v>
      </c>
      <c r="B121" s="95" t="n">
        <v>45993</v>
      </c>
      <c r="C121" s="96" t="n">
        <v>0.601643518518519</v>
      </c>
      <c r="D121" s="93" t="s">
        <v>385</v>
      </c>
      <c r="E121" s="93"/>
      <c r="F121" s="93" t="s">
        <v>293</v>
      </c>
      <c r="G121" s="93" t="s">
        <v>289</v>
      </c>
      <c r="H121" s="93" t="s">
        <v>289</v>
      </c>
      <c r="I121" s="93" t="s">
        <v>289</v>
      </c>
      <c r="J121" s="93" t="s">
        <v>289</v>
      </c>
      <c r="K121" s="93" t="s">
        <v>289</v>
      </c>
      <c r="L121" s="93" t="s">
        <v>289</v>
      </c>
      <c r="M121" s="93" t="s">
        <v>289</v>
      </c>
      <c r="N121" s="93" t="s">
        <v>254</v>
      </c>
    </row>
    <row r="122" customFormat="false" ht="14.25" hidden="false" customHeight="true" outlineLevel="0" collapsed="false">
      <c r="A122" s="93" t="n">
        <v>12992</v>
      </c>
      <c r="B122" s="95" t="n">
        <v>45993</v>
      </c>
      <c r="C122" s="96" t="n">
        <v>0.65369212962963</v>
      </c>
      <c r="D122" s="93" t="s">
        <v>385</v>
      </c>
      <c r="E122" s="93"/>
      <c r="F122" s="93" t="s">
        <v>253</v>
      </c>
      <c r="G122" s="93" t="s">
        <v>289</v>
      </c>
      <c r="H122" s="93" t="s">
        <v>289</v>
      </c>
      <c r="I122" s="93" t="s">
        <v>289</v>
      </c>
      <c r="J122" s="93" t="s">
        <v>289</v>
      </c>
      <c r="K122" s="93" t="s">
        <v>289</v>
      </c>
      <c r="L122" s="93" t="s">
        <v>289</v>
      </c>
      <c r="M122" s="93" t="s">
        <v>289</v>
      </c>
      <c r="N122" s="93" t="s">
        <v>254</v>
      </c>
    </row>
    <row r="123" customFormat="false" ht="14.25" hidden="false" customHeight="true" outlineLevel="0" collapsed="false">
      <c r="A123" s="93" t="n">
        <v>12993</v>
      </c>
      <c r="B123" s="95" t="n">
        <v>45993</v>
      </c>
      <c r="C123" s="96" t="n">
        <v>0.617800925925926</v>
      </c>
      <c r="D123" s="93" t="s">
        <v>385</v>
      </c>
      <c r="E123" s="93"/>
      <c r="F123" s="93" t="s">
        <v>253</v>
      </c>
      <c r="G123" s="93" t="n">
        <v>0.9786</v>
      </c>
      <c r="H123" s="93" t="n">
        <v>20</v>
      </c>
      <c r="I123" s="93" t="n">
        <v>10.57</v>
      </c>
      <c r="J123" s="93" t="n">
        <v>10.8</v>
      </c>
      <c r="K123" s="93" t="n">
        <v>20</v>
      </c>
      <c r="L123" s="93" t="n">
        <v>0.21</v>
      </c>
      <c r="M123" s="93" t="n">
        <v>0.79</v>
      </c>
      <c r="N123" s="93" t="s">
        <v>254</v>
      </c>
    </row>
    <row r="124" customFormat="false" ht="14.25" hidden="false" customHeight="true" outlineLevel="0" collapsed="false">
      <c r="A124" s="93" t="n">
        <v>12994</v>
      </c>
      <c r="B124" s="95" t="n">
        <v>45993</v>
      </c>
      <c r="C124" s="96" t="n">
        <v>0.626099537037037</v>
      </c>
      <c r="D124" s="93" t="s">
        <v>385</v>
      </c>
      <c r="E124" s="93"/>
      <c r="F124" s="93" t="s">
        <v>253</v>
      </c>
      <c r="G124" s="93" t="n">
        <v>0.97124</v>
      </c>
      <c r="H124" s="93" t="n">
        <v>29.97</v>
      </c>
      <c r="I124" s="93" t="n">
        <v>7.049</v>
      </c>
      <c r="J124" s="93" t="n">
        <v>7.258</v>
      </c>
      <c r="K124" s="93" t="n">
        <v>30</v>
      </c>
      <c r="L124" s="93" t="n">
        <v>0.15</v>
      </c>
      <c r="M124" s="93" t="n">
        <v>0.43</v>
      </c>
      <c r="N124" s="93" t="s">
        <v>254</v>
      </c>
    </row>
    <row r="125" customFormat="false" ht="14.25" hidden="false" customHeight="true" outlineLevel="0" collapsed="false">
      <c r="A125" s="93" t="n">
        <v>12995</v>
      </c>
      <c r="B125" s="95" t="n">
        <v>45993</v>
      </c>
      <c r="C125" s="96" t="n">
        <v>0.632835648148148</v>
      </c>
      <c r="D125" s="93" t="s">
        <v>385</v>
      </c>
      <c r="E125" s="93"/>
      <c r="F125" s="93" t="s">
        <v>253</v>
      </c>
      <c r="G125" s="93" t="n">
        <v>0.96379</v>
      </c>
      <c r="H125" s="93" t="n">
        <v>39.97</v>
      </c>
      <c r="I125" s="93" t="n">
        <v>4.947</v>
      </c>
      <c r="J125" s="93" t="n">
        <v>5.133</v>
      </c>
      <c r="K125" s="93" t="n">
        <v>40</v>
      </c>
      <c r="L125" s="93" t="n">
        <v>0.16</v>
      </c>
      <c r="M125" s="93" t="n">
        <v>0.42</v>
      </c>
      <c r="N125" s="93" t="s">
        <v>254</v>
      </c>
    </row>
    <row r="126" customFormat="false" ht="14.25" hidden="false" customHeight="true" outlineLevel="0" collapsed="false">
      <c r="A126" s="93" t="n">
        <v>12996</v>
      </c>
      <c r="B126" s="95" t="n">
        <v>45993</v>
      </c>
      <c r="C126" s="96" t="n">
        <v>0.642858796296296</v>
      </c>
      <c r="D126" s="93" t="s">
        <v>385</v>
      </c>
      <c r="E126" s="93"/>
      <c r="F126" s="93" t="s">
        <v>253</v>
      </c>
      <c r="G126" s="93" t="n">
        <v>0.95624</v>
      </c>
      <c r="H126" s="93" t="n">
        <v>49.98</v>
      </c>
      <c r="I126" s="93" t="n">
        <v>3.618</v>
      </c>
      <c r="J126" s="93" t="n">
        <v>3.783</v>
      </c>
      <c r="K126" s="93" t="n">
        <v>50</v>
      </c>
      <c r="L126" s="93" t="n">
        <v>0.14</v>
      </c>
      <c r="M126" s="93" t="n">
        <v>1.04</v>
      </c>
      <c r="N126" s="93" t="s">
        <v>254</v>
      </c>
    </row>
    <row r="127" customFormat="false" ht="14.25" hidden="false" customHeight="true" outlineLevel="0" collapsed="false">
      <c r="A127" s="93" t="n">
        <v>12997</v>
      </c>
      <c r="B127" s="95" t="n">
        <v>45993</v>
      </c>
      <c r="C127" s="96" t="n">
        <v>0.653622685185185</v>
      </c>
      <c r="D127" s="93" t="s">
        <v>385</v>
      </c>
      <c r="E127" s="93"/>
      <c r="F127" s="93" t="s">
        <v>253</v>
      </c>
      <c r="G127" s="93" t="n">
        <v>0.94861</v>
      </c>
      <c r="H127" s="93" t="n">
        <v>59.98</v>
      </c>
      <c r="I127" s="93" t="n">
        <v>2.735</v>
      </c>
      <c r="J127" s="93" t="n">
        <v>2.883</v>
      </c>
      <c r="K127" s="93" t="n">
        <v>60</v>
      </c>
      <c r="L127" s="93" t="n">
        <v>0.04</v>
      </c>
      <c r="M127" s="93" t="n">
        <v>1.08</v>
      </c>
      <c r="N127" s="93" t="s">
        <v>254</v>
      </c>
    </row>
    <row r="128" customFormat="false" ht="14.25" hidden="false" customHeight="true" outlineLevel="0" collapsed="false">
      <c r="A128" s="93" t="n">
        <v>12998</v>
      </c>
      <c r="B128" s="95" t="n">
        <v>45993</v>
      </c>
      <c r="C128" s="96" t="n">
        <v>0.726736111111111</v>
      </c>
      <c r="D128" s="93" t="s">
        <v>386</v>
      </c>
      <c r="E128" s="93"/>
      <c r="F128" s="93" t="s">
        <v>253</v>
      </c>
      <c r="G128" s="93" t="s">
        <v>289</v>
      </c>
      <c r="H128" s="93" t="s">
        <v>289</v>
      </c>
      <c r="I128" s="93" t="s">
        <v>289</v>
      </c>
      <c r="J128" s="93" t="s">
        <v>289</v>
      </c>
      <c r="K128" s="93" t="s">
        <v>289</v>
      </c>
      <c r="L128" s="93" t="s">
        <v>289</v>
      </c>
      <c r="M128" s="93" t="s">
        <v>289</v>
      </c>
      <c r="N128" s="93" t="s">
        <v>254</v>
      </c>
    </row>
    <row r="129" customFormat="false" ht="14.25" hidden="false" customHeight="true" outlineLevel="0" collapsed="false">
      <c r="A129" s="93" t="n">
        <v>12999</v>
      </c>
      <c r="B129" s="95" t="n">
        <v>45993</v>
      </c>
      <c r="C129" s="96" t="n">
        <v>0.69162037037037</v>
      </c>
      <c r="D129" s="93" t="s">
        <v>386</v>
      </c>
      <c r="E129" s="93"/>
      <c r="F129" s="93" t="s">
        <v>253</v>
      </c>
      <c r="G129" s="93" t="n">
        <v>0.9989</v>
      </c>
      <c r="H129" s="93" t="n">
        <v>20.12</v>
      </c>
      <c r="I129" s="93" t="n">
        <v>12.09</v>
      </c>
      <c r="J129" s="93" t="n">
        <v>12.1</v>
      </c>
      <c r="K129" s="93" t="n">
        <v>20</v>
      </c>
      <c r="L129" s="93" t="n">
        <v>0.22</v>
      </c>
      <c r="M129" s="93" t="n">
        <v>0.37</v>
      </c>
      <c r="N129" s="93" t="s">
        <v>254</v>
      </c>
    </row>
    <row r="130" customFormat="false" ht="14.25" hidden="false" customHeight="true" outlineLevel="0" collapsed="false">
      <c r="A130" s="93" t="n">
        <v>13000</v>
      </c>
      <c r="B130" s="95" t="n">
        <v>45993</v>
      </c>
      <c r="C130" s="96" t="n">
        <v>0.701122685185185</v>
      </c>
      <c r="D130" s="93" t="s">
        <v>386</v>
      </c>
      <c r="E130" s="93"/>
      <c r="F130" s="93" t="s">
        <v>253</v>
      </c>
      <c r="G130" s="93" t="n">
        <v>0.99151</v>
      </c>
      <c r="H130" s="93" t="n">
        <v>29.97</v>
      </c>
      <c r="I130" s="93" t="n">
        <v>7.875</v>
      </c>
      <c r="J130" s="93" t="n">
        <v>7.943</v>
      </c>
      <c r="K130" s="93" t="n">
        <v>30</v>
      </c>
      <c r="L130" s="93" t="n">
        <v>0.19</v>
      </c>
      <c r="M130" s="93" t="n">
        <v>0.37</v>
      </c>
      <c r="N130" s="93" t="s">
        <v>254</v>
      </c>
    </row>
    <row r="131" customFormat="false" ht="14.25" hidden="false" customHeight="true" outlineLevel="0" collapsed="false">
      <c r="A131" s="93" t="n">
        <v>13001</v>
      </c>
      <c r="B131" s="95" t="n">
        <v>45993</v>
      </c>
      <c r="C131" s="96" t="n">
        <v>0.708263888888889</v>
      </c>
      <c r="D131" s="93" t="s">
        <v>386</v>
      </c>
      <c r="E131" s="93"/>
      <c r="F131" s="93" t="s">
        <v>253</v>
      </c>
      <c r="G131" s="93" t="n">
        <v>0.98404</v>
      </c>
      <c r="H131" s="93" t="n">
        <v>39.97</v>
      </c>
      <c r="I131" s="93" t="n">
        <v>5.449</v>
      </c>
      <c r="J131" s="93" t="n">
        <v>5.537</v>
      </c>
      <c r="K131" s="93" t="n">
        <v>40</v>
      </c>
      <c r="L131" s="93" t="n">
        <v>0.02</v>
      </c>
      <c r="M131" s="93" t="n">
        <v>0.7</v>
      </c>
      <c r="N131" s="93" t="s">
        <v>254</v>
      </c>
    </row>
    <row r="132" customFormat="false" ht="14.25" hidden="false" customHeight="true" outlineLevel="0" collapsed="false">
      <c r="A132" s="93" t="n">
        <v>13002</v>
      </c>
      <c r="B132" s="95" t="n">
        <v>45993</v>
      </c>
      <c r="C132" s="96" t="n">
        <v>0.716180555555556</v>
      </c>
      <c r="D132" s="93" t="s">
        <v>386</v>
      </c>
      <c r="E132" s="93"/>
      <c r="F132" s="93" t="s">
        <v>253</v>
      </c>
      <c r="G132" s="93" t="n">
        <v>0.97647</v>
      </c>
      <c r="H132" s="93" t="n">
        <v>49.97</v>
      </c>
      <c r="I132" s="93" t="n">
        <v>3.944</v>
      </c>
      <c r="J132" s="93" t="n">
        <v>4.039</v>
      </c>
      <c r="K132" s="93" t="n">
        <v>50</v>
      </c>
      <c r="L132" s="93" t="n">
        <v>0.04</v>
      </c>
      <c r="M132" s="93" t="n">
        <v>0.96</v>
      </c>
      <c r="N132" s="93" t="s">
        <v>254</v>
      </c>
    </row>
    <row r="133" customFormat="false" ht="14.25" hidden="false" customHeight="true" outlineLevel="0" collapsed="false">
      <c r="A133" s="93" t="n">
        <v>13003</v>
      </c>
      <c r="B133" s="95" t="n">
        <v>45993</v>
      </c>
      <c r="C133" s="96" t="n">
        <v>0.726666666666667</v>
      </c>
      <c r="D133" s="93" t="s">
        <v>386</v>
      </c>
      <c r="E133" s="93"/>
      <c r="F133" s="93" t="s">
        <v>253</v>
      </c>
      <c r="G133" s="93" t="n">
        <v>0.96881</v>
      </c>
      <c r="H133" s="93" t="n">
        <v>59.98</v>
      </c>
      <c r="I133" s="93" t="n">
        <v>2.964</v>
      </c>
      <c r="J133" s="93" t="n">
        <v>3.06</v>
      </c>
      <c r="K133" s="93" t="n">
        <v>60</v>
      </c>
      <c r="L133" s="93" t="n">
        <v>0.08</v>
      </c>
      <c r="M133" s="93" t="n">
        <v>0.77</v>
      </c>
      <c r="N133" s="93" t="s">
        <v>254</v>
      </c>
    </row>
    <row r="134" customFormat="false" ht="14.25" hidden="false" customHeight="true" outlineLevel="0" collapsed="false">
      <c r="A134" s="93" t="n">
        <v>13004</v>
      </c>
      <c r="B134" s="95" t="n">
        <v>45993</v>
      </c>
      <c r="C134" s="96" t="n">
        <v>0.789050925925926</v>
      </c>
      <c r="D134" s="93" t="s">
        <v>386</v>
      </c>
      <c r="E134" s="93"/>
      <c r="F134" s="93" t="s">
        <v>253</v>
      </c>
      <c r="G134" s="93" t="s">
        <v>289</v>
      </c>
      <c r="H134" s="93" t="s">
        <v>289</v>
      </c>
      <c r="I134" s="93" t="s">
        <v>289</v>
      </c>
      <c r="J134" s="93" t="s">
        <v>289</v>
      </c>
      <c r="K134" s="93" t="s">
        <v>289</v>
      </c>
      <c r="L134" s="93" t="s">
        <v>289</v>
      </c>
      <c r="M134" s="93" t="s">
        <v>289</v>
      </c>
      <c r="N134" s="93" t="s">
        <v>254</v>
      </c>
    </row>
    <row r="135" customFormat="false" ht="14.25" hidden="false" customHeight="true" outlineLevel="0" collapsed="false">
      <c r="A135" s="93" t="n">
        <v>13005</v>
      </c>
      <c r="B135" s="95" t="n">
        <v>45993</v>
      </c>
      <c r="C135" s="96" t="n">
        <v>0.76130787037037</v>
      </c>
      <c r="D135" s="93" t="s">
        <v>386</v>
      </c>
      <c r="E135" s="93"/>
      <c r="F135" s="93" t="s">
        <v>253</v>
      </c>
      <c r="G135" s="93" t="n">
        <v>0.83263</v>
      </c>
      <c r="H135" s="93" t="n">
        <v>20.06</v>
      </c>
      <c r="I135" s="93" t="n">
        <v>4.231</v>
      </c>
      <c r="J135" s="93" t="n">
        <v>5.081</v>
      </c>
      <c r="K135" s="93" t="n">
        <v>20</v>
      </c>
      <c r="L135" s="93" t="n">
        <v>0.03</v>
      </c>
      <c r="M135" s="93" t="n">
        <v>0.47</v>
      </c>
      <c r="N135" s="93" t="s">
        <v>254</v>
      </c>
    </row>
    <row r="136" customFormat="false" ht="14.25" hidden="false" customHeight="true" outlineLevel="0" collapsed="false">
      <c r="A136" s="93" t="n">
        <v>13006</v>
      </c>
      <c r="B136" s="95" t="n">
        <v>45993</v>
      </c>
      <c r="C136" s="96" t="n">
        <v>0.766388888888889</v>
      </c>
      <c r="D136" s="93" t="s">
        <v>386</v>
      </c>
      <c r="E136" s="93"/>
      <c r="F136" s="93" t="s">
        <v>253</v>
      </c>
      <c r="G136" s="93" t="n">
        <v>0.82348</v>
      </c>
      <c r="H136" s="93" t="n">
        <v>29.98</v>
      </c>
      <c r="I136" s="93" t="n">
        <v>2.841</v>
      </c>
      <c r="J136" s="93" t="n">
        <v>3.45</v>
      </c>
      <c r="K136" s="93" t="n">
        <v>30</v>
      </c>
      <c r="L136" s="93" t="n">
        <v>0.04</v>
      </c>
      <c r="M136" s="93" t="n">
        <v>0.73</v>
      </c>
      <c r="N136" s="93" t="s">
        <v>254</v>
      </c>
    </row>
    <row r="137" customFormat="false" ht="14.25" hidden="false" customHeight="true" outlineLevel="0" collapsed="false">
      <c r="A137" s="93" t="n">
        <v>13007</v>
      </c>
      <c r="B137" s="95" t="n">
        <v>45993</v>
      </c>
      <c r="C137" s="96" t="n">
        <v>0.771527777777778</v>
      </c>
      <c r="D137" s="93" t="s">
        <v>386</v>
      </c>
      <c r="E137" s="93"/>
      <c r="F137" s="93" t="s">
        <v>253</v>
      </c>
      <c r="G137" s="93" t="n">
        <v>0.81423</v>
      </c>
      <c r="H137" s="93" t="n">
        <v>39.97</v>
      </c>
      <c r="I137" s="93" t="n">
        <v>2.01</v>
      </c>
      <c r="J137" s="93" t="n">
        <v>2.468</v>
      </c>
      <c r="K137" s="93" t="n">
        <v>40</v>
      </c>
      <c r="L137" s="93" t="n">
        <v>0.03</v>
      </c>
      <c r="M137" s="93" t="n">
        <v>0.67</v>
      </c>
      <c r="N137" s="93" t="s">
        <v>254</v>
      </c>
    </row>
    <row r="138" customFormat="false" ht="14.25" hidden="false" customHeight="true" outlineLevel="0" collapsed="false">
      <c r="A138" s="93" t="n">
        <v>13008</v>
      </c>
      <c r="B138" s="95" t="n">
        <v>45993</v>
      </c>
      <c r="C138" s="96" t="n">
        <v>0.778541666666667</v>
      </c>
      <c r="D138" s="93" t="s">
        <v>386</v>
      </c>
      <c r="E138" s="93"/>
      <c r="F138" s="93" t="s">
        <v>253</v>
      </c>
      <c r="G138" s="93" t="n">
        <v>0.80474</v>
      </c>
      <c r="H138" s="93" t="n">
        <v>49.97</v>
      </c>
      <c r="I138" s="93" t="n">
        <v>1.484</v>
      </c>
      <c r="J138" s="93" t="n">
        <v>1.844</v>
      </c>
      <c r="K138" s="93" t="n">
        <v>50</v>
      </c>
      <c r="L138" s="93" t="n">
        <v>0.03</v>
      </c>
      <c r="M138" s="93" t="n">
        <v>1.12</v>
      </c>
      <c r="N138" s="93" t="s">
        <v>254</v>
      </c>
    </row>
    <row r="139" customFormat="false" ht="14.25" hidden="false" customHeight="true" outlineLevel="0" collapsed="false">
      <c r="A139" s="93" t="n">
        <v>13009</v>
      </c>
      <c r="B139" s="95" t="n">
        <v>45993</v>
      </c>
      <c r="C139" s="96" t="n">
        <v>0.788993055555556</v>
      </c>
      <c r="D139" s="93" t="s">
        <v>386</v>
      </c>
      <c r="E139" s="93"/>
      <c r="F139" s="93" t="s">
        <v>253</v>
      </c>
      <c r="G139" s="93" t="n">
        <v>0.79494</v>
      </c>
      <c r="H139" s="93" t="n">
        <v>59.98</v>
      </c>
      <c r="I139" s="93" t="n">
        <v>1.136</v>
      </c>
      <c r="J139" s="93" t="n">
        <v>1.429</v>
      </c>
      <c r="K139" s="93" t="n">
        <v>60</v>
      </c>
      <c r="L139" s="93" t="n">
        <v>0.01</v>
      </c>
      <c r="M139" s="93" t="n">
        <v>1.06</v>
      </c>
      <c r="N139" s="93" t="s">
        <v>254</v>
      </c>
    </row>
    <row r="140" customFormat="false" ht="14.25" hidden="false" customHeight="true" outlineLevel="0" collapsed="false">
      <c r="A140" s="93" t="n">
        <v>13010</v>
      </c>
      <c r="B140" s="95" t="n">
        <v>45993</v>
      </c>
      <c r="C140" s="96" t="n">
        <v>0.838090277777778</v>
      </c>
      <c r="D140" s="93" t="s">
        <v>387</v>
      </c>
      <c r="E140" s="93"/>
      <c r="F140" s="93" t="s">
        <v>253</v>
      </c>
      <c r="G140" s="93" t="s">
        <v>289</v>
      </c>
      <c r="H140" s="93" t="s">
        <v>289</v>
      </c>
      <c r="I140" s="93" t="s">
        <v>289</v>
      </c>
      <c r="J140" s="93" t="s">
        <v>289</v>
      </c>
      <c r="K140" s="93" t="s">
        <v>289</v>
      </c>
      <c r="L140" s="93" t="s">
        <v>289</v>
      </c>
      <c r="M140" s="93" t="s">
        <v>289</v>
      </c>
      <c r="N140" s="93" t="s">
        <v>254</v>
      </c>
    </row>
    <row r="141" customFormat="false" ht="14.25" hidden="false" customHeight="true" outlineLevel="0" collapsed="false">
      <c r="A141" s="93" t="n">
        <v>13011</v>
      </c>
      <c r="B141" s="95" t="n">
        <v>45993</v>
      </c>
      <c r="C141" s="96" t="n">
        <v>0.81193287037037</v>
      </c>
      <c r="D141" s="93" t="s">
        <v>387</v>
      </c>
      <c r="E141" s="93"/>
      <c r="F141" s="93" t="s">
        <v>253</v>
      </c>
      <c r="G141" s="93" t="n">
        <v>0.85134</v>
      </c>
      <c r="H141" s="93" t="n">
        <v>20.02</v>
      </c>
      <c r="I141" s="93" t="n">
        <v>4.193</v>
      </c>
      <c r="J141" s="93" t="n">
        <v>4.925</v>
      </c>
      <c r="K141" s="93" t="n">
        <v>20</v>
      </c>
      <c r="L141" s="93" t="n">
        <v>0.03</v>
      </c>
      <c r="M141" s="93" t="n">
        <v>0.49</v>
      </c>
      <c r="N141" s="93" t="s">
        <v>254</v>
      </c>
    </row>
    <row r="142" customFormat="false" ht="14.25" hidden="false" customHeight="true" outlineLevel="0" collapsed="false">
      <c r="A142" s="93" t="n">
        <v>13012</v>
      </c>
      <c r="B142" s="95" t="n">
        <v>45993</v>
      </c>
      <c r="C142" s="96" t="n">
        <v>0.817071759259259</v>
      </c>
      <c r="D142" s="93" t="s">
        <v>387</v>
      </c>
      <c r="E142" s="93"/>
      <c r="F142" s="93" t="s">
        <v>253</v>
      </c>
      <c r="G142" s="93" t="n">
        <v>0.84264</v>
      </c>
      <c r="H142" s="93" t="n">
        <v>29.98</v>
      </c>
      <c r="I142" s="93" t="n">
        <v>2.9</v>
      </c>
      <c r="J142" s="93" t="n">
        <v>3.442</v>
      </c>
      <c r="K142" s="93" t="n">
        <v>30</v>
      </c>
      <c r="L142" s="93" t="n">
        <v>0.02</v>
      </c>
      <c r="M142" s="93" t="n">
        <v>0.6</v>
      </c>
      <c r="N142" s="93" t="s">
        <v>254</v>
      </c>
    </row>
    <row r="143" customFormat="false" ht="14.25" hidden="false" customHeight="true" outlineLevel="0" collapsed="false">
      <c r="A143" s="93" t="n">
        <v>13013</v>
      </c>
      <c r="B143" s="95" t="n">
        <v>45993</v>
      </c>
      <c r="C143" s="96" t="n">
        <v>0.821840277777778</v>
      </c>
      <c r="D143" s="93" t="s">
        <v>387</v>
      </c>
      <c r="E143" s="93"/>
      <c r="F143" s="93" t="s">
        <v>253</v>
      </c>
      <c r="G143" s="93" t="n">
        <v>0.83371</v>
      </c>
      <c r="H143" s="93" t="n">
        <v>39.98</v>
      </c>
      <c r="I143" s="93" t="n">
        <v>2.102</v>
      </c>
      <c r="J143" s="93" t="n">
        <v>2.522</v>
      </c>
      <c r="K143" s="93" t="n">
        <v>40</v>
      </c>
      <c r="L143" s="93" t="n">
        <v>0.04</v>
      </c>
      <c r="M143" s="93" t="n">
        <v>0.71</v>
      </c>
      <c r="N143" s="93" t="s">
        <v>254</v>
      </c>
    </row>
    <row r="144" customFormat="false" ht="14.25" hidden="false" customHeight="true" outlineLevel="0" collapsed="false">
      <c r="A144" s="93" t="n">
        <v>13014</v>
      </c>
      <c r="B144" s="95" t="n">
        <v>45993</v>
      </c>
      <c r="C144" s="96" t="n">
        <v>0.82775462962963</v>
      </c>
      <c r="D144" s="93" t="s">
        <v>387</v>
      </c>
      <c r="E144" s="93"/>
      <c r="F144" s="93" t="s">
        <v>253</v>
      </c>
      <c r="G144" s="93" t="n">
        <v>0.82455</v>
      </c>
      <c r="H144" s="93" t="n">
        <v>49.97</v>
      </c>
      <c r="I144" s="93" t="n">
        <v>1.584</v>
      </c>
      <c r="J144" s="93" t="n">
        <v>1.921</v>
      </c>
      <c r="K144" s="93" t="n">
        <v>50</v>
      </c>
      <c r="L144" s="93" t="n">
        <v>0.02</v>
      </c>
      <c r="M144" s="93" t="n">
        <v>0.75</v>
      </c>
      <c r="N144" s="93" t="s">
        <v>254</v>
      </c>
    </row>
    <row r="145" customFormat="false" ht="14.25" hidden="false" customHeight="true" outlineLevel="0" collapsed="false">
      <c r="A145" s="93" t="n">
        <v>13015</v>
      </c>
      <c r="B145" s="95" t="n">
        <v>45993</v>
      </c>
      <c r="C145" s="96" t="n">
        <v>0.838032407407407</v>
      </c>
      <c r="D145" s="93" t="s">
        <v>387</v>
      </c>
      <c r="E145" s="93"/>
      <c r="F145" s="93" t="s">
        <v>253</v>
      </c>
      <c r="G145" s="93" t="n">
        <v>0.81516</v>
      </c>
      <c r="H145" s="93" t="n">
        <v>59.98</v>
      </c>
      <c r="I145" s="93" t="n">
        <v>1.233</v>
      </c>
      <c r="J145" s="93" t="n">
        <v>1.512</v>
      </c>
      <c r="K145" s="93" t="n">
        <v>60</v>
      </c>
      <c r="L145" s="93" t="n">
        <v>0.01</v>
      </c>
      <c r="M145" s="93" t="n">
        <v>1.01</v>
      </c>
      <c r="N145" s="93" t="s">
        <v>254</v>
      </c>
    </row>
    <row r="146" customFormat="false" ht="14.25" hidden="false" customHeight="true" outlineLevel="0" collapsed="false">
      <c r="A146" s="93" t="n">
        <v>13016</v>
      </c>
      <c r="B146" s="95" t="n">
        <v>45993</v>
      </c>
      <c r="C146" s="96" t="n">
        <v>0.881365740740741</v>
      </c>
      <c r="D146" s="93" t="s">
        <v>388</v>
      </c>
      <c r="E146" s="93"/>
      <c r="F146" s="93" t="s">
        <v>253</v>
      </c>
      <c r="G146" s="93" t="s">
        <v>289</v>
      </c>
      <c r="H146" s="93" t="s">
        <v>289</v>
      </c>
      <c r="I146" s="93" t="s">
        <v>289</v>
      </c>
      <c r="J146" s="93" t="s">
        <v>289</v>
      </c>
      <c r="K146" s="93" t="s">
        <v>289</v>
      </c>
      <c r="L146" s="93" t="s">
        <v>289</v>
      </c>
      <c r="M146" s="93" t="s">
        <v>289</v>
      </c>
      <c r="N146" s="93" t="s">
        <v>254</v>
      </c>
    </row>
    <row r="147" customFormat="false" ht="14.25" hidden="false" customHeight="true" outlineLevel="0" collapsed="false">
      <c r="A147" s="93" t="n">
        <v>13017</v>
      </c>
      <c r="B147" s="95" t="n">
        <v>45993</v>
      </c>
      <c r="C147" s="96" t="n">
        <v>0.855694444444444</v>
      </c>
      <c r="D147" s="93" t="s">
        <v>388</v>
      </c>
      <c r="E147" s="93"/>
      <c r="F147" s="93" t="s">
        <v>253</v>
      </c>
      <c r="G147" s="93" t="n">
        <v>0.86842</v>
      </c>
      <c r="H147" s="93" t="n">
        <v>20.03</v>
      </c>
      <c r="I147" s="93" t="n">
        <v>4.235</v>
      </c>
      <c r="J147" s="93" t="n">
        <v>4.876</v>
      </c>
      <c r="K147" s="93" t="n">
        <v>20</v>
      </c>
      <c r="L147" s="93" t="n">
        <v>0.02</v>
      </c>
      <c r="M147" s="93" t="n">
        <v>0.42</v>
      </c>
      <c r="N147" s="93" t="s">
        <v>254</v>
      </c>
    </row>
    <row r="148" customFormat="false" ht="14.25" hidden="false" customHeight="true" outlineLevel="0" collapsed="false">
      <c r="A148" s="93" t="n">
        <v>13018</v>
      </c>
      <c r="B148" s="95" t="n">
        <v>45993</v>
      </c>
      <c r="C148" s="96" t="n">
        <v>0.860891203703704</v>
      </c>
      <c r="D148" s="93" t="s">
        <v>388</v>
      </c>
      <c r="E148" s="93"/>
      <c r="F148" s="93" t="s">
        <v>253</v>
      </c>
      <c r="G148" s="93" t="n">
        <v>0.85995</v>
      </c>
      <c r="H148" s="93" t="n">
        <v>29.98</v>
      </c>
      <c r="I148" s="93" t="n">
        <v>2.997</v>
      </c>
      <c r="J148" s="93" t="n">
        <v>3.485</v>
      </c>
      <c r="K148" s="93" t="n">
        <v>30</v>
      </c>
      <c r="L148" s="93" t="n">
        <v>0.07</v>
      </c>
      <c r="M148" s="93" t="n">
        <v>0.65</v>
      </c>
      <c r="N148" s="93" t="s">
        <v>254</v>
      </c>
    </row>
    <row r="149" customFormat="false" ht="14.25" hidden="false" customHeight="true" outlineLevel="0" collapsed="false">
      <c r="A149" s="93" t="n">
        <v>13019</v>
      </c>
      <c r="B149" s="95" t="n">
        <v>45993</v>
      </c>
      <c r="C149" s="96" t="n">
        <v>0.865532407407407</v>
      </c>
      <c r="D149" s="93" t="s">
        <v>388</v>
      </c>
      <c r="E149" s="93"/>
      <c r="F149" s="93" t="s">
        <v>253</v>
      </c>
      <c r="G149" s="93" t="n">
        <v>0.85126</v>
      </c>
      <c r="H149" s="93" t="n">
        <v>39.98</v>
      </c>
      <c r="I149" s="93" t="n">
        <v>2.213</v>
      </c>
      <c r="J149" s="93" t="n">
        <v>2.6</v>
      </c>
      <c r="K149" s="93" t="n">
        <v>40</v>
      </c>
      <c r="L149" s="93" t="n">
        <v>0.07</v>
      </c>
      <c r="M149" s="93" t="n">
        <v>0.61</v>
      </c>
      <c r="N149" s="93" t="s">
        <v>254</v>
      </c>
    </row>
    <row r="150" customFormat="false" ht="14.25" hidden="false" customHeight="true" outlineLevel="0" collapsed="false">
      <c r="A150" s="93" t="n">
        <v>13020</v>
      </c>
      <c r="B150" s="95" t="n">
        <v>45993</v>
      </c>
      <c r="C150" s="96" t="n">
        <v>0.871180555555556</v>
      </c>
      <c r="D150" s="93" t="s">
        <v>388</v>
      </c>
      <c r="E150" s="93"/>
      <c r="F150" s="93" t="s">
        <v>253</v>
      </c>
      <c r="G150" s="93" t="n">
        <v>0.84241</v>
      </c>
      <c r="H150" s="93" t="n">
        <v>49.97</v>
      </c>
      <c r="I150" s="93" t="n">
        <v>1.695</v>
      </c>
      <c r="J150" s="93" t="n">
        <v>2.012</v>
      </c>
      <c r="K150" s="93" t="n">
        <v>50</v>
      </c>
      <c r="L150" s="93" t="n">
        <v>0.04</v>
      </c>
      <c r="M150" s="93" t="n">
        <v>0.76</v>
      </c>
      <c r="N150" s="93" t="s">
        <v>254</v>
      </c>
    </row>
    <row r="151" customFormat="false" ht="14.25" hidden="false" customHeight="true" outlineLevel="0" collapsed="false">
      <c r="A151" s="93" t="n">
        <v>13021</v>
      </c>
      <c r="B151" s="95" t="n">
        <v>45993</v>
      </c>
      <c r="C151" s="96" t="n">
        <v>0.881296296296296</v>
      </c>
      <c r="D151" s="93" t="s">
        <v>388</v>
      </c>
      <c r="E151" s="93"/>
      <c r="F151" s="93" t="s">
        <v>253</v>
      </c>
      <c r="G151" s="93" t="n">
        <v>0.83338</v>
      </c>
      <c r="H151" s="93" t="n">
        <v>59.98</v>
      </c>
      <c r="I151" s="93" t="n">
        <v>1.338</v>
      </c>
      <c r="J151" s="93" t="n">
        <v>1.605</v>
      </c>
      <c r="K151" s="93" t="n">
        <v>60</v>
      </c>
      <c r="L151" s="93" t="n">
        <v>0</v>
      </c>
      <c r="M151" s="93" t="n">
        <v>0.99</v>
      </c>
      <c r="N151" s="93" t="s">
        <v>254</v>
      </c>
    </row>
    <row r="152" customFormat="false" ht="14.25" hidden="false" customHeight="true" outlineLevel="0" collapsed="false">
      <c r="A152" s="93" t="n">
        <v>13022</v>
      </c>
      <c r="B152" s="95" t="n">
        <v>45995</v>
      </c>
      <c r="C152" s="96" t="n">
        <v>0.460787037037037</v>
      </c>
      <c r="D152" s="93" t="s">
        <v>389</v>
      </c>
      <c r="E152" s="93"/>
      <c r="F152" s="93" t="s">
        <v>253</v>
      </c>
      <c r="G152" s="93" t="s">
        <v>289</v>
      </c>
      <c r="H152" s="93" t="s">
        <v>289</v>
      </c>
      <c r="I152" s="93" t="s">
        <v>289</v>
      </c>
      <c r="J152" s="93" t="s">
        <v>289</v>
      </c>
      <c r="K152" s="93" t="s">
        <v>289</v>
      </c>
      <c r="L152" s="93" t="s">
        <v>289</v>
      </c>
      <c r="M152" s="93" t="s">
        <v>289</v>
      </c>
      <c r="N152" s="93" t="s">
        <v>254</v>
      </c>
    </row>
    <row r="153" customFormat="false" ht="14.25" hidden="false" customHeight="true" outlineLevel="0" collapsed="false">
      <c r="A153" s="93" t="n">
        <v>13023</v>
      </c>
      <c r="B153" s="95" t="n">
        <v>45995</v>
      </c>
      <c r="C153" s="96" t="n">
        <v>0.422048611111111</v>
      </c>
      <c r="D153" s="93" t="s">
        <v>389</v>
      </c>
      <c r="E153" s="93"/>
      <c r="F153" s="93" t="s">
        <v>253</v>
      </c>
      <c r="G153" s="93" t="n">
        <v>0.88457</v>
      </c>
      <c r="H153" s="93" t="n">
        <v>20.05</v>
      </c>
      <c r="I153" s="93" t="n">
        <v>4.362</v>
      </c>
      <c r="J153" s="93" t="n">
        <v>4.931</v>
      </c>
      <c r="K153" s="93" t="n">
        <v>20</v>
      </c>
      <c r="L153" s="93" t="n">
        <v>0</v>
      </c>
      <c r="M153" s="93" t="n">
        <v>0.5</v>
      </c>
      <c r="N153" s="93" t="s">
        <v>254</v>
      </c>
    </row>
    <row r="154" customFormat="false" ht="14.25" hidden="false" customHeight="true" outlineLevel="0" collapsed="false">
      <c r="A154" s="93" t="n">
        <v>13024</v>
      </c>
      <c r="B154" s="95" t="n">
        <v>45995</v>
      </c>
      <c r="C154" s="96" t="n">
        <v>0.431064814814815</v>
      </c>
      <c r="D154" s="93" t="s">
        <v>389</v>
      </c>
      <c r="E154" s="93"/>
      <c r="F154" s="93" t="s">
        <v>253</v>
      </c>
      <c r="G154" s="93" t="n">
        <v>0.87598</v>
      </c>
      <c r="H154" s="93" t="n">
        <v>29.97</v>
      </c>
      <c r="I154" s="93" t="n">
        <v>3.139</v>
      </c>
      <c r="J154" s="93" t="n">
        <v>3.583</v>
      </c>
      <c r="K154" s="93" t="n">
        <v>30</v>
      </c>
      <c r="L154" s="93" t="n">
        <v>0.06</v>
      </c>
      <c r="M154" s="93" t="n">
        <v>0.5</v>
      </c>
      <c r="N154" s="93" t="s">
        <v>254</v>
      </c>
    </row>
    <row r="155" customFormat="false" ht="14.25" hidden="false" customHeight="true" outlineLevel="0" collapsed="false">
      <c r="A155" s="93" t="n">
        <v>13025</v>
      </c>
      <c r="B155" s="95" t="n">
        <v>45995</v>
      </c>
      <c r="C155" s="96" t="n">
        <v>0.439606481481482</v>
      </c>
      <c r="D155" s="93" t="s">
        <v>389</v>
      </c>
      <c r="E155" s="93"/>
      <c r="F155" s="93" t="s">
        <v>253</v>
      </c>
      <c r="G155" s="93" t="n">
        <v>0.86751</v>
      </c>
      <c r="H155" s="93" t="n">
        <v>39.97</v>
      </c>
      <c r="I155" s="93" t="n">
        <v>2.352</v>
      </c>
      <c r="J155" s="93" t="n">
        <v>2.711</v>
      </c>
      <c r="K155" s="93" t="n">
        <v>40</v>
      </c>
      <c r="L155" s="93" t="n">
        <v>0.05</v>
      </c>
      <c r="M155" s="93" t="n">
        <v>0.91</v>
      </c>
      <c r="N155" s="93" t="s">
        <v>254</v>
      </c>
    </row>
    <row r="156" customFormat="false" ht="14.25" hidden="false" customHeight="true" outlineLevel="0" collapsed="false">
      <c r="A156" s="93" t="n">
        <v>13026</v>
      </c>
      <c r="B156" s="95" t="n">
        <v>45995</v>
      </c>
      <c r="C156" s="96" t="n">
        <v>0.449699074074074</v>
      </c>
      <c r="D156" s="93" t="s">
        <v>389</v>
      </c>
      <c r="E156" s="93"/>
      <c r="F156" s="93" t="s">
        <v>253</v>
      </c>
      <c r="G156" s="93" t="n">
        <v>0.85892</v>
      </c>
      <c r="H156" s="93" t="n">
        <v>49.98</v>
      </c>
      <c r="I156" s="93" t="n">
        <v>1.823</v>
      </c>
      <c r="J156" s="93" t="n">
        <v>2.123</v>
      </c>
      <c r="K156" s="93" t="n">
        <v>50</v>
      </c>
      <c r="L156" s="93" t="n">
        <v>0.01</v>
      </c>
      <c r="M156" s="93" t="n">
        <v>1.07</v>
      </c>
      <c r="N156" s="93" t="s">
        <v>254</v>
      </c>
    </row>
    <row r="157" customFormat="false" ht="14.25" hidden="false" customHeight="true" outlineLevel="0" collapsed="false">
      <c r="A157" s="93" t="n">
        <v>13027</v>
      </c>
      <c r="B157" s="95" t="n">
        <v>45995</v>
      </c>
      <c r="C157" s="96" t="n">
        <v>0.460717592592593</v>
      </c>
      <c r="D157" s="93" t="s">
        <v>389</v>
      </c>
      <c r="E157" s="93"/>
      <c r="F157" s="93" t="s">
        <v>253</v>
      </c>
      <c r="G157" s="93" t="n">
        <v>0.85023</v>
      </c>
      <c r="H157" s="93" t="n">
        <v>59.98</v>
      </c>
      <c r="I157" s="93" t="n">
        <v>1.455</v>
      </c>
      <c r="J157" s="93" t="n">
        <v>1.711</v>
      </c>
      <c r="K157" s="93" t="n">
        <v>60</v>
      </c>
      <c r="L157" s="93" t="n">
        <v>0.02</v>
      </c>
      <c r="M157" s="93" t="n">
        <v>0.96</v>
      </c>
      <c r="N157" s="93" t="s">
        <v>254</v>
      </c>
    </row>
    <row r="158" customFormat="false" ht="14.25" hidden="false" customHeight="true" outlineLevel="0" collapsed="false">
      <c r="A158" s="93" t="n">
        <v>13028</v>
      </c>
      <c r="B158" s="95" t="n">
        <v>45995</v>
      </c>
      <c r="C158" s="96" t="n">
        <v>0.552581018518519</v>
      </c>
      <c r="D158" s="93" t="s">
        <v>390</v>
      </c>
      <c r="E158" s="93"/>
      <c r="F158" s="93" t="s">
        <v>253</v>
      </c>
      <c r="G158" s="93" t="s">
        <v>289</v>
      </c>
      <c r="H158" s="93" t="s">
        <v>289</v>
      </c>
      <c r="I158" s="93" t="s">
        <v>289</v>
      </c>
      <c r="J158" s="93" t="s">
        <v>289</v>
      </c>
      <c r="K158" s="93" t="s">
        <v>289</v>
      </c>
      <c r="L158" s="93" t="s">
        <v>289</v>
      </c>
      <c r="M158" s="93" t="s">
        <v>289</v>
      </c>
      <c r="N158" s="93" t="s">
        <v>254</v>
      </c>
    </row>
    <row r="159" customFormat="false" ht="14.25" hidden="false" customHeight="true" outlineLevel="0" collapsed="false">
      <c r="A159" s="93" t="n">
        <v>13029</v>
      </c>
      <c r="B159" s="95" t="n">
        <v>45995</v>
      </c>
      <c r="C159" s="96" t="n">
        <v>0.520266203703704</v>
      </c>
      <c r="D159" s="93" t="s">
        <v>390</v>
      </c>
      <c r="E159" s="93"/>
      <c r="F159" s="93" t="s">
        <v>253</v>
      </c>
      <c r="G159" s="93" t="n">
        <v>0.89732</v>
      </c>
      <c r="H159" s="93" t="n">
        <v>20.04</v>
      </c>
      <c r="I159" s="93" t="n">
        <v>4.534</v>
      </c>
      <c r="J159" s="93" t="n">
        <v>5.053</v>
      </c>
      <c r="K159" s="93" t="n">
        <v>20</v>
      </c>
      <c r="L159" s="93" t="n">
        <v>0.04</v>
      </c>
      <c r="M159" s="93" t="n">
        <v>0.08</v>
      </c>
      <c r="N159" s="93" t="s">
        <v>254</v>
      </c>
    </row>
    <row r="160" customFormat="false" ht="14.25" hidden="false" customHeight="true" outlineLevel="0" collapsed="false">
      <c r="A160" s="93" t="n">
        <v>13030</v>
      </c>
      <c r="B160" s="95" t="n">
        <v>45995</v>
      </c>
      <c r="C160" s="96" t="n">
        <v>0.525752314814815</v>
      </c>
      <c r="D160" s="93" t="s">
        <v>390</v>
      </c>
      <c r="E160" s="93"/>
      <c r="F160" s="93" t="s">
        <v>253</v>
      </c>
      <c r="G160" s="93" t="n">
        <v>0.8891</v>
      </c>
      <c r="H160" s="93" t="n">
        <v>29.97</v>
      </c>
      <c r="I160" s="93" t="n">
        <v>3.296</v>
      </c>
      <c r="J160" s="93" t="n">
        <v>3.707</v>
      </c>
      <c r="K160" s="93" t="n">
        <v>30</v>
      </c>
      <c r="L160" s="93" t="n">
        <v>0.04</v>
      </c>
      <c r="M160" s="93" t="n">
        <v>0.75</v>
      </c>
      <c r="N160" s="93" t="s">
        <v>254</v>
      </c>
    </row>
    <row r="161" customFormat="false" ht="14.25" hidden="false" customHeight="true" outlineLevel="0" collapsed="false">
      <c r="A161" s="93" t="n">
        <v>13031</v>
      </c>
      <c r="B161" s="95" t="n">
        <v>45995</v>
      </c>
      <c r="C161" s="96" t="n">
        <v>0.531875</v>
      </c>
      <c r="D161" s="93" t="s">
        <v>390</v>
      </c>
      <c r="E161" s="93"/>
      <c r="F161" s="93" t="s">
        <v>253</v>
      </c>
      <c r="G161" s="93" t="n">
        <v>0.88082</v>
      </c>
      <c r="H161" s="93" t="n">
        <v>39.97</v>
      </c>
      <c r="I161" s="93" t="n">
        <v>2.494</v>
      </c>
      <c r="J161" s="93" t="n">
        <v>2.831</v>
      </c>
      <c r="K161" s="93" t="n">
        <v>40</v>
      </c>
      <c r="L161" s="93" t="n">
        <v>0.06</v>
      </c>
      <c r="M161" s="93" t="n">
        <v>0.52</v>
      </c>
      <c r="N161" s="93" t="s">
        <v>254</v>
      </c>
    </row>
    <row r="162" customFormat="false" ht="14.25" hidden="false" customHeight="true" outlineLevel="0" collapsed="false">
      <c r="A162" s="93" t="n">
        <v>13032</v>
      </c>
      <c r="B162" s="95" t="n">
        <v>45995</v>
      </c>
      <c r="C162" s="96" t="n">
        <v>0.541747685185185</v>
      </c>
      <c r="D162" s="93" t="s">
        <v>390</v>
      </c>
      <c r="E162" s="93"/>
      <c r="F162" s="93" t="s">
        <v>253</v>
      </c>
      <c r="G162" s="93" t="n">
        <v>0.87244</v>
      </c>
      <c r="H162" s="93" t="n">
        <v>49.98</v>
      </c>
      <c r="I162" s="93" t="n">
        <v>1.95</v>
      </c>
      <c r="J162" s="93" t="n">
        <v>2.235</v>
      </c>
      <c r="K162" s="93" t="n">
        <v>50</v>
      </c>
      <c r="L162" s="93" t="n">
        <v>0.05</v>
      </c>
      <c r="M162" s="93" t="n">
        <v>0.98</v>
      </c>
      <c r="N162" s="93" t="s">
        <v>254</v>
      </c>
    </row>
    <row r="163" customFormat="false" ht="14.25" hidden="false" customHeight="true" outlineLevel="0" collapsed="false">
      <c r="A163" s="93" t="n">
        <v>13033</v>
      </c>
      <c r="B163" s="95" t="n">
        <v>45995</v>
      </c>
      <c r="C163" s="96" t="n">
        <v>0.552523148148148</v>
      </c>
      <c r="D163" s="93" t="s">
        <v>390</v>
      </c>
      <c r="E163" s="93"/>
      <c r="F163" s="93" t="s">
        <v>253</v>
      </c>
      <c r="G163" s="93" t="n">
        <v>0.864</v>
      </c>
      <c r="H163" s="93" t="n">
        <v>59.98</v>
      </c>
      <c r="I163" s="93" t="n">
        <v>1.568</v>
      </c>
      <c r="J163" s="93" t="n">
        <v>1.815</v>
      </c>
      <c r="K163" s="93" t="n">
        <v>60</v>
      </c>
      <c r="L163" s="93" t="n">
        <v>0</v>
      </c>
      <c r="M163" s="93" t="n">
        <v>1.07</v>
      </c>
      <c r="N163" s="93" t="s">
        <v>254</v>
      </c>
    </row>
    <row r="164" customFormat="false" ht="14.25" hidden="false" customHeight="true" outlineLevel="0" collapsed="false">
      <c r="A164" s="93" t="n">
        <v>13034</v>
      </c>
      <c r="B164" s="95" t="n">
        <v>45995</v>
      </c>
      <c r="C164" s="96" t="n">
        <v>0.588888888888889</v>
      </c>
      <c r="D164" s="93" t="s">
        <v>391</v>
      </c>
      <c r="E164" s="93"/>
      <c r="F164" s="93" t="s">
        <v>293</v>
      </c>
      <c r="G164" s="93" t="s">
        <v>289</v>
      </c>
      <c r="H164" s="93" t="s">
        <v>289</v>
      </c>
      <c r="I164" s="93" t="s">
        <v>289</v>
      </c>
      <c r="J164" s="93" t="s">
        <v>289</v>
      </c>
      <c r="K164" s="93" t="s">
        <v>289</v>
      </c>
      <c r="L164" s="93" t="s">
        <v>289</v>
      </c>
      <c r="M164" s="93" t="s">
        <v>289</v>
      </c>
      <c r="N164" s="93" t="s">
        <v>254</v>
      </c>
    </row>
    <row r="165" customFormat="false" ht="14.25" hidden="false" customHeight="true" outlineLevel="0" collapsed="false">
      <c r="A165" s="93" t="n">
        <v>13035</v>
      </c>
      <c r="B165" s="95" t="n">
        <v>45995</v>
      </c>
      <c r="C165" s="96" t="n">
        <v>0.594837962962963</v>
      </c>
      <c r="D165" s="93" t="s">
        <v>391</v>
      </c>
      <c r="E165" s="93"/>
      <c r="F165" s="93" t="s">
        <v>293</v>
      </c>
      <c r="G165" s="93" t="s">
        <v>289</v>
      </c>
      <c r="H165" s="93" t="s">
        <v>289</v>
      </c>
      <c r="I165" s="93" t="s">
        <v>289</v>
      </c>
      <c r="J165" s="93" t="s">
        <v>289</v>
      </c>
      <c r="K165" s="93" t="s">
        <v>289</v>
      </c>
      <c r="L165" s="93" t="s">
        <v>289</v>
      </c>
      <c r="M165" s="93" t="s">
        <v>289</v>
      </c>
      <c r="N165" s="93" t="s">
        <v>254</v>
      </c>
    </row>
    <row r="166" customFormat="false" ht="14.25" hidden="false" customHeight="true" outlineLevel="0" collapsed="false">
      <c r="A166" s="93" t="n">
        <v>13036</v>
      </c>
      <c r="B166" s="95" t="n">
        <v>45995</v>
      </c>
      <c r="C166" s="96" t="n">
        <v>0.600069444444444</v>
      </c>
      <c r="D166" s="93" t="s">
        <v>391</v>
      </c>
      <c r="E166" s="93"/>
      <c r="F166" s="93" t="s">
        <v>293</v>
      </c>
      <c r="G166" s="93" t="s">
        <v>289</v>
      </c>
      <c r="H166" s="93" t="s">
        <v>289</v>
      </c>
      <c r="I166" s="93" t="s">
        <v>289</v>
      </c>
      <c r="J166" s="93" t="s">
        <v>289</v>
      </c>
      <c r="K166" s="93" t="s">
        <v>289</v>
      </c>
      <c r="L166" s="93" t="s">
        <v>289</v>
      </c>
      <c r="M166" s="93" t="s">
        <v>289</v>
      </c>
      <c r="N166" s="93" t="s">
        <v>254</v>
      </c>
    </row>
    <row r="167" customFormat="false" ht="14.25" hidden="false" customHeight="true" outlineLevel="0" collapsed="false">
      <c r="A167" s="93" t="n">
        <v>13037</v>
      </c>
      <c r="B167" s="95" t="n">
        <v>45995</v>
      </c>
      <c r="C167" s="96" t="n">
        <v>0.605694444444444</v>
      </c>
      <c r="D167" s="93" t="s">
        <v>391</v>
      </c>
      <c r="E167" s="93"/>
      <c r="F167" s="93" t="s">
        <v>253</v>
      </c>
      <c r="G167" s="93" t="n">
        <v>1.09047</v>
      </c>
      <c r="H167" s="93" t="n">
        <v>24.98</v>
      </c>
      <c r="I167" s="93" t="n">
        <v>4.956</v>
      </c>
      <c r="J167" s="93" t="n">
        <v>4.545</v>
      </c>
      <c r="K167" s="93" t="n">
        <v>25</v>
      </c>
      <c r="L167" s="93" t="n">
        <v>0.3</v>
      </c>
      <c r="M167" s="93" t="n">
        <v>0.73</v>
      </c>
      <c r="N167" s="93" t="s">
        <v>254</v>
      </c>
    </row>
    <row r="168" customFormat="false" ht="14.25" hidden="false" customHeight="true" outlineLevel="0" collapsed="false">
      <c r="A168" s="93" t="n">
        <v>13038</v>
      </c>
      <c r="B168" s="95" t="n">
        <v>45995</v>
      </c>
      <c r="C168" s="96" t="n">
        <v>0.632233796296296</v>
      </c>
      <c r="D168" s="93" t="s">
        <v>391</v>
      </c>
      <c r="E168" s="93"/>
      <c r="F168" s="93" t="s">
        <v>293</v>
      </c>
      <c r="G168" s="93" t="s">
        <v>289</v>
      </c>
      <c r="H168" s="93" t="s">
        <v>289</v>
      </c>
      <c r="I168" s="93" t="s">
        <v>289</v>
      </c>
      <c r="J168" s="93" t="s">
        <v>289</v>
      </c>
      <c r="K168" s="93" t="s">
        <v>289</v>
      </c>
      <c r="L168" s="93" t="s">
        <v>289</v>
      </c>
      <c r="M168" s="93" t="s">
        <v>289</v>
      </c>
      <c r="N168" s="93" t="s">
        <v>254</v>
      </c>
    </row>
    <row r="169" customFormat="false" ht="14.25" hidden="false" customHeight="true" outlineLevel="0" collapsed="false">
      <c r="A169" s="93" t="n">
        <v>13039</v>
      </c>
      <c r="B169" s="95" t="n">
        <v>45995</v>
      </c>
      <c r="C169" s="96" t="n">
        <v>0.639525462962963</v>
      </c>
      <c r="D169" s="93"/>
      <c r="E169" s="93"/>
      <c r="F169" s="93" t="s">
        <v>253</v>
      </c>
      <c r="G169" s="93" t="n">
        <v>0.91137</v>
      </c>
      <c r="H169" s="93" t="n">
        <v>19.98</v>
      </c>
      <c r="I169" s="93" t="n">
        <v>4.82</v>
      </c>
      <c r="J169" s="93" t="n">
        <v>5.289</v>
      </c>
      <c r="K169" s="93" t="n">
        <v>20</v>
      </c>
      <c r="L169" s="93" t="n">
        <v>0.02</v>
      </c>
      <c r="M169" s="93" t="n">
        <v>0.58</v>
      </c>
      <c r="N169" s="93" t="s">
        <v>254</v>
      </c>
    </row>
    <row r="170" customFormat="false" ht="14.25" hidden="false" customHeight="true" outlineLevel="0" collapsed="false">
      <c r="A170" s="93" t="n">
        <v>13041</v>
      </c>
      <c r="B170" s="95" t="n">
        <v>45995</v>
      </c>
      <c r="C170" s="96" t="n">
        <v>0.651585648148148</v>
      </c>
      <c r="D170" s="93" t="s">
        <v>392</v>
      </c>
      <c r="E170" s="93"/>
      <c r="F170" s="93" t="s">
        <v>253</v>
      </c>
      <c r="G170" s="93" t="n">
        <v>0.91135</v>
      </c>
      <c r="H170" s="93" t="n">
        <v>20</v>
      </c>
      <c r="I170" s="93" t="n">
        <v>4.817</v>
      </c>
      <c r="J170" s="93" t="n">
        <v>5.286</v>
      </c>
      <c r="K170" s="93" t="n">
        <v>20</v>
      </c>
      <c r="L170" s="93" t="n">
        <v>0.01</v>
      </c>
      <c r="M170" s="93" t="n">
        <v>0.61</v>
      </c>
      <c r="N170" s="93" t="s">
        <v>254</v>
      </c>
    </row>
    <row r="171" customFormat="false" ht="14.25" hidden="false" customHeight="true" outlineLevel="0" collapsed="false">
      <c r="A171" s="93" t="n">
        <v>13042</v>
      </c>
      <c r="B171" s="95" t="n">
        <v>45995</v>
      </c>
      <c r="C171" s="96" t="n">
        <v>0.65724537037037</v>
      </c>
      <c r="D171" s="93" t="s">
        <v>392</v>
      </c>
      <c r="E171" s="93"/>
      <c r="F171" s="93" t="s">
        <v>253</v>
      </c>
      <c r="G171" s="93" t="n">
        <v>0.90334</v>
      </c>
      <c r="H171" s="93" t="n">
        <v>29.97</v>
      </c>
      <c r="I171" s="93" t="n">
        <v>3.528</v>
      </c>
      <c r="J171" s="93" t="n">
        <v>3.905</v>
      </c>
      <c r="K171" s="93" t="n">
        <v>30</v>
      </c>
      <c r="L171" s="93" t="n">
        <v>0.04</v>
      </c>
      <c r="M171" s="93" t="n">
        <v>0.55</v>
      </c>
      <c r="N171" s="93" t="s">
        <v>254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B39" activeCellId="0" sqref="B39:F39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9.5"/>
    <col collapsed="false" customWidth="true" hidden="false" outlineLevel="0" max="3" min="3" style="1" width="11.25"/>
    <col collapsed="false" customWidth="true" hidden="false" outlineLevel="0" max="4" min="4" style="1" width="10.25"/>
    <col collapsed="false" customWidth="true" hidden="false" outlineLevel="0" max="5" min="5" style="1" width="16"/>
    <col collapsed="false" customWidth="true" hidden="false" outlineLevel="0" max="6" min="6" style="1" width="17.75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32</v>
      </c>
      <c r="B2" s="1" t="n">
        <v>1</v>
      </c>
      <c r="C2" s="1" t="n">
        <v>122.16</v>
      </c>
    </row>
    <row r="3" customFormat="false" ht="14.25" hidden="false" customHeight="true" outlineLevel="0" collapsed="false">
      <c r="A3" s="1" t="s">
        <v>23</v>
      </c>
      <c r="B3" s="1" t="n">
        <v>2</v>
      </c>
      <c r="C3" s="1" t="n">
        <v>130.23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30" hidden="false" customHeight="true" outlineLevel="0" collapsed="false">
      <c r="A7" s="108" t="s">
        <v>365</v>
      </c>
      <c r="B7" s="108" t="s">
        <v>366</v>
      </c>
      <c r="C7" s="108" t="s">
        <v>393</v>
      </c>
      <c r="D7" s="108" t="s">
        <v>368</v>
      </c>
      <c r="E7" s="109" t="s">
        <v>369</v>
      </c>
      <c r="F7" s="108" t="s">
        <v>394</v>
      </c>
      <c r="G7" s="1" t="s">
        <v>364</v>
      </c>
    </row>
    <row r="8" customFormat="false" ht="30" hidden="false" customHeight="true" outlineLevel="0" collapsed="false">
      <c r="A8" s="55" t="n">
        <v>5</v>
      </c>
      <c r="B8" s="110" t="n">
        <f aca="false">IF(D8=0, 0, IF(D8=1, A8, (D8*A8*$C$2)/($C$3*(1-D8)+$C$2*D8)))</f>
        <v>0.471940845135718</v>
      </c>
      <c r="C8" s="110" t="n">
        <f aca="false">A8-B8</f>
        <v>4.52805915486428</v>
      </c>
      <c r="D8" s="55" t="n">
        <v>0.1</v>
      </c>
      <c r="E8" s="111" t="n">
        <v>0.4858</v>
      </c>
      <c r="F8" s="111" t="n">
        <v>4.5266</v>
      </c>
      <c r="G8" s="1" t="n">
        <f aca="false">IFERROR((E8*purity_2pe/MW_2pe)/((E8*purity_2pe/MW_2pe)+(F8*purity_octoh/MW_octoh)),"")</f>
        <v>0.102942036474298</v>
      </c>
    </row>
    <row r="9" customFormat="false" ht="30" hidden="false" customHeight="true" outlineLevel="0" collapsed="false">
      <c r="A9" s="55" t="n">
        <v>5</v>
      </c>
      <c r="B9" s="110" t="n">
        <f aca="false">IF(D9=0, 0, IF(D9=1, A9, (D9*A9*$C$2)/($C$3*(1-D9)+$C$2*D9)))</f>
        <v>0.94980406792312</v>
      </c>
      <c r="C9" s="110" t="n">
        <f aca="false">A9-B9</f>
        <v>4.05019593207688</v>
      </c>
      <c r="D9" s="55" t="n">
        <v>0.2</v>
      </c>
      <c r="E9" s="111" t="n">
        <v>0.9505</v>
      </c>
      <c r="F9" s="111" t="n">
        <v>4.0501</v>
      </c>
      <c r="G9" s="1" t="n">
        <f aca="false">IFERROR((E9*purity_2pe/MW_2pe)/((E9*purity_2pe/MW_2pe)+(F9*purity_octoh/MW_octoh)),"")</f>
        <v>0.20060238096856</v>
      </c>
    </row>
    <row r="10" customFormat="false" ht="30" hidden="false" customHeight="true" outlineLevel="0" collapsed="false">
      <c r="A10" s="55" t="n">
        <v>5</v>
      </c>
      <c r="B10" s="110" t="n">
        <f aca="false">IF(D10=0, 0, IF(D10=1, A10, (D10*A10*$C$2)/($C$3*(1-D10)+$C$2*D10)))</f>
        <v>1.43370185198226</v>
      </c>
      <c r="C10" s="110" t="n">
        <f aca="false">A10-B10</f>
        <v>3.56629814801775</v>
      </c>
      <c r="D10" s="55" t="n">
        <v>0.3</v>
      </c>
      <c r="E10" s="111" t="n">
        <v>1.4525</v>
      </c>
      <c r="F10" s="111" t="n">
        <v>3.5582</v>
      </c>
      <c r="G10" s="1" t="n">
        <f aca="false">IFERROR((E10*purity_2pe/MW_2pe)/((E10*purity_2pe/MW_2pe)+(F10*purity_octoh/MW_octoh)),"")</f>
        <v>0.303857905301441</v>
      </c>
    </row>
    <row r="11" customFormat="false" ht="30" hidden="false" customHeight="true" outlineLevel="0" collapsed="false">
      <c r="A11" s="55" t="n">
        <v>5</v>
      </c>
      <c r="B11" s="110" t="n">
        <f aca="false">IF(D11=0, 0, IF(D11=1, A11, (D11*A11*$C$2)/($C$3*(1-D11)+$C$2*D11)))</f>
        <v>1.92374923229555</v>
      </c>
      <c r="C11" s="110" t="n">
        <f aca="false">A11-B11</f>
        <v>3.07625076770445</v>
      </c>
      <c r="D11" s="55" t="n">
        <v>0.4</v>
      </c>
      <c r="E11" s="111" t="n">
        <v>1.9219</v>
      </c>
      <c r="F11" s="111" t="n">
        <v>3.0756</v>
      </c>
      <c r="G11" s="1" t="n">
        <f aca="false">IFERROR((E11*purity_2pe/MW_2pe)/((E11*purity_2pe/MW_2pe)+(F11*purity_octoh/MW_octoh)),"")</f>
        <v>0.400541165787733</v>
      </c>
    </row>
    <row r="12" customFormat="false" ht="30" hidden="false" customHeight="true" outlineLevel="0" collapsed="false">
      <c r="A12" s="55" t="n">
        <v>5</v>
      </c>
      <c r="B12" s="110" t="n">
        <f aca="false">IF(D12=0, 0, IF(D12=1, A12, (D12*A12*$C$2)/($C$3*(1-D12)+$C$2*D12)))</f>
        <v>2.42006418637822</v>
      </c>
      <c r="C12" s="110" t="n">
        <f aca="false">A12-B12</f>
        <v>2.57993581362178</v>
      </c>
      <c r="D12" s="55" t="n">
        <v>0.5</v>
      </c>
      <c r="E12" s="111" t="n">
        <v>2.4256</v>
      </c>
      <c r="F12" s="111" t="n">
        <v>2.5853</v>
      </c>
      <c r="G12" s="1" t="n">
        <f aca="false">IFERROR((E12*purity_2pe/MW_2pe)/((E12*purity_2pe/MW_2pe)+(F12*purity_octoh/MW_octoh)),"")</f>
        <v>0.500803081101967</v>
      </c>
    </row>
    <row r="13" customFormat="false" ht="30" hidden="false" customHeight="true" outlineLevel="0" collapsed="false">
      <c r="A13" s="55" t="n">
        <v>5</v>
      </c>
      <c r="B13" s="110" t="n">
        <f aca="false">IF(D13=0, 0, IF(D13=1, A13, (D13*A13*$C$2)/($C$3*(1-D13)+$C$2*D13)))</f>
        <v>2.92276772896928</v>
      </c>
      <c r="C13" s="110" t="n">
        <f aca="false">A13-B13</f>
        <v>2.07723227103072</v>
      </c>
      <c r="D13" s="55" t="n">
        <v>0.6</v>
      </c>
      <c r="E13" s="111" t="n">
        <v>2.9249</v>
      </c>
      <c r="F13" s="111" t="n">
        <v>2.0832</v>
      </c>
      <c r="G13" s="1" t="n">
        <f aca="false">IFERROR((E13*purity_2pe/MW_2pe)/((E13*purity_2pe/MW_2pe)+(F13*purity_octoh/MW_octoh)),"")</f>
        <v>0.600207576515638</v>
      </c>
    </row>
    <row r="14" customFormat="false" ht="30" hidden="false" customHeight="true" outlineLevel="0" collapsed="false">
      <c r="A14" s="55" t="n">
        <v>5</v>
      </c>
      <c r="B14" s="110" t="n">
        <f aca="false">IF(D14=0, 0, IF(D14=1, A14, (D14*A14*$C$2)/($C$3*(1-D14)+$C$2*D14)))</f>
        <v>3.43198401040287</v>
      </c>
      <c r="C14" s="110" t="n">
        <f aca="false">A14-B14</f>
        <v>1.56801598959713</v>
      </c>
      <c r="D14" s="55" t="n">
        <v>0.7</v>
      </c>
      <c r="E14" s="111" t="n">
        <v>3.4307</v>
      </c>
      <c r="F14" s="111" t="n">
        <v>1.5637</v>
      </c>
      <c r="G14" s="1" t="n">
        <f aca="false">IFERROR((E14*purity_2pe/MW_2pe)/((E14*purity_2pe/MW_2pe)+(F14*purity_octoh/MW_octoh)),"")</f>
        <v>0.701129970086883</v>
      </c>
    </row>
    <row r="15" customFormat="false" ht="30" hidden="false" customHeight="true" outlineLevel="0" collapsed="false">
      <c r="A15" s="55" t="n">
        <v>5</v>
      </c>
      <c r="B15" s="110" t="n">
        <f aca="false">IF(D15=0, 0, IF(D15=1, A15, (D15*A15*$C$2)/($C$3*(1-D15)+$C$2*D15)))</f>
        <v>3.94784041882786</v>
      </c>
      <c r="C15" s="110" t="n">
        <f aca="false">A15-B15</f>
        <v>1.05215958117214</v>
      </c>
      <c r="D15" s="55" t="n">
        <v>0.8</v>
      </c>
      <c r="E15" s="111" t="n">
        <v>3.9405</v>
      </c>
      <c r="F15" s="111" t="n">
        <v>1.0591</v>
      </c>
      <c r="G15" s="1" t="n">
        <f aca="false">IFERROR((E15*purity_2pe/MW_2pe)/((E15*purity_2pe/MW_2pe)+(F15*purity_octoh/MW_octoh)),"")</f>
        <v>0.799129581162723</v>
      </c>
    </row>
    <row r="16" customFormat="false" ht="30" hidden="false" customHeight="true" outlineLevel="0" collapsed="false">
      <c r="A16" s="55" t="n">
        <v>5</v>
      </c>
      <c r="B16" s="110" t="n">
        <f aca="false">IF(D16=0, 0, IF(D16=1, A16, (D16*A16*$C$2)/($C$3*(1-D16)+$C$2*D16)))</f>
        <v>4.47046768645246</v>
      </c>
      <c r="C16" s="110" t="n">
        <f aca="false">A16-B16</f>
        <v>0.529532313547537</v>
      </c>
      <c r="D16" s="55" t="n">
        <v>0.9</v>
      </c>
      <c r="E16" s="111" t="n">
        <v>4.474</v>
      </c>
      <c r="F16" s="111" t="n">
        <v>0.5341</v>
      </c>
      <c r="G16" s="1" t="n">
        <f aca="false">IFERROR((E16*purity_2pe/MW_2pe)/((E16*purity_2pe/MW_2pe)+(F16*purity_octoh/MW_octoh)),"")</f>
        <v>0.899567661591019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>
      <c r="B21" s="1" t="s">
        <v>212</v>
      </c>
      <c r="G21" s="1" t="s">
        <v>284</v>
      </c>
    </row>
    <row r="22" customFormat="false" ht="13.5" hidden="false" customHeight="true" outlineLevel="0" collapsed="false">
      <c r="A22" s="1" t="s">
        <v>285</v>
      </c>
      <c r="B22" s="1" t="n">
        <v>20</v>
      </c>
      <c r="C22" s="1" t="n">
        <v>30</v>
      </c>
      <c r="D22" s="1" t="n">
        <v>40</v>
      </c>
      <c r="E22" s="1" t="n">
        <v>50</v>
      </c>
      <c r="F22" s="1" t="n">
        <v>60</v>
      </c>
      <c r="G22" s="1" t="n">
        <v>20</v>
      </c>
      <c r="H22" s="1" t="n">
        <v>30</v>
      </c>
      <c r="I22" s="1" t="n">
        <v>40</v>
      </c>
      <c r="J22" s="1" t="n">
        <v>50</v>
      </c>
      <c r="K22" s="1" t="n">
        <v>60</v>
      </c>
    </row>
    <row r="23" customFormat="false" ht="13.5" hidden="false" customHeight="true" outlineLevel="0" collapsed="false">
      <c r="A23" s="1" t="n">
        <v>0</v>
      </c>
      <c r="B23" s="1" t="n">
        <f aca="false">densidad_viscosidad_puros!G35</f>
        <v>0.82518</v>
      </c>
      <c r="C23" s="1" t="n">
        <f aca="false">densidad_viscosidad_puros!G36</f>
        <v>0.81835</v>
      </c>
      <c r="D23" s="1" t="n">
        <f aca="false">densidad_viscosidad_puros!G37</f>
        <v>0.81141</v>
      </c>
      <c r="E23" s="1" t="n">
        <f aca="false">densidad_viscosidad_puros!G38</f>
        <v>0.80433</v>
      </c>
      <c r="F23" s="1" t="n">
        <f aca="false">densidad_viscosidad_puros!G39</f>
        <v>0.79719</v>
      </c>
      <c r="G23" s="1" t="n">
        <f aca="false">IFERROR((($A23*MW_2pe)+((1-$A23)*MW_octoh))/B23-(($A23*MW_2pe/B$33)+((1-$A23)*MW_octoh/B$23)),"")</f>
        <v>0</v>
      </c>
      <c r="H23" s="1" t="n">
        <f aca="false">IFERROR((($A23*MW_2pe)+((1-$A23)*MW_octoh))/C23-(($A23*MW_2pe/C$33)+((1-$A23)*MW_octoh/C$23)),"")</f>
        <v>0</v>
      </c>
      <c r="I23" s="1" t="n">
        <f aca="false">IFERROR((($A23*MW_2pe)+((1-$A23)*MW_octoh))/D23-(($A23*MW_2pe/D$33)+((1-$A23)*MW_octoh/D$23)),"")</f>
        <v>0</v>
      </c>
      <c r="J23" s="1" t="n">
        <f aca="false">IFERROR((($A23*MW_2pe)+((1-$A23)*MW_octoh))/E23-(($A23*MW_2pe/E$33)+((1-$A23)*MW_octoh/E$23)),"")</f>
        <v>0</v>
      </c>
      <c r="K23" s="1" t="n">
        <f aca="false">IFERROR((($A23*MW_2pe)+((1-$A23)*MW_octoh))/F23-(($A23*MW_2pe/F$33)+((1-$A23)*MW_octoh/F$23)),"")</f>
        <v>0</v>
      </c>
    </row>
    <row r="24" customFormat="false" ht="13.5" hidden="false" customHeight="true" outlineLevel="0" collapsed="false">
      <c r="A24" s="1" t="n">
        <f aca="false">G8</f>
        <v>0.102942036474298</v>
      </c>
      <c r="B24" s="1" t="n">
        <v>0.8404</v>
      </c>
      <c r="C24" s="1" t="n">
        <v>0.8334</v>
      </c>
      <c r="D24" s="1" t="n">
        <v>0.8264</v>
      </c>
      <c r="E24" s="1" t="n">
        <v>0.8192</v>
      </c>
      <c r="F24" s="1" t="n">
        <v>0.8119</v>
      </c>
      <c r="G24" s="1" t="n">
        <f aca="false">IFERROR((($A24*MW_2pe)+((1-$A24)*MW_octoh))/B24-(($A24*MW_2pe/B$33)+((1-$A24)*MW_octoh/B$23)),"")</f>
        <v>0.0689904592967139</v>
      </c>
      <c r="H24" s="1" t="n">
        <f aca="false">IFERROR((($A24*MW_2pe)+((1-$A24)*MW_octoh))/C24-(($A24*MW_2pe/C$33)+((1-$A24)*MW_octoh/C$23)),"")</f>
        <v>0.0904327027628256</v>
      </c>
      <c r="I24" s="1" t="n">
        <f aca="false">IFERROR((($A24*MW_2pe)+((1-$A24)*MW_octoh))/D24-(($A24*MW_2pe/D$33)+((1-$A24)*MW_octoh/D$23)),"")</f>
        <v>0.0919280036883095</v>
      </c>
      <c r="J24" s="1" t="n">
        <f aca="false">IFERROR((($A24*MW_2pe)+((1-$A24)*MW_octoh))/E24-(($A24*MW_2pe/E$33)+((1-$A24)*MW_octoh/E$23)),"")</f>
        <v>0.105700464377748</v>
      </c>
      <c r="K24" s="1" t="n">
        <f aca="false">IFERROR((($A24*MW_2pe)+((1-$A24)*MW_octoh))/F24-(($A24*MW_2pe/F$33)+((1-$A24)*MW_octoh/F$23)),"")</f>
        <v>0.127484897727953</v>
      </c>
    </row>
    <row r="25" customFormat="false" ht="13.5" hidden="false" customHeight="true" outlineLevel="0" collapsed="false">
      <c r="A25" s="1" t="n">
        <f aca="false">G9</f>
        <v>0.20060238096856</v>
      </c>
      <c r="B25" s="1" t="n">
        <v>0.8559</v>
      </c>
      <c r="C25" s="1" t="n">
        <v>0.8489</v>
      </c>
      <c r="D25" s="1" t="n">
        <v>0.8418</v>
      </c>
      <c r="E25" s="1" t="n">
        <v>0.8346</v>
      </c>
      <c r="F25" s="1" t="n">
        <v>0.8273</v>
      </c>
      <c r="G25" s="1" t="n">
        <f aca="false">IFERROR((($A25*MW_2pe)+((1-$A25)*MW_octoh))/B25-(($A25*MW_2pe/B$33)+((1-$A25)*MW_octoh/B$23)),"")</f>
        <v>0.0745711651790089</v>
      </c>
      <c r="H25" s="1" t="n">
        <f aca="false">IFERROR((($A25*MW_2pe)+((1-$A25)*MW_octoh))/C25-(($A25*MW_2pe/C$33)+((1-$A25)*MW_octoh/C$23)),"")</f>
        <v>0.0848326030710211</v>
      </c>
      <c r="I25" s="1" t="n">
        <f aca="false">IFERROR((($A25*MW_2pe)+((1-$A25)*MW_octoh))/D25-(($A25*MW_2pe/D$33)+((1-$A25)*MW_octoh/D$23)),"")</f>
        <v>0.0939539413707848</v>
      </c>
      <c r="J25" s="1" t="n">
        <f aca="false">IFERROR((($A25*MW_2pe)+((1-$A25)*MW_octoh))/E25-(($A25*MW_2pe/E$33)+((1-$A25)*MW_octoh/E$23)),"")</f>
        <v>0.0972905053485249</v>
      </c>
      <c r="K25" s="1" t="n">
        <f aca="false">IFERROR((($A25*MW_2pe)+((1-$A25)*MW_octoh))/F25-(($A25*MW_2pe/F$33)+((1-$A25)*MW_octoh/F$23)),"")</f>
        <v>0.107628110819178</v>
      </c>
    </row>
    <row r="26" customFormat="false" ht="13.5" hidden="false" customHeight="true" outlineLevel="0" collapsed="false">
      <c r="A26" s="1" t="n">
        <f aca="false">G10</f>
        <v>0.303857905301441</v>
      </c>
      <c r="B26" s="1" t="n">
        <v>0.8731</v>
      </c>
      <c r="C26" s="1" t="n">
        <v>0.866</v>
      </c>
      <c r="D26" s="1" t="n">
        <v>0.8589</v>
      </c>
      <c r="E26" s="1" t="n">
        <v>0.8516</v>
      </c>
      <c r="F26" s="1" t="n">
        <v>0.8442</v>
      </c>
      <c r="G26" s="1" t="n">
        <f aca="false">IFERROR((($A26*MW_2pe)+((1-$A26)*MW_octoh))/B26-(($A26*MW_2pe/B$33)+((1-$A26)*MW_octoh/B$23)),"")</f>
        <v>0.0876069757478888</v>
      </c>
      <c r="H26" s="1" t="n">
        <f aca="false">IFERROR((($A26*MW_2pe)+((1-$A26)*MW_octoh))/C26-(($A26*MW_2pe/C$33)+((1-$A26)*MW_octoh/C$23)),"")</f>
        <v>0.104142726798472</v>
      </c>
      <c r="I26" s="1" t="n">
        <f aca="false">IFERROR((($A26*MW_2pe)+((1-$A26)*MW_octoh))/D26-(($A26*MW_2pe/D$33)+((1-$A26)*MW_octoh/D$23)),"")</f>
        <v>0.102700522609069</v>
      </c>
      <c r="J26" s="1" t="n">
        <f aca="false">IFERROR((($A26*MW_2pe)+((1-$A26)*MW_octoh))/E26-(($A26*MW_2pe/E$33)+((1-$A26)*MW_octoh/E$23)),"")</f>
        <v>0.113758155981316</v>
      </c>
      <c r="K26" s="1" t="n">
        <f aca="false">IFERROR((($A26*MW_2pe)+((1-$A26)*MW_octoh))/F26-(($A26*MW_2pe/F$33)+((1-$A26)*MW_octoh/F$23)),"")</f>
        <v>0.131437990985262</v>
      </c>
    </row>
    <row r="27" customFormat="false" ht="13.5" hidden="false" customHeight="true" outlineLevel="0" collapsed="false">
      <c r="A27" s="1" t="n">
        <f aca="false">G11</f>
        <v>0.400541165787733</v>
      </c>
      <c r="B27" s="1" t="n">
        <v>0.89</v>
      </c>
      <c r="C27" s="1" t="n">
        <v>0.8828</v>
      </c>
      <c r="D27" s="1" t="n">
        <v>0.8757</v>
      </c>
      <c r="E27" s="1" t="n">
        <v>0.8684</v>
      </c>
      <c r="F27" s="1" t="n">
        <v>0.8609</v>
      </c>
      <c r="G27" s="1" t="n">
        <f aca="false">IFERROR((($A27*MW_2pe)+((1-$A27)*MW_octoh))/B27-(($A27*MW_2pe/B$33)+((1-$A27)*MW_octoh/B$23)),"")</f>
        <v>0.109558623312267</v>
      </c>
      <c r="H27" s="1" t="n">
        <f aca="false">IFERROR((($A27*MW_2pe)+((1-$A27)*MW_octoh))/C27-(($A27*MW_2pe/C$33)+((1-$A27)*MW_octoh/C$23)),"")</f>
        <v>0.132611823127888</v>
      </c>
      <c r="I27" s="1" t="n">
        <f aca="false">IFERROR((($A27*MW_2pe)+((1-$A27)*MW_octoh))/D27-(($A27*MW_2pe/D$33)+((1-$A27)*MW_octoh/D$23)),"")</f>
        <v>0.122371405684447</v>
      </c>
      <c r="J27" s="1" t="n">
        <f aca="false">IFERROR((($A27*MW_2pe)+((1-$A27)*MW_octoh))/E27-(($A27*MW_2pe/E$33)+((1-$A27)*MW_octoh/E$23)),"")</f>
        <v>0.12454468843481</v>
      </c>
      <c r="K27" s="1" t="n">
        <f aca="false">IFERROR((($A27*MW_2pe)+((1-$A27)*MW_octoh))/F27-(($A27*MW_2pe/F$33)+((1-$A27)*MW_octoh/F$23)),"")</f>
        <v>0.149575124841476</v>
      </c>
    </row>
    <row r="28" customFormat="false" ht="13.5" hidden="false" customHeight="true" outlineLevel="0" collapsed="false">
      <c r="A28" s="1" t="n">
        <f aca="false">G12</f>
        <v>0.500803081101967</v>
      </c>
      <c r="B28" s="1" t="n">
        <v>0.9085</v>
      </c>
      <c r="C28" s="1" t="n">
        <v>0.9014</v>
      </c>
      <c r="D28" s="1" t="n">
        <v>0.8941</v>
      </c>
      <c r="E28" s="1" t="n">
        <v>0.8868</v>
      </c>
      <c r="F28" s="1" t="n">
        <v>0.8793</v>
      </c>
      <c r="G28" s="1" t="n">
        <f aca="false">IFERROR((($A28*MW_2pe)+((1-$A28)*MW_octoh))/B28-(($A28*MW_2pe/B$33)+((1-$A28)*MW_octoh/B$23)),"")</f>
        <v>0.126985503089657</v>
      </c>
      <c r="H28" s="1" t="n">
        <f aca="false">IFERROR((($A28*MW_2pe)+((1-$A28)*MW_octoh))/C28-(($A28*MW_2pe/C$33)+((1-$A28)*MW_octoh/C$23)),"")</f>
        <v>0.124456792218609</v>
      </c>
      <c r="I28" s="1" t="n">
        <f aca="false">IFERROR((($A28*MW_2pe)+((1-$A28)*MW_octoh))/D28-(($A28*MW_2pe/D$33)+((1-$A28)*MW_octoh/D$23)),"")</f>
        <v>0.137009156744057</v>
      </c>
      <c r="J28" s="1" t="n">
        <f aca="false">IFERROR((($A28*MW_2pe)+((1-$A28)*MW_octoh))/E28-(($A28*MW_2pe/E$33)+((1-$A28)*MW_octoh/E$23)),"")</f>
        <v>0.130888513714524</v>
      </c>
      <c r="K28" s="1" t="n">
        <f aca="false">IFERROR((($A28*MW_2pe)+((1-$A28)*MW_octoh))/F28-(($A28*MW_2pe/F$33)+((1-$A28)*MW_octoh/F$23)),"")</f>
        <v>0.145942602343865</v>
      </c>
    </row>
    <row r="29" customFormat="false" ht="13.5" hidden="false" customHeight="true" outlineLevel="0" collapsed="false">
      <c r="A29" s="1" t="n">
        <f aca="false">G13</f>
        <v>0.600207576515638</v>
      </c>
      <c r="B29" s="1" t="n">
        <v>0.928</v>
      </c>
      <c r="C29" s="1" t="n">
        <v>0.9208</v>
      </c>
      <c r="D29" s="1" t="n">
        <v>0.9135</v>
      </c>
      <c r="E29" s="1" t="n">
        <v>0.9061</v>
      </c>
      <c r="F29" s="1" t="n">
        <v>0.8986</v>
      </c>
      <c r="G29" s="1" t="n">
        <f aca="false">IFERROR((($A29*MW_2pe)+((1-$A29)*MW_octoh))/B29-(($A29*MW_2pe/B$33)+((1-$A29)*MW_octoh/B$23)),"")</f>
        <v>0.125032604083714</v>
      </c>
      <c r="H29" s="1" t="n">
        <f aca="false">IFERROR((($A29*MW_2pe)+((1-$A29)*MW_octoh))/C29-(($A29*MW_2pe/C$33)+((1-$A29)*MW_octoh/C$23)),"")</f>
        <v>0.128744512452272</v>
      </c>
      <c r="I29" s="1" t="n">
        <f aca="false">IFERROR((($A29*MW_2pe)+((1-$A29)*MW_octoh))/D29-(($A29*MW_2pe/D$33)+((1-$A29)*MW_octoh/D$23)),"")</f>
        <v>0.132278452126599</v>
      </c>
      <c r="J29" s="1" t="n">
        <f aca="false">IFERROR((($A29*MW_2pe)+((1-$A29)*MW_octoh))/E29-(($A29*MW_2pe/E$33)+((1-$A29)*MW_octoh/E$23)),"")</f>
        <v>0.133936596119753</v>
      </c>
      <c r="K29" s="1" t="n">
        <f aca="false">IFERROR((($A29*MW_2pe)+((1-$A29)*MW_octoh))/F29-(($A29*MW_2pe/F$33)+((1-$A29)*MW_octoh/F$23)),"")</f>
        <v>0.140153664275346</v>
      </c>
    </row>
    <row r="30" customFormat="false" ht="13.5" hidden="false" customHeight="true" outlineLevel="0" collapsed="false">
      <c r="A30" s="1" t="n">
        <f aca="false">G14</f>
        <v>0.701129970086883</v>
      </c>
      <c r="B30" s="1" t="n">
        <v>0.9491</v>
      </c>
      <c r="C30" s="1" t="n">
        <v>0.9418</v>
      </c>
      <c r="D30" s="1" t="n">
        <v>0.9344</v>
      </c>
      <c r="E30" s="1" t="n">
        <v>0.927</v>
      </c>
      <c r="F30" s="1" t="n">
        <v>0.9194</v>
      </c>
      <c r="G30" s="1" t="n">
        <f aca="false">IFERROR((($A30*MW_2pe)+((1-$A30)*MW_octoh))/B30-(($A30*MW_2pe/B$33)+((1-$A30)*MW_octoh/B$23)),"")</f>
        <v>0.101963867845342</v>
      </c>
      <c r="H30" s="1" t="n">
        <f aca="false">IFERROR((($A30*MW_2pe)+((1-$A30)*MW_octoh))/C30-(($A30*MW_2pe/C$33)+((1-$A30)*MW_octoh/C$23)),"")</f>
        <v>0.11098620948286</v>
      </c>
      <c r="I30" s="1" t="n">
        <f aca="false">IFERROR((($A30*MW_2pe)+((1-$A30)*MW_octoh))/D30-(($A30*MW_2pe/D$33)+((1-$A30)*MW_octoh/D$23)),"")</f>
        <v>0.12034480133272</v>
      </c>
      <c r="J30" s="1" t="n">
        <f aca="false">IFERROR((($A30*MW_2pe)+((1-$A30)*MW_octoh))/E30-(($A30*MW_2pe/E$33)+((1-$A30)*MW_octoh/E$23)),"")</f>
        <v>0.114605035816794</v>
      </c>
      <c r="K30" s="1" t="n">
        <f aca="false">IFERROR((($A30*MW_2pe)+((1-$A30)*MW_octoh))/F30-(($A30*MW_2pe/F$33)+((1-$A30)*MW_octoh/F$23)),"")</f>
        <v>0.127371066219581</v>
      </c>
    </row>
    <row r="31" customFormat="false" ht="13.5" hidden="false" customHeight="true" outlineLevel="0" collapsed="false">
      <c r="A31" s="1" t="n">
        <f aca="false">G15</f>
        <v>0.799129581162723</v>
      </c>
      <c r="B31" s="1" t="n">
        <v>0.9707</v>
      </c>
      <c r="C31" s="1" t="n">
        <v>0.9634</v>
      </c>
      <c r="D31" s="1" t="n">
        <v>0.956</v>
      </c>
      <c r="E31" s="1" t="n">
        <v>0.9485</v>
      </c>
      <c r="F31" s="1" t="n">
        <v>0.9408</v>
      </c>
      <c r="G31" s="1" t="n">
        <f aca="false">IFERROR((($A31*MW_2pe)+((1-$A31)*MW_octoh))/B31-(($A31*MW_2pe/B$33)+((1-$A31)*MW_octoh/B$23)),"")</f>
        <v>0.0942926530375985</v>
      </c>
      <c r="H31" s="1" t="n">
        <f aca="false">IFERROR((($A31*MW_2pe)+((1-$A31)*MW_octoh))/C31-(($A31*MW_2pe/C$33)+((1-$A31)*MW_octoh/C$23)),"")</f>
        <v>0.0953696277267397</v>
      </c>
      <c r="I31" s="1" t="n">
        <f aca="false">IFERROR((($A31*MW_2pe)+((1-$A31)*MW_octoh))/D31-(($A31*MW_2pe/D$33)+((1-$A31)*MW_octoh/D$23)),"")</f>
        <v>0.0968905129147117</v>
      </c>
      <c r="J31" s="1" t="n">
        <f aca="false">IFERROR((($A31*MW_2pe)+((1-$A31)*MW_octoh))/E31-(($A31*MW_2pe/E$33)+((1-$A31)*MW_octoh/E$23)),"")</f>
        <v>0.0986358953443585</v>
      </c>
      <c r="K31" s="1" t="n">
        <f aca="false">IFERROR((($A31*MW_2pe)+((1-$A31)*MW_octoh))/F31-(($A31*MW_2pe/F$33)+((1-$A31)*MW_octoh/F$23)),"")</f>
        <v>0.117874908596718</v>
      </c>
    </row>
    <row r="32" customFormat="false" ht="13.5" hidden="false" customHeight="true" outlineLevel="0" collapsed="false">
      <c r="A32" s="1" t="n">
        <f aca="false">G16</f>
        <v>0.899567661591019</v>
      </c>
      <c r="B32" s="1" t="n">
        <v>0.9944</v>
      </c>
      <c r="C32" s="1" t="n">
        <v>0.987</v>
      </c>
      <c r="D32" s="1" t="n">
        <v>0.9795</v>
      </c>
      <c r="E32" s="1" t="n">
        <v>0.9719</v>
      </c>
      <c r="F32" s="1" t="n">
        <v>0.9643</v>
      </c>
      <c r="G32" s="1" t="n">
        <f aca="false">IFERROR((($A32*MW_2pe)+((1-$A32)*MW_octoh))/B32-(($A32*MW_2pe/B$33)+((1-$A32)*MW_octoh/B$23)),"")</f>
        <v>0.0604565487211914</v>
      </c>
      <c r="H32" s="1" t="n">
        <f aca="false">IFERROR((($A32*MW_2pe)+((1-$A32)*MW_octoh))/C32-(($A32*MW_2pe/C$33)+((1-$A32)*MW_octoh/C$23)),"")</f>
        <v>0.0666947655996921</v>
      </c>
      <c r="I32" s="1" t="n">
        <f aca="false">IFERROR((($A32*MW_2pe)+((1-$A32)*MW_octoh))/D32-(($A32*MW_2pe/D$33)+((1-$A32)*MW_octoh/D$23)),"")</f>
        <v>0.0739234919361422</v>
      </c>
      <c r="J32" s="1" t="n">
        <f aca="false">IFERROR((($A32*MW_2pe)+((1-$A32)*MW_octoh))/E32-(($A32*MW_2pe/E$33)+((1-$A32)*MW_octoh/E$23)),"")</f>
        <v>0.0826836068152375</v>
      </c>
      <c r="K32" s="1" t="n">
        <f aca="false">IFERROR((($A32*MW_2pe)+((1-$A32)*MW_octoh))/F32-(($A32*MW_2pe/F$33)+((1-$A32)*MW_octoh/F$23)),"")</f>
        <v>0.0814598309016645</v>
      </c>
    </row>
    <row r="33" customFormat="false" ht="13.5" hidden="false" customHeight="true" outlineLevel="0" collapsed="false">
      <c r="A33" s="1" t="n">
        <v>1</v>
      </c>
      <c r="B33" s="1" t="n">
        <f aca="false">densidad_viscosidad_puros!G75</f>
        <v>1.01985</v>
      </c>
      <c r="C33" s="1" t="n">
        <f aca="false">densidad_viscosidad_puros!G76</f>
        <v>1.01244</v>
      </c>
      <c r="D33" s="1" t="n">
        <f aca="false">densidad_viscosidad_puros!G77</f>
        <v>1.00494</v>
      </c>
      <c r="E33" s="1" t="n">
        <f aca="false">densidad_viscosidad_puros!G78</f>
        <v>0.99736</v>
      </c>
      <c r="F33" s="1" t="n">
        <f aca="false">densidad_viscosidad_puros!G79</f>
        <v>0.9897</v>
      </c>
      <c r="G33" s="1" t="n">
        <f aca="false">IFERROR((($A33*MW_2pe)+((1-$A33)*MW_octoh))/B33-(($A33*MW_2pe/B$33)+((1-$A33)*MW_octoh/B$23)),"")</f>
        <v>0</v>
      </c>
      <c r="H33" s="1" t="n">
        <f aca="false">IFERROR((($A33*MW_2pe)+((1-$A33)*MW_octoh))/C33-(($A33*MW_2pe/C$33)+((1-$A33)*MW_octoh/C$23)),"")</f>
        <v>0</v>
      </c>
      <c r="I33" s="1" t="n">
        <f aca="false">IFERROR((($A33*MW_2pe)+((1-$A33)*MW_octoh))/D33-(($A33*MW_2pe/D$33)+((1-$A33)*MW_octoh/D$23)),"")</f>
        <v>0</v>
      </c>
      <c r="J33" s="1" t="n">
        <f aca="false">IFERROR((($A33*MW_2pe)+((1-$A33)*MW_octoh))/E33-(($A33*MW_2pe/E$33)+((1-$A33)*MW_octoh/E$23)),"")</f>
        <v>0</v>
      </c>
      <c r="K33" s="1" t="n">
        <f aca="false">IFERROR((($A33*MW_2pe)+((1-$A33)*MW_octoh))/F33-(($A33*MW_2pe/F$33)+((1-$A33)*MW_octoh/F$23)),"")</f>
        <v>0</v>
      </c>
    </row>
    <row r="34" customFormat="false" ht="13.5" hidden="false" customHeight="true" outlineLevel="0" collapsed="false"/>
    <row r="35" customFormat="false" ht="13.5" hidden="false" customHeight="true" outlineLevel="0" collapsed="false">
      <c r="B35" s="1" t="s">
        <v>214</v>
      </c>
    </row>
    <row r="36" customFormat="false" ht="13.5" hidden="false" customHeight="true" outlineLevel="0" collapsed="false">
      <c r="A36" s="1" t="s">
        <v>285</v>
      </c>
      <c r="B36" s="1" t="n">
        <v>20</v>
      </c>
      <c r="C36" s="1" t="n">
        <v>30</v>
      </c>
      <c r="D36" s="1" t="n">
        <v>40</v>
      </c>
      <c r="E36" s="1" t="n">
        <v>50</v>
      </c>
      <c r="F36" s="1" t="n">
        <v>60</v>
      </c>
    </row>
    <row r="37" customFormat="false" ht="13.5" hidden="false" customHeight="true" outlineLevel="0" collapsed="false">
      <c r="A37" s="1" t="n">
        <v>0</v>
      </c>
      <c r="B37" s="1" t="n">
        <f aca="false">densidad_viscosidad_puros!I35</f>
        <v>8.801</v>
      </c>
      <c r="C37" s="1" t="n">
        <f aca="false">densidad_viscosidad_puros!I36</f>
        <v>6.146</v>
      </c>
      <c r="D37" s="1" t="n">
        <f aca="false">densidad_viscosidad_puros!I37</f>
        <v>4.454</v>
      </c>
      <c r="E37" s="1" t="n">
        <f aca="false">densidad_viscosidad_puros!I38</f>
        <v>3.292</v>
      </c>
      <c r="F37" s="1" t="n">
        <f aca="false">densidad_viscosidad_puros!I39</f>
        <v>2.511</v>
      </c>
    </row>
    <row r="38" customFormat="false" ht="13.5" hidden="false" customHeight="true" outlineLevel="0" collapsed="false">
      <c r="A38" s="1" t="n">
        <f aca="false">G8</f>
        <v>0.102942036474298</v>
      </c>
      <c r="B38" s="1" t="n">
        <v>9.21</v>
      </c>
      <c r="C38" s="1" t="n">
        <v>6.216</v>
      </c>
      <c r="D38" s="1" t="n">
        <v>4.548</v>
      </c>
      <c r="E38" s="1" t="n">
        <v>3.373</v>
      </c>
      <c r="F38" s="1" t="n">
        <v>2.585</v>
      </c>
    </row>
    <row r="39" customFormat="false" ht="13.5" hidden="false" customHeight="true" outlineLevel="0" collapsed="false">
      <c r="A39" s="1" t="n">
        <f aca="false">G9</f>
        <v>0.20060238096856</v>
      </c>
      <c r="B39" s="1" t="n">
        <v>9.121</v>
      </c>
      <c r="C39" s="1" t="n">
        <v>6.348</v>
      </c>
      <c r="D39" s="1" t="n">
        <v>4.561</v>
      </c>
      <c r="E39" s="1" t="n">
        <v>3.37</v>
      </c>
      <c r="F39" s="1" t="n">
        <v>2.576</v>
      </c>
    </row>
    <row r="40" customFormat="false" ht="13.5" hidden="false" customHeight="true" outlineLevel="0" collapsed="false">
      <c r="A40" s="1" t="n">
        <f aca="false">G10</f>
        <v>0.303857905301441</v>
      </c>
      <c r="B40" s="1" t="n">
        <v>9.228</v>
      </c>
      <c r="C40" s="1" t="n">
        <v>6.38</v>
      </c>
      <c r="D40" s="1" t="n">
        <v>4.577</v>
      </c>
      <c r="E40" s="1" t="n">
        <v>3.369</v>
      </c>
      <c r="F40" s="1" t="n">
        <v>2.564</v>
      </c>
    </row>
    <row r="41" customFormat="false" ht="13.5" hidden="false" customHeight="true" outlineLevel="0" collapsed="false">
      <c r="A41" s="1" t="n">
        <f aca="false">G11</f>
        <v>0.400541165787733</v>
      </c>
      <c r="B41" s="1" t="n">
        <v>9.374</v>
      </c>
      <c r="C41" s="1" t="n">
        <v>6.46</v>
      </c>
      <c r="D41" s="1" t="n">
        <v>4.624</v>
      </c>
      <c r="E41" s="1" t="n">
        <v>3.404</v>
      </c>
      <c r="F41" s="1" t="n">
        <v>2.612</v>
      </c>
    </row>
    <row r="42" customFormat="false" ht="13.5" hidden="false" customHeight="true" outlineLevel="0" collapsed="false">
      <c r="A42" s="1" t="n">
        <f aca="false">G12</f>
        <v>0.500803081101967</v>
      </c>
      <c r="B42" s="1" t="n">
        <v>9.788</v>
      </c>
      <c r="C42" s="1" t="n">
        <v>6.671</v>
      </c>
      <c r="D42" s="1" t="n">
        <v>4.8</v>
      </c>
      <c r="E42" s="1" t="n">
        <v>3.496</v>
      </c>
      <c r="F42" s="1" t="n">
        <v>2.625</v>
      </c>
    </row>
    <row r="43" customFormat="false" ht="13.5" hidden="false" customHeight="true" outlineLevel="0" collapsed="false">
      <c r="A43" s="1" t="n">
        <f aca="false">G13</f>
        <v>0.600207576515638</v>
      </c>
      <c r="B43" s="1" t="n">
        <v>10.01</v>
      </c>
      <c r="C43" s="1" t="n">
        <v>6.767</v>
      </c>
      <c r="D43" s="1" t="n">
        <v>4.838</v>
      </c>
      <c r="E43" s="1" t="n">
        <v>3.529</v>
      </c>
      <c r="F43" s="1" t="n">
        <v>2.679</v>
      </c>
    </row>
    <row r="44" customFormat="false" ht="13.5" hidden="false" customHeight="true" outlineLevel="0" collapsed="false">
      <c r="A44" s="1" t="n">
        <f aca="false">G14</f>
        <v>0.701129970086883</v>
      </c>
      <c r="B44" s="1" t="n">
        <v>10.67</v>
      </c>
      <c r="C44" s="1" t="n">
        <v>7.119</v>
      </c>
      <c r="D44" s="1" t="n">
        <v>4.999</v>
      </c>
      <c r="E44" s="1" t="n">
        <v>3.648</v>
      </c>
      <c r="F44" s="1" t="n">
        <v>2.783</v>
      </c>
    </row>
    <row r="45" customFormat="false" ht="13.5" hidden="false" customHeight="true" outlineLevel="0" collapsed="false">
      <c r="A45" s="1" t="n">
        <f aca="false">G15</f>
        <v>0.799129581162723</v>
      </c>
      <c r="B45" s="1" t="n">
        <v>11.35</v>
      </c>
      <c r="C45" s="1" t="n">
        <v>7.488</v>
      </c>
      <c r="D45" s="1" t="n">
        <v>5.205</v>
      </c>
      <c r="E45" s="1" t="n">
        <v>3.781</v>
      </c>
      <c r="F45" s="1" t="n">
        <v>2.862</v>
      </c>
    </row>
    <row r="46" customFormat="false" ht="13.5" hidden="false" customHeight="true" outlineLevel="0" collapsed="false">
      <c r="A46" s="1" t="n">
        <f aca="false">G16</f>
        <v>0.899567661591019</v>
      </c>
      <c r="B46" s="1" t="n">
        <v>12.35</v>
      </c>
      <c r="C46" s="1" t="n">
        <v>8.037</v>
      </c>
      <c r="D46" s="1" t="n">
        <v>5.528</v>
      </c>
      <c r="E46" s="1" t="n">
        <v>3.997</v>
      </c>
      <c r="F46" s="1" t="n">
        <v>3.002</v>
      </c>
    </row>
    <row r="47" customFormat="false" ht="13.5" hidden="false" customHeight="true" outlineLevel="0" collapsed="false">
      <c r="A47" s="1" t="n">
        <v>1</v>
      </c>
      <c r="B47" s="1" t="n">
        <f aca="false">densidad_viscosidad_puros!I75</f>
        <v>14.04</v>
      </c>
      <c r="C47" s="1" t="n">
        <f aca="false">densidad_viscosidad_puros!I76</f>
        <v>8.973</v>
      </c>
      <c r="D47" s="1" t="n">
        <f aca="false">densidad_viscosidad_puros!I77</f>
        <v>6.102</v>
      </c>
      <c r="E47" s="1" t="n">
        <f aca="false">densidad_viscosidad_puros!I78</f>
        <v>4.368</v>
      </c>
      <c r="F47" s="1" t="n">
        <f aca="false">densidad_viscosidad_puros!I79</f>
        <v>3.252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true" verticalCentered="false"/>
  <pageMargins left="0.7" right="0.7" top="1.14375" bottom="1.14375" header="0.511811023622047" footer="0.511811023622047"/>
  <pageSetup paperSize="1" scale="1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H32" activeCellId="1" sqref="B39:F39 H32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  <c r="E1" s="106" t="s">
        <v>360</v>
      </c>
    </row>
    <row r="2" customFormat="false" ht="14.25" hidden="false" customHeight="true" outlineLevel="0" collapsed="false">
      <c r="A2" s="1" t="s">
        <v>32</v>
      </c>
      <c r="B2" s="1" t="n">
        <v>1</v>
      </c>
      <c r="C2" s="1" t="n">
        <v>122.16</v>
      </c>
    </row>
    <row r="3" customFormat="false" ht="14.25" hidden="false" customHeight="true" outlineLevel="0" collapsed="false">
      <c r="A3" s="1" t="s">
        <v>26</v>
      </c>
      <c r="B3" s="1" t="n">
        <v>2</v>
      </c>
      <c r="C3" s="1" t="n">
        <v>100.16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361</v>
      </c>
      <c r="C7" s="1" t="s">
        <v>322</v>
      </c>
      <c r="D7" s="1" t="s">
        <v>362</v>
      </c>
      <c r="E7" s="1" t="s">
        <v>363</v>
      </c>
      <c r="F7" s="1" t="s">
        <v>323</v>
      </c>
      <c r="G7" s="1" t="s">
        <v>364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93" t="n">
        <v>0</v>
      </c>
      <c r="F8" s="93" t="n">
        <v>1</v>
      </c>
      <c r="G8" s="93" t="n">
        <f aca="false">IF(AND(E8=0,F8&gt;0),0,"")</f>
        <v>0</v>
      </c>
    </row>
    <row r="9" customFormat="false" ht="14.25" hidden="false" customHeight="true" outlineLevel="0" collapsed="false">
      <c r="A9" s="1" t="n">
        <v>5</v>
      </c>
      <c r="B9" s="1" t="n">
        <f aca="false">IF(D9=0, 0, IF(D9=1, A9, (D9*A9*$C$2)/($C$3*(1-D9)+$C$2*D9)))</f>
        <v>0.596717467760844</v>
      </c>
      <c r="C9" s="1" t="n">
        <f aca="false">A9-B9</f>
        <v>4.40328253223916</v>
      </c>
      <c r="D9" s="1" t="n">
        <v>0.1</v>
      </c>
      <c r="E9" s="93" t="n">
        <v>0.6321</v>
      </c>
      <c r="F9" s="93" t="n">
        <v>4.3832</v>
      </c>
      <c r="G9" s="93" t="n">
        <f aca="false">IFERROR((E9*purity_2pe/MW_2pe)/((E9*purity_2pe/MW_2pe)+(F9*purity_mibk/MW_mibk)),"")</f>
        <v>0.105926031920863</v>
      </c>
    </row>
    <row r="10" customFormat="false" ht="14.25" hidden="false" customHeight="true" outlineLevel="0" collapsed="false">
      <c r="A10" s="1" t="n">
        <v>5</v>
      </c>
      <c r="B10" s="1" t="n">
        <f aca="false">IF(D10=0, 0, IF(D10=1, A10, (D10*A10*$C$2)/($C$3*(1-D10)+$C$2*D10)))</f>
        <v>1.16832440703902</v>
      </c>
      <c r="C10" s="1" t="n">
        <f aca="false">A10-B10</f>
        <v>3.83167559296098</v>
      </c>
      <c r="D10" s="1" t="n">
        <v>0.2</v>
      </c>
      <c r="E10" s="93" t="n">
        <v>1.1981</v>
      </c>
      <c r="F10" s="93" t="n">
        <v>3.8752</v>
      </c>
      <c r="G10" s="93" t="n">
        <f aca="false">IFERROR((E10*purity_2pe/MW_2pe)/((E10*purity_2pe/MW_2pe)+(F10*purity_mibk/MW_mibk)),"")</f>
        <v>0.202551826920771</v>
      </c>
    </row>
    <row r="11" customFormat="false" ht="14.25" hidden="false" customHeight="true" outlineLevel="0" collapsed="false">
      <c r="A11" s="1" t="n">
        <v>5</v>
      </c>
      <c r="B11" s="1" t="n">
        <f aca="false">IF(D11=0, 0, IF(D11=1, A11, (D11*A11*$C$2)/($C$3*(1-D11)+$C$2*D11)))</f>
        <v>1.71637317347321</v>
      </c>
      <c r="C11" s="1" t="n">
        <f aca="false">A11-B11</f>
        <v>3.28362682652679</v>
      </c>
      <c r="D11" s="1" t="n">
        <v>0.3</v>
      </c>
      <c r="E11" s="93" t="n">
        <v>1.6869</v>
      </c>
      <c r="F11" s="93" t="n">
        <v>3.3128</v>
      </c>
      <c r="G11" s="93" t="n">
        <f aca="false">IFERROR((E11*purity_2pe/MW_2pe)/((E11*purity_2pe/MW_2pe)+(F11*purity_mibk/MW_mibk)),"")</f>
        <v>0.294950185637093</v>
      </c>
    </row>
    <row r="12" customFormat="false" ht="14.25" hidden="false" customHeight="true" outlineLevel="0" collapsed="false">
      <c r="A12" s="1" t="n">
        <v>5</v>
      </c>
      <c r="B12" s="1" t="n">
        <f aca="false">IF(D12=0, 0, IF(D12=1, A12, (D12*A12*$C$2)/($C$3*(1-D12)+$C$2*D12)))</f>
        <v>2.24229074889868</v>
      </c>
      <c r="C12" s="1" t="n">
        <f aca="false">A12-B12</f>
        <v>2.75770925110132</v>
      </c>
      <c r="D12" s="1" t="n">
        <v>0.4</v>
      </c>
      <c r="E12" s="93" t="n">
        <v>2.2555</v>
      </c>
      <c r="F12" s="93" t="n">
        <v>2.7446</v>
      </c>
      <c r="G12" s="93" t="n">
        <f aca="false">IFERROR((E12*purity_2pe/MW_2pe)/((E12*purity_2pe/MW_2pe)+(F12*purity_mibk/MW_mibk)),"")</f>
        <v>0.403037564900804</v>
      </c>
    </row>
    <row r="13" customFormat="false" ht="14.25" hidden="false" customHeight="true" outlineLevel="0" collapsed="false">
      <c r="A13" s="1" t="n">
        <v>5</v>
      </c>
      <c r="B13" s="1" t="n">
        <f aca="false">IF(D13=0, 0, IF(D13=1, A13, (D13*A13*$C$2)/($C$3*(1-D13)+$C$2*D13)))</f>
        <v>2.74739114789493</v>
      </c>
      <c r="C13" s="1" t="n">
        <f aca="false">A13-B13</f>
        <v>2.25260885210507</v>
      </c>
      <c r="D13" s="1" t="n">
        <v>0.5</v>
      </c>
      <c r="E13" s="93" t="n">
        <v>2.7558</v>
      </c>
      <c r="F13" s="93" t="n">
        <v>2.2332</v>
      </c>
      <c r="G13" s="93" t="n">
        <f aca="false">IFERROR((E13*purity_2pe/MW_2pe)/((E13*purity_2pe/MW_2pe)+(F13*purity_mibk/MW_mibk)),"")</f>
        <v>0.503427820355105</v>
      </c>
    </row>
    <row r="14" customFormat="false" ht="14.25" hidden="false" customHeight="true" outlineLevel="0" collapsed="false">
      <c r="A14" s="1" t="n">
        <v>5</v>
      </c>
      <c r="B14" s="1" t="n">
        <f aca="false">IF(D14=0, 0, IF(D14=1, A14, (D14*A14*$C$2)/($C$3*(1-D14)+$C$2*D14)))</f>
        <v>3.23288637967537</v>
      </c>
      <c r="C14" s="1" t="n">
        <f aca="false">A14-B14</f>
        <v>1.76711362032463</v>
      </c>
      <c r="D14" s="1" t="n">
        <v>0.6</v>
      </c>
      <c r="E14" s="93" t="n">
        <v>3.277</v>
      </c>
      <c r="F14" s="93" t="n">
        <v>1.7448</v>
      </c>
      <c r="G14" s="93" t="n">
        <f aca="false">IFERROR((E14*purity_2pe/MW_2pe)/((E14*purity_2pe/MW_2pe)+(F14*purity_mibk/MW_mibk)),"")</f>
        <v>0.606763452498099</v>
      </c>
    </row>
    <row r="15" customFormat="false" ht="14.25" hidden="false" customHeight="true" outlineLevel="0" collapsed="false">
      <c r="A15" s="1" t="n">
        <v>5</v>
      </c>
      <c r="B15" s="1" t="n">
        <f aca="false">IF(D15=0, 0, IF(D15=1, A15, (D15*A15*$C$2)/($C$3*(1-D15)+$C$2*D15)))</f>
        <v>3.69989615784008</v>
      </c>
      <c r="C15" s="1" t="n">
        <f aca="false">A15-B15</f>
        <v>1.30010384215992</v>
      </c>
      <c r="D15" s="1" t="n">
        <v>0.7</v>
      </c>
      <c r="E15" s="93" t="n">
        <v>3.7433</v>
      </c>
      <c r="F15" s="93" t="n">
        <v>1.3112</v>
      </c>
      <c r="G15" s="93" t="n">
        <f aca="false">IFERROR((E15*purity_2pe/MW_2pe)/((E15*purity_2pe/MW_2pe)+(F15*purity_mibk/MW_mibk)),"")</f>
        <v>0.701083783054225</v>
      </c>
    </row>
    <row r="16" customFormat="false" ht="14.25" hidden="false" customHeight="true" outlineLevel="0" collapsed="false">
      <c r="A16" s="1" t="n">
        <v>5</v>
      </c>
      <c r="B16" s="1" t="n">
        <f aca="false">IF(D16=0, 0, IF(D16=1, A16, (D16*A16*$C$2)/($C$3*(1-D16)+$C$2*D16)))</f>
        <v>4.14945652173913</v>
      </c>
      <c r="C16" s="1" t="n">
        <f aca="false">A16-B16</f>
        <v>0.85054347826087</v>
      </c>
      <c r="D16" s="1" t="n">
        <v>0.8</v>
      </c>
      <c r="E16" s="93" t="n">
        <v>4.1707</v>
      </c>
      <c r="F16" s="93" t="n">
        <v>0.8628</v>
      </c>
      <c r="G16" s="93" t="n">
        <f aca="false">IFERROR((E16*purity_2pe/MW_2pe)/((E16*purity_2pe/MW_2pe)+(F16*purity_mibk/MW_mibk)),"")</f>
        <v>0.798845694462126</v>
      </c>
    </row>
    <row r="17" customFormat="false" ht="14.25" hidden="false" customHeight="true" outlineLevel="0" collapsed="false">
      <c r="A17" s="1" t="n">
        <v>5</v>
      </c>
      <c r="B17" s="1" t="n">
        <f aca="false">IF(D17=0, 0, IF(D17=1, A17, (D17*A17*$C$2)/($C$3*(1-D17)+$C$2*D17)))</f>
        <v>4.58252750916972</v>
      </c>
      <c r="C17" s="1" t="n">
        <f aca="false">A17-B17</f>
        <v>0.417472490830277</v>
      </c>
      <c r="D17" s="1" t="n">
        <v>0.9</v>
      </c>
      <c r="E17" s="93" t="n">
        <v>4.6046</v>
      </c>
      <c r="F17" s="93" t="n">
        <v>0.4206</v>
      </c>
      <c r="G17" s="93" t="n">
        <f aca="false">IFERROR((E17*purity_2pe/MW_2pe)/((E17*purity_2pe/MW_2pe)+(F17*purity_mibk/MW_mibk)),"")</f>
        <v>0.899940898700494</v>
      </c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93" t="n">
        <v>1</v>
      </c>
      <c r="F18" s="93" t="n">
        <v>0</v>
      </c>
      <c r="G18" s="93" t="n">
        <f aca="false">IF(AND(E18&gt;0,F18=0),1,IFERROR((E18/MW_2pe)/((E18/MW_2pe)+(F18/MW_mibk)),""))</f>
        <v>1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93" t="s">
        <v>303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customFormat="false" ht="12.75" hidden="false" customHeight="true" outlineLevel="0" collapsed="false">
      <c r="A21" s="93"/>
      <c r="B21" s="93" t="s">
        <v>212</v>
      </c>
      <c r="G21" s="93" t="s">
        <v>284</v>
      </c>
    </row>
    <row r="22" customFormat="false" ht="14.25" hidden="false" customHeight="true" outlineLevel="0" collapsed="false">
      <c r="A22" s="93" t="s">
        <v>285</v>
      </c>
      <c r="B22" s="93" t="n">
        <v>20</v>
      </c>
      <c r="C22" s="97" t="n">
        <v>30</v>
      </c>
      <c r="D22" s="93" t="n">
        <v>40</v>
      </c>
      <c r="E22" s="97" t="n">
        <v>50</v>
      </c>
      <c r="F22" s="93" t="n">
        <v>60</v>
      </c>
      <c r="G22" s="93" t="n">
        <v>20</v>
      </c>
      <c r="H22" s="97" t="n">
        <v>30</v>
      </c>
      <c r="I22" s="93" t="n">
        <v>40</v>
      </c>
      <c r="J22" s="97" t="n">
        <v>50</v>
      </c>
      <c r="K22" s="93" t="n">
        <v>60</v>
      </c>
    </row>
    <row r="23" customFormat="false" ht="14.25" hidden="false" customHeight="true" outlineLevel="0" collapsed="false">
      <c r="A23" s="93" t="n">
        <f aca="false">G8</f>
        <v>0</v>
      </c>
      <c r="B23" s="116" t="n">
        <f aca="false">densidad_viscosidad_puros!G45</f>
        <v>0.80143</v>
      </c>
      <c r="C23" s="116" t="n">
        <f aca="false">densidad_viscosidad_puros!G46</f>
        <v>0.79234</v>
      </c>
      <c r="D23" s="116" t="n">
        <f aca="false">densidad_viscosidad_puros!G47</f>
        <v>0.78314</v>
      </c>
      <c r="E23" s="116" t="n">
        <f aca="false">densidad_viscosidad_puros!G48</f>
        <v>0.77383</v>
      </c>
      <c r="F23" s="116" t="n">
        <f aca="false">densidad_viscosidad_puros!G49</f>
        <v>0.76444</v>
      </c>
      <c r="G23" s="93" t="n">
        <f aca="false">IFERROR((($A23*MW_2pe)+((1-$A23)*MW_mibk))/B23-(($A23*MW_2pe/B$33)+((1-$A23)*MW_mibk/B$23)),"")</f>
        <v>0</v>
      </c>
      <c r="H23" s="93" t="n">
        <f aca="false">IFERROR((($A23*MW_2pe)+((1-$A23)*MW_mibk))/C23-(($A23*MW_2pe/C$33)+((1-$A23)*MW_mibk/C$23)),"")</f>
        <v>0</v>
      </c>
      <c r="I23" s="93" t="n">
        <f aca="false">IFERROR((($A23*MW_2pe)+((1-$A23)*MW_mibk))/D23-(($A23*MW_2pe/D$33)+((1-$A23)*MW_mibk/D$23)),"")</f>
        <v>0</v>
      </c>
      <c r="J23" s="93" t="n">
        <f aca="false">IFERROR((($A23*MW_2pe)+((1-$A23)*MW_mibk))/E23-(($A23*MW_2pe/E$33)+((1-$A23)*MW_mibk/E$23)),"")</f>
        <v>0</v>
      </c>
      <c r="K23" s="93" t="n">
        <f aca="false">IFERROR((($A23*MW_2pe)+((1-$A23)*MW_mibk))/F23-(($A23*MW_2pe/F$33)+((1-$A23)*MW_mibk/F$23)),"")</f>
        <v>0</v>
      </c>
    </row>
    <row r="24" customFormat="false" ht="14.25" hidden="false" customHeight="true" outlineLevel="0" collapsed="false">
      <c r="A24" s="93" t="n">
        <f aca="false">G9</f>
        <v>0.105926031920863</v>
      </c>
      <c r="B24" s="93" t="n">
        <v>0.82529</v>
      </c>
      <c r="C24" s="93" t="n">
        <v>0.81641</v>
      </c>
      <c r="D24" s="93" t="n">
        <v>0.80742</v>
      </c>
      <c r="E24" s="93" t="n">
        <v>0.79835</v>
      </c>
      <c r="F24" s="93" t="n">
        <v>0.78915</v>
      </c>
      <c r="G24" s="93" t="n">
        <f aca="false">IFERROR((($A24*MW_2pe)+((1-$A24)*MW_mibk))/B24-(($A24*MW_2pe/B$33)+((1-$A24)*MW_mibk/B$23)),"")</f>
        <v>-0.239293348636437</v>
      </c>
      <c r="H24" s="93" t="n">
        <f aca="false">IFERROR((($A24*MW_2pe)+((1-$A24)*MW_mibk))/C24-(($A24*MW_2pe/C$33)+((1-$A24)*MW_mibk/C$23)),"")</f>
        <v>-0.263288486925461</v>
      </c>
      <c r="I24" s="93" t="n">
        <f aca="false">IFERROR((($A24*MW_2pe)+((1-$A24)*MW_mibk))/D24-(($A24*MW_2pe/D$33)+((1-$A24)*MW_mibk/D$23)),"")</f>
        <v>-0.288620943505734</v>
      </c>
      <c r="J24" s="93" t="n">
        <f aca="false">IFERROR((($A24*MW_2pe)+((1-$A24)*MW_mibk))/E24-(($A24*MW_2pe/E$33)+((1-$A24)*MW_mibk/E$23)),"")</f>
        <v>-0.32010231126921</v>
      </c>
      <c r="K24" s="93" t="n">
        <f aca="false">IFERROR((($A24*MW_2pe)+((1-$A24)*MW_mibk))/F24-(($A24*MW_2pe/F$33)+((1-$A24)*MW_mibk/F$23)),"")</f>
        <v>-0.345368418559445</v>
      </c>
    </row>
    <row r="25" customFormat="false" ht="14.25" hidden="false" customHeight="true" outlineLevel="0" collapsed="false">
      <c r="A25" s="93" t="n">
        <f aca="false">G10</f>
        <v>0.202551826920771</v>
      </c>
      <c r="B25" s="93" t="n">
        <v>0.84746</v>
      </c>
      <c r="C25" s="93" t="n">
        <v>0.8387</v>
      </c>
      <c r="D25" s="93" t="n">
        <v>0.82988</v>
      </c>
      <c r="E25" s="93" t="n">
        <v>0.82098</v>
      </c>
      <c r="F25" s="93" t="n">
        <v>0.81198</v>
      </c>
      <c r="G25" s="93" t="n">
        <f aca="false">IFERROR((($A25*MW_2pe)+((1-$A25)*MW_mibk))/B25-(($A25*MW_2pe/B$33)+((1-$A25)*MW_mibk/B$23)),"")</f>
        <v>-0.477792953439277</v>
      </c>
      <c r="H25" s="93" t="n">
        <f aca="false">IFERROR((($A25*MW_2pe)+((1-$A25)*MW_mibk))/C25-(($A25*MW_2pe/C$33)+((1-$A25)*MW_mibk/C$23)),"")</f>
        <v>-0.509359436368726</v>
      </c>
      <c r="I25" s="93" t="n">
        <f aca="false">IFERROR((($A25*MW_2pe)+((1-$A25)*MW_mibk))/D25-(($A25*MW_2pe/D$33)+((1-$A25)*MW_mibk/D$23)),"")</f>
        <v>-0.550279268606658</v>
      </c>
      <c r="J25" s="93" t="n">
        <f aca="false">IFERROR((($A25*MW_2pe)+((1-$A25)*MW_mibk))/E25-(($A25*MW_2pe/E$33)+((1-$A25)*MW_mibk/E$23)),"")</f>
        <v>-0.597858497590309</v>
      </c>
      <c r="K25" s="93" t="n">
        <f aca="false">IFERROR((($A25*MW_2pe)+((1-$A25)*MW_mibk))/F25-(($A25*MW_2pe/F$33)+((1-$A25)*MW_mibk/F$23)),"")</f>
        <v>-0.645322947056343</v>
      </c>
    </row>
    <row r="26" customFormat="false" ht="14.25" hidden="false" customHeight="true" outlineLevel="0" collapsed="false">
      <c r="A26" s="93" t="n">
        <f aca="false">G11</f>
        <v>0.294950185637093</v>
      </c>
      <c r="B26" s="93" t="n">
        <v>0.86835</v>
      </c>
      <c r="C26" s="93" t="n">
        <v>0.85979</v>
      </c>
      <c r="D26" s="93" t="n">
        <v>0.85113</v>
      </c>
      <c r="E26" s="93" t="n">
        <v>0.84241</v>
      </c>
      <c r="F26" s="93" t="n">
        <v>0.83358</v>
      </c>
      <c r="G26" s="93" t="n">
        <f aca="false">IFERROR((($A26*MW_2pe)+((1-$A26)*MW_mibk))/B26-(($A26*MW_2pe/B$33)+((1-$A26)*MW_mibk/B$23)),"")</f>
        <v>-0.626671788901192</v>
      </c>
      <c r="H26" s="93" t="n">
        <f aca="false">IFERROR((($A26*MW_2pe)+((1-$A26)*MW_mibk))/C26-(($A26*MW_2pe/C$33)+((1-$A26)*MW_mibk/C$23)),"")</f>
        <v>-0.673366980146142</v>
      </c>
      <c r="I26" s="93" t="n">
        <f aca="false">IFERROR((($A26*MW_2pe)+((1-$A26)*MW_mibk))/D26-(($A26*MW_2pe/D$33)+((1-$A26)*MW_mibk/D$23)),"")</f>
        <v>-0.723900751711611</v>
      </c>
      <c r="J26" s="93" t="n">
        <f aca="false">IFERROR((($A26*MW_2pe)+((1-$A26)*MW_mibk))/E26-(($A26*MW_2pe/E$33)+((1-$A26)*MW_mibk/E$23)),"")</f>
        <v>-0.784225945959676</v>
      </c>
      <c r="K26" s="93" t="n">
        <f aca="false">IFERROR((($A26*MW_2pe)+((1-$A26)*MW_mibk))/F26-(($A26*MW_2pe/F$33)+((1-$A26)*MW_mibk/F$23)),"")</f>
        <v>-0.843742334652688</v>
      </c>
    </row>
    <row r="27" customFormat="false" ht="14.25" hidden="false" customHeight="true" outlineLevel="0" collapsed="false">
      <c r="A27" s="93" t="n">
        <f aca="false">G12</f>
        <v>0.403037564900804</v>
      </c>
      <c r="B27" s="93" t="n">
        <v>0.89242</v>
      </c>
      <c r="C27" s="93" t="n">
        <v>0.88404</v>
      </c>
      <c r="D27" s="93" t="n">
        <v>0.87557</v>
      </c>
      <c r="E27" s="93" t="n">
        <v>0.86703</v>
      </c>
      <c r="F27" s="93" t="n">
        <v>0.8584</v>
      </c>
      <c r="G27" s="93" t="n">
        <f aca="false">IFERROR((($A27*MW_2pe)+((1-$A27)*MW_mibk))/B27-(($A27*MW_2pe/B$33)+((1-$A27)*MW_mibk/B$23)),"")</f>
        <v>-0.713253028181924</v>
      </c>
      <c r="H27" s="93" t="n">
        <f aca="false">IFERROR((($A27*MW_2pe)+((1-$A27)*MW_mibk))/C27-(($A27*MW_2pe/C$33)+((1-$A27)*MW_mibk/C$23)),"")</f>
        <v>-0.764424644370678</v>
      </c>
      <c r="I27" s="93" t="n">
        <f aca="false">IFERROR((($A27*MW_2pe)+((1-$A27)*MW_mibk))/D27-(($A27*MW_2pe/D$33)+((1-$A27)*MW_mibk/D$23)),"")</f>
        <v>-0.820819177831098</v>
      </c>
      <c r="J27" s="93" t="n">
        <f aca="false">IFERROR((($A27*MW_2pe)+((1-$A27)*MW_mibk))/E27-(($A27*MW_2pe/E$33)+((1-$A27)*MW_mibk/E$23)),"")</f>
        <v>-0.885229976406336</v>
      </c>
      <c r="K27" s="93" t="n">
        <f aca="false">IFERROR((($A27*MW_2pe)+((1-$A27)*MW_mibk))/F27-(($A27*MW_2pe/F$33)+((1-$A27)*MW_mibk/F$23)),"")</f>
        <v>-0.952204071123717</v>
      </c>
    </row>
    <row r="28" customFormat="false" ht="14.25" hidden="false" customHeight="true" outlineLevel="0" collapsed="false">
      <c r="A28" s="93" t="n">
        <f aca="false">G13</f>
        <v>0.503427820355105</v>
      </c>
      <c r="B28" s="93" t="n">
        <v>0.91458</v>
      </c>
      <c r="C28" s="93" t="n">
        <v>0.90638</v>
      </c>
      <c r="D28" s="93" t="n">
        <v>0.89808</v>
      </c>
      <c r="E28" s="93" t="n">
        <v>0.8897</v>
      </c>
      <c r="F28" s="93" t="n">
        <v>0.88124</v>
      </c>
      <c r="G28" s="93" t="n">
        <f aca="false">IFERROR((($A28*MW_2pe)+((1-$A28)*MW_mibk))/B28-(($A28*MW_2pe/B$33)+((1-$A28)*MW_mibk/B$23)),"")</f>
        <v>-0.737073540013114</v>
      </c>
      <c r="H28" s="93" t="n">
        <f aca="false">IFERROR((($A28*MW_2pe)+((1-$A28)*MW_mibk))/C28-(($A28*MW_2pe/C$33)+((1-$A28)*MW_mibk/C$23)),"")</f>
        <v>-0.790057049415466</v>
      </c>
      <c r="I28" s="93" t="n">
        <f aca="false">IFERROR((($A28*MW_2pe)+((1-$A28)*MW_mibk))/D28-(($A28*MW_2pe/D$33)+((1-$A28)*MW_mibk/D$23)),"")</f>
        <v>-0.846592352596446</v>
      </c>
      <c r="J28" s="93" t="n">
        <f aca="false">IFERROR((($A28*MW_2pe)+((1-$A28)*MW_mibk))/E28-(($A28*MW_2pe/E$33)+((1-$A28)*MW_mibk/E$23)),"")</f>
        <v>-0.90915624568413</v>
      </c>
      <c r="K28" s="93" t="n">
        <f aca="false">IFERROR((($A28*MW_2pe)+((1-$A28)*MW_mibk))/F28-(($A28*MW_2pe/F$33)+((1-$A28)*MW_mibk/F$23)),"")</f>
        <v>-0.975640482182357</v>
      </c>
    </row>
    <row r="29" customFormat="false" ht="14.25" hidden="false" customHeight="true" outlineLevel="0" collapsed="false">
      <c r="A29" s="93" t="n">
        <f aca="false">G14</f>
        <v>0.606763452498099</v>
      </c>
      <c r="B29" s="93" t="n">
        <v>0.93718</v>
      </c>
      <c r="C29" s="93" t="n">
        <v>0.92911</v>
      </c>
      <c r="D29" s="93" t="n">
        <v>0.92098</v>
      </c>
      <c r="E29" s="93" t="n">
        <v>0.91278</v>
      </c>
      <c r="F29" s="93" t="n">
        <v>0.90449</v>
      </c>
      <c r="G29" s="93" t="n">
        <f aca="false">IFERROR((($A29*MW_2pe)+((1-$A29)*MW_mibk))/B29-(($A29*MW_2pe/B$33)+((1-$A29)*MW_mibk/B$23)),"")</f>
        <v>-0.707512575449798</v>
      </c>
      <c r="H29" s="93" t="n">
        <f aca="false">IFERROR((($A29*MW_2pe)+((1-$A29)*MW_mibk))/C29-(($A29*MW_2pe/C$33)+((1-$A29)*MW_mibk/C$23)),"")</f>
        <v>-0.751270239185814</v>
      </c>
      <c r="I29" s="93" t="n">
        <f aca="false">IFERROR((($A29*MW_2pe)+((1-$A29)*MW_mibk))/D29-(($A29*MW_2pe/D$33)+((1-$A29)*MW_mibk/D$23)),"")</f>
        <v>-0.803162987816577</v>
      </c>
      <c r="J29" s="93" t="n">
        <f aca="false">IFERROR((($A29*MW_2pe)+((1-$A29)*MW_mibk))/E29-(($A29*MW_2pe/E$33)+((1-$A29)*MW_mibk/E$23)),"")</f>
        <v>-0.861605106144182</v>
      </c>
      <c r="K29" s="93" t="n">
        <f aca="false">IFERROR((($A29*MW_2pe)+((1-$A29)*MW_mibk))/F29-(($A29*MW_2pe/F$33)+((1-$A29)*MW_mibk/F$23)),"")</f>
        <v>-0.922255278957337</v>
      </c>
    </row>
    <row r="30" customFormat="false" ht="14.25" hidden="false" customHeight="true" outlineLevel="0" collapsed="false">
      <c r="A30" s="93" t="n">
        <f aca="false">G15</f>
        <v>0.701083783054225</v>
      </c>
      <c r="B30" s="93" t="n">
        <v>0.95734</v>
      </c>
      <c r="C30" s="93" t="n">
        <v>0.94948</v>
      </c>
      <c r="D30" s="93" t="n">
        <v>0.94151</v>
      </c>
      <c r="E30" s="93" t="n">
        <v>0.93347</v>
      </c>
      <c r="F30" s="93" t="n">
        <v>0.92533</v>
      </c>
      <c r="G30" s="93" t="n">
        <f aca="false">IFERROR((($A30*MW_2pe)+((1-$A30)*MW_mibk))/B30-(($A30*MW_2pe/B$33)+((1-$A30)*MW_mibk/B$23)),"")</f>
        <v>-0.600604954231841</v>
      </c>
      <c r="H30" s="93" t="n">
        <f aca="false">IFERROR((($A30*MW_2pe)+((1-$A30)*MW_mibk))/C30-(($A30*MW_2pe/C$33)+((1-$A30)*MW_mibk/C$23)),"")</f>
        <v>-0.644345324897188</v>
      </c>
      <c r="I30" s="93" t="n">
        <f aca="false">IFERROR((($A30*MW_2pe)+((1-$A30)*MW_mibk))/D30-(($A30*MW_2pe/D$33)+((1-$A30)*MW_mibk/D$23)),"")</f>
        <v>-0.689070340077166</v>
      </c>
      <c r="J30" s="93" t="n">
        <f aca="false">IFERROR((($A30*MW_2pe)+((1-$A30)*MW_mibk))/E30-(($A30*MW_2pe/E$33)+((1-$A30)*MW_mibk/E$23)),"")</f>
        <v>-0.739349165324398</v>
      </c>
      <c r="K30" s="93" t="n">
        <f aca="false">IFERROR((($A30*MW_2pe)+((1-$A30)*MW_mibk))/F30-(($A30*MW_2pe/F$33)+((1-$A30)*MW_mibk/F$23)),"")</f>
        <v>-0.789973075510901</v>
      </c>
    </row>
    <row r="31" customFormat="false" ht="14.25" hidden="false" customHeight="true" outlineLevel="0" collapsed="false">
      <c r="A31" s="93" t="n">
        <f aca="false">G16</f>
        <v>0.798845694462126</v>
      </c>
      <c r="B31" s="93" t="n">
        <v>0.97809</v>
      </c>
      <c r="C31" s="93" t="n">
        <v>0.97039</v>
      </c>
      <c r="D31" s="93" t="n">
        <v>0.96258</v>
      </c>
      <c r="E31" s="93" t="n">
        <v>0.9547</v>
      </c>
      <c r="F31" s="93" t="n">
        <v>0.94672</v>
      </c>
      <c r="G31" s="93" t="n">
        <f aca="false">IFERROR((($A31*MW_2pe)+((1-$A31)*MW_mibk))/B31-(($A31*MW_2pe/B$33)+((1-$A31)*MW_mibk/B$23)),"")</f>
        <v>-0.455218589666828</v>
      </c>
      <c r="H31" s="93" t="n">
        <f aca="false">IFERROR((($A31*MW_2pe)+((1-$A31)*MW_mibk))/C31-(($A31*MW_2pe/C$33)+((1-$A31)*MW_mibk/C$23)),"")</f>
        <v>-0.488815604404991</v>
      </c>
      <c r="I31" s="93" t="n">
        <f aca="false">IFERROR((($A31*MW_2pe)+((1-$A31)*MW_mibk))/D31-(($A31*MW_2pe/D$33)+((1-$A31)*MW_mibk/D$23)),"")</f>
        <v>-0.522487856362446</v>
      </c>
      <c r="J31" s="93" t="n">
        <f aca="false">IFERROR((($A31*MW_2pe)+((1-$A31)*MW_mibk))/E31-(($A31*MW_2pe/E$33)+((1-$A31)*MW_mibk/E$23)),"")</f>
        <v>-0.560482044607838</v>
      </c>
      <c r="K31" s="93" t="n">
        <f aca="false">IFERROR((($A31*MW_2pe)+((1-$A31)*MW_mibk))/F31-(($A31*MW_2pe/F$33)+((1-$A31)*MW_mibk/F$23)),"")</f>
        <v>-0.598107488243116</v>
      </c>
    </row>
    <row r="32" customFormat="false" ht="14.25" hidden="false" customHeight="true" outlineLevel="0" collapsed="false">
      <c r="A32" s="93" t="n">
        <f aca="false">G17</f>
        <v>0.899940898700494</v>
      </c>
      <c r="B32" s="93" t="n">
        <v>0.99916</v>
      </c>
      <c r="C32" s="93" t="n">
        <v>0.99163</v>
      </c>
      <c r="D32" s="93" t="n">
        <v>0.98398</v>
      </c>
      <c r="E32" s="93" t="n">
        <v>0.97625</v>
      </c>
      <c r="F32" s="93" t="n">
        <v>0.96842</v>
      </c>
      <c r="G32" s="93" t="n">
        <f aca="false">IFERROR((($A32*MW_2pe)+((1-$A32)*MW_mibk))/B32-(($A32*MW_2pe/B$33)+((1-$A32)*MW_mibk/B$23)),"")</f>
        <v>-0.242506464232633</v>
      </c>
      <c r="H32" s="93" t="n">
        <f aca="false">IFERROR((($A32*MW_2pe)+((1-$A32)*MW_mibk))/C32-(($A32*MW_2pe/C$33)+((1-$A32)*MW_mibk/C$23)),"")</f>
        <v>-0.263250707788444</v>
      </c>
      <c r="I32" s="93" t="n">
        <f aca="false">IFERROR((($A32*MW_2pe)+((1-$A32)*MW_mibk))/D32-(($A32*MW_2pe/D$33)+((1-$A32)*MW_mibk/D$23)),"")</f>
        <v>-0.281734870428082</v>
      </c>
      <c r="J32" s="93" t="n">
        <f aca="false">IFERROR((($A32*MW_2pe)+((1-$A32)*MW_mibk))/E32-(($A32*MW_2pe/E$33)+((1-$A32)*MW_mibk/E$23)),"")</f>
        <v>-0.30181338109513</v>
      </c>
      <c r="K32" s="93" t="n">
        <f aca="false">IFERROR((($A32*MW_2pe)+((1-$A32)*MW_mibk))/F32-(($A32*MW_2pe/F$33)+((1-$A32)*MW_mibk/F$23)),"")</f>
        <v>-0.320527898170084</v>
      </c>
    </row>
    <row r="33" customFormat="false" ht="14.25" hidden="false" customHeight="true" outlineLevel="0" collapsed="false">
      <c r="A33" s="93" t="n">
        <f aca="false">G18</f>
        <v>1</v>
      </c>
      <c r="B33" s="93" t="n">
        <f aca="false">densidad_viscosidad_puros!G75</f>
        <v>1.01985</v>
      </c>
      <c r="C33" s="93" t="n">
        <f aca="false">densidad_viscosidad_puros!G76</f>
        <v>1.01244</v>
      </c>
      <c r="D33" s="93" t="n">
        <f aca="false">densidad_viscosidad_puros!G77</f>
        <v>1.00494</v>
      </c>
      <c r="E33" s="93" t="n">
        <f aca="false">densidad_viscosidad_puros!G78</f>
        <v>0.99736</v>
      </c>
      <c r="F33" s="93" t="n">
        <f aca="false">densidad_viscosidad_puros!G79</f>
        <v>0.9897</v>
      </c>
      <c r="G33" s="93" t="n">
        <f aca="false">IFERROR((($A33*MW_2pe)+((1-$A33)*MW_mibk))/B33-(($A33*MW_2pe/B$33)+((1-$A33)*MW_mibk/B$23)),"")</f>
        <v>0</v>
      </c>
      <c r="H33" s="93" t="n">
        <f aca="false">IFERROR((($A33*MW_2pe)+((1-$A33)*MW_mibk))/C33-(($A33*MW_2pe/C$33)+((1-$A33)*MW_mibk/C$23)),"")</f>
        <v>0</v>
      </c>
      <c r="I33" s="93" t="n">
        <f aca="false">IFERROR((($A33*MW_2pe)+((1-$A33)*MW_mibk))/D33-(($A33*MW_2pe/D$33)+((1-$A33)*MW_mibk/D$23)),"")</f>
        <v>0</v>
      </c>
      <c r="J33" s="93" t="n">
        <f aca="false">IFERROR((($A33*MW_2pe)+((1-$A33)*MW_mibk))/E33-(($A33*MW_2pe/E$33)+((1-$A33)*MW_mibk/E$23)),"")</f>
        <v>0</v>
      </c>
      <c r="K33" s="93" t="n">
        <f aca="false">IFERROR((($A33*MW_2pe)+((1-$A33)*MW_mibk))/F33-(($A33*MW_2pe/F$33)+((1-$A33)*MW_mibk/F$23)),"")</f>
        <v>0</v>
      </c>
    </row>
    <row r="34" customFormat="false" ht="14.25" hidden="false" customHeight="true" outlineLevel="0" collapsed="false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</row>
    <row r="35" customFormat="false" ht="12.75" hidden="false" customHeight="true" outlineLevel="0" collapsed="false">
      <c r="A35" s="93"/>
      <c r="B35" s="93" t="s">
        <v>214</v>
      </c>
      <c r="G35" s="93"/>
      <c r="H35" s="93"/>
      <c r="I35" s="93"/>
      <c r="J35" s="93"/>
      <c r="K35" s="93"/>
    </row>
    <row r="36" customFormat="false" ht="14.25" hidden="false" customHeight="true" outlineLevel="0" collapsed="false">
      <c r="A36" s="93" t="s">
        <v>285</v>
      </c>
      <c r="B36" s="93" t="n">
        <v>20</v>
      </c>
      <c r="C36" s="97" t="n">
        <v>30</v>
      </c>
      <c r="D36" s="93" t="n">
        <v>40</v>
      </c>
      <c r="E36" s="97" t="n">
        <v>50</v>
      </c>
      <c r="F36" s="93" t="n">
        <v>60</v>
      </c>
      <c r="G36" s="93"/>
      <c r="H36" s="97"/>
      <c r="I36" s="93"/>
      <c r="J36" s="97"/>
      <c r="K36" s="93"/>
    </row>
    <row r="37" customFormat="false" ht="14.25" hidden="false" customHeight="true" outlineLevel="0" collapsed="false">
      <c r="A37" s="93" t="n">
        <f aca="false">G8</f>
        <v>0</v>
      </c>
      <c r="B37" s="117" t="n">
        <f aca="false">densidad_viscosidad_puros!I45</f>
        <v>0.58507</v>
      </c>
      <c r="C37" s="117" t="n">
        <f aca="false">densidad_viscosidad_puros!I46</f>
        <v>0.5218</v>
      </c>
      <c r="D37" s="117" t="n">
        <f aca="false">densidad_viscosidad_puros!I47</f>
        <v>0.46729</v>
      </c>
      <c r="E37" s="117" t="n">
        <f aca="false">densidad_viscosidad_puros!I48</f>
        <v>0.42305</v>
      </c>
      <c r="F37" s="117" t="n">
        <f aca="false">densidad_viscosidad_puros!I49</f>
        <v>0.38771</v>
      </c>
      <c r="G37" s="93"/>
      <c r="H37" s="93"/>
      <c r="I37" s="93"/>
      <c r="J37" s="93"/>
      <c r="K37" s="93"/>
    </row>
    <row r="38" customFormat="false" ht="14.25" hidden="false" customHeight="true" outlineLevel="0" collapsed="false">
      <c r="A38" s="93" t="n">
        <f aca="false">G9</f>
        <v>0.105926031920863</v>
      </c>
      <c r="B38" s="93" t="n">
        <v>0.73</v>
      </c>
      <c r="C38" s="93" t="n">
        <v>0.638</v>
      </c>
      <c r="D38" s="93" t="n">
        <v>0.564</v>
      </c>
      <c r="E38" s="93" t="n">
        <v>0.502</v>
      </c>
      <c r="F38" s="93" t="n">
        <v>0.451</v>
      </c>
      <c r="G38" s="93"/>
      <c r="H38" s="93"/>
      <c r="I38" s="93"/>
      <c r="J38" s="93"/>
      <c r="K38" s="93"/>
    </row>
    <row r="39" customFormat="false" ht="14.25" hidden="false" customHeight="true" outlineLevel="0" collapsed="false">
      <c r="A39" s="93" t="n">
        <f aca="false">G10</f>
        <v>0.202551826920771</v>
      </c>
      <c r="B39" s="93" t="n">
        <v>0.918</v>
      </c>
      <c r="C39" s="93" t="n">
        <v>0.789</v>
      </c>
      <c r="D39" s="93" t="n">
        <v>0.686</v>
      </c>
      <c r="E39" s="93" t="n">
        <v>0.603</v>
      </c>
      <c r="F39" s="93" t="n">
        <v>0.536</v>
      </c>
      <c r="G39" s="93"/>
      <c r="H39" s="93"/>
      <c r="I39" s="93"/>
      <c r="J39" s="93"/>
      <c r="K39" s="93"/>
    </row>
    <row r="40" customFormat="false" ht="14.25" hidden="false" customHeight="true" outlineLevel="0" collapsed="false">
      <c r="A40" s="93" t="n">
        <f aca="false">G11</f>
        <v>0.294950185637093</v>
      </c>
      <c r="B40" s="93" t="n">
        <v>1.162</v>
      </c>
      <c r="C40" s="93" t="n">
        <v>0.981</v>
      </c>
      <c r="D40" s="93" t="n">
        <v>0.841</v>
      </c>
      <c r="E40" s="93" t="n">
        <v>0.729</v>
      </c>
      <c r="F40" s="93" t="n">
        <v>0.639</v>
      </c>
      <c r="G40" s="93"/>
      <c r="H40" s="93"/>
      <c r="I40" s="93"/>
      <c r="J40" s="93"/>
      <c r="K40" s="93"/>
    </row>
    <row r="41" customFormat="false" ht="14.25" hidden="false" customHeight="true" outlineLevel="0" collapsed="false">
      <c r="A41" s="93" t="n">
        <f aca="false">G12</f>
        <v>0.403037564900804</v>
      </c>
      <c r="B41" s="93" t="n">
        <v>1.574</v>
      </c>
      <c r="C41" s="93" t="n">
        <v>1.294</v>
      </c>
      <c r="D41" s="93" t="n">
        <v>1.084</v>
      </c>
      <c r="E41" s="93" t="n">
        <v>0.922</v>
      </c>
      <c r="F41" s="93" t="n">
        <v>0.795</v>
      </c>
      <c r="G41" s="93"/>
      <c r="H41" s="93"/>
      <c r="I41" s="93"/>
      <c r="J41" s="93"/>
      <c r="K41" s="93"/>
    </row>
    <row r="42" customFormat="false" ht="14.25" hidden="false" customHeight="true" outlineLevel="0" collapsed="false">
      <c r="A42" s="93" t="n">
        <f aca="false">G13</f>
        <v>0.503427820355105</v>
      </c>
      <c r="B42" s="93" t="n">
        <v>2.113</v>
      </c>
      <c r="C42" s="93" t="n">
        <v>1.692</v>
      </c>
      <c r="D42" s="93" t="n">
        <v>1.386</v>
      </c>
      <c r="E42" s="93" t="n">
        <v>1.157</v>
      </c>
      <c r="F42" s="93" t="n">
        <v>0.984</v>
      </c>
      <c r="G42" s="93"/>
      <c r="H42" s="93"/>
      <c r="I42" s="93"/>
      <c r="J42" s="93"/>
      <c r="K42" s="93"/>
    </row>
    <row r="43" customFormat="false" ht="14.25" hidden="false" customHeight="true" outlineLevel="0" collapsed="false">
      <c r="A43" s="93" t="n">
        <f aca="false">G14</f>
        <v>0.606763452498099</v>
      </c>
      <c r="B43" s="93" t="n">
        <v>2.971</v>
      </c>
      <c r="C43" s="93" t="n">
        <v>2.298</v>
      </c>
      <c r="D43" s="93" t="n">
        <v>1.828</v>
      </c>
      <c r="E43" s="93" t="n">
        <v>1.488</v>
      </c>
      <c r="F43" s="93" t="n">
        <v>1.236</v>
      </c>
      <c r="G43" s="93"/>
      <c r="H43" s="93"/>
      <c r="I43" s="93"/>
      <c r="J43" s="93"/>
      <c r="K43" s="93"/>
    </row>
    <row r="44" customFormat="false" ht="14.25" hidden="false" customHeight="true" outlineLevel="0" collapsed="false">
      <c r="A44" s="93" t="n">
        <f aca="false">G15</f>
        <v>0.701083783054225</v>
      </c>
      <c r="B44" s="93" t="n">
        <v>4.158</v>
      </c>
      <c r="C44" s="93" t="n">
        <v>3.1</v>
      </c>
      <c r="D44" s="93" t="n">
        <v>2.391</v>
      </c>
      <c r="E44" s="93" t="n">
        <v>1.897</v>
      </c>
      <c r="F44" s="93" t="n">
        <v>1.54</v>
      </c>
      <c r="G44" s="93"/>
      <c r="H44" s="93"/>
      <c r="I44" s="93"/>
      <c r="J44" s="93"/>
      <c r="K44" s="93"/>
    </row>
    <row r="45" customFormat="false" ht="14.25" hidden="false" customHeight="true" outlineLevel="0" collapsed="false">
      <c r="A45" s="93" t="n">
        <f aca="false">G16</f>
        <v>0.798845694462126</v>
      </c>
      <c r="B45" s="93" t="n">
        <v>6.052</v>
      </c>
      <c r="C45" s="93" t="n">
        <v>4.32</v>
      </c>
      <c r="D45" s="93" t="n">
        <v>3.213</v>
      </c>
      <c r="E45" s="93" t="n">
        <v>2.472</v>
      </c>
      <c r="F45" s="93" t="n">
        <v>1.957</v>
      </c>
      <c r="G45" s="93"/>
      <c r="H45" s="93"/>
      <c r="I45" s="93"/>
      <c r="J45" s="93"/>
      <c r="K45" s="93"/>
    </row>
    <row r="46" customFormat="false" ht="14.25" hidden="false" customHeight="true" outlineLevel="0" collapsed="false">
      <c r="A46" s="93" t="n">
        <f aca="false">G17</f>
        <v>0.899940898700494</v>
      </c>
      <c r="B46" s="93" t="n">
        <v>9.162</v>
      </c>
      <c r="C46" s="93" t="n">
        <v>6.204</v>
      </c>
      <c r="D46" s="93" t="n">
        <v>4.421</v>
      </c>
      <c r="E46" s="93" t="n">
        <v>3.284</v>
      </c>
      <c r="F46" s="93" t="n">
        <v>2.524</v>
      </c>
      <c r="G46" s="93"/>
      <c r="H46" s="93"/>
      <c r="I46" s="93"/>
      <c r="J46" s="93"/>
      <c r="K46" s="93"/>
    </row>
    <row r="47" customFormat="false" ht="14.25" hidden="false" customHeight="true" outlineLevel="0" collapsed="false">
      <c r="A47" s="93" t="n">
        <f aca="false">G18</f>
        <v>1</v>
      </c>
      <c r="B47" s="93" t="n">
        <f aca="false">densidad_viscosidad_puros!I75</f>
        <v>14.04</v>
      </c>
      <c r="C47" s="93" t="n">
        <f aca="false">densidad_viscosidad_puros!I76</f>
        <v>8.973</v>
      </c>
      <c r="D47" s="93" t="n">
        <f aca="false">densidad_viscosidad_puros!I77</f>
        <v>6.102</v>
      </c>
      <c r="E47" s="93" t="n">
        <f aca="false">densidad_viscosidad_puros!I78</f>
        <v>4.368</v>
      </c>
      <c r="F47" s="93" t="n">
        <f aca="false">densidad_viscosidad_puros!I79</f>
        <v>3.252</v>
      </c>
      <c r="G47" s="93"/>
      <c r="H47" s="93"/>
      <c r="I47" s="93"/>
      <c r="J47" s="93"/>
      <c r="K47" s="93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A22" colorId="64" zoomScale="100" zoomScaleNormal="100" zoomScalePageLayoutView="100" workbookViewId="0">
      <selection pane="topLeft" activeCell="G7" activeCellId="1" sqref="B39:F39 G7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  <c r="E1" s="106" t="s">
        <v>360</v>
      </c>
    </row>
    <row r="2" customFormat="false" ht="14.25" hidden="false" customHeight="true" outlineLevel="0" collapsed="false">
      <c r="A2" s="1" t="s">
        <v>32</v>
      </c>
      <c r="B2" s="1" t="n">
        <v>1</v>
      </c>
      <c r="C2" s="1" t="n">
        <v>122.16</v>
      </c>
    </row>
    <row r="3" customFormat="false" ht="14.25" hidden="false" customHeight="true" outlineLevel="0" collapsed="false">
      <c r="A3" s="1" t="s">
        <v>29</v>
      </c>
      <c r="B3" s="1" t="n">
        <v>2</v>
      </c>
      <c r="C3" s="1" t="n">
        <v>128.21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361</v>
      </c>
      <c r="C7" s="1" t="s">
        <v>324</v>
      </c>
      <c r="D7" s="1" t="s">
        <v>362</v>
      </c>
      <c r="E7" s="1" t="s">
        <v>363</v>
      </c>
      <c r="F7" s="1" t="s">
        <v>395</v>
      </c>
      <c r="G7" s="1" t="s">
        <v>364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93" t="n">
        <v>0</v>
      </c>
      <c r="F8" s="93" t="n">
        <v>1</v>
      </c>
      <c r="G8" s="93" t="n">
        <f aca="false">IF(AND(E8=0,F8&gt;0),0,"")</f>
        <v>0</v>
      </c>
    </row>
    <row r="9" customFormat="false" ht="14.25" hidden="false" customHeight="true" outlineLevel="0" collapsed="false">
      <c r="A9" s="1" t="n">
        <v>5</v>
      </c>
      <c r="B9" s="1" t="n">
        <f aca="false">IF(D9=0, 0, IF(D9=1, A9, (D9*A9*$C$2)/($C$3*(1-D9)+$C$2*D9)))</f>
        <v>0.478664629128953</v>
      </c>
      <c r="C9" s="1" t="n">
        <f aca="false">A9-B9</f>
        <v>4.52133537087105</v>
      </c>
      <c r="D9" s="1" t="n">
        <v>0.1</v>
      </c>
      <c r="E9" s="93" t="n">
        <v>0.4852</v>
      </c>
      <c r="F9" s="93" t="n">
        <v>4.4931</v>
      </c>
      <c r="G9" s="93" t="n">
        <f aca="false">IFERROR((E9*purity_2pe/MW_2pe)/((E9*purity_2pe/MW_2pe)+(F9*purity_2octanone/MW_2octanone)),"")</f>
        <v>0.10290767799473</v>
      </c>
    </row>
    <row r="10" customFormat="false" ht="14.25" hidden="false" customHeight="true" outlineLevel="0" collapsed="false">
      <c r="A10" s="1" t="n">
        <v>5</v>
      </c>
      <c r="B10" s="1" t="n">
        <f aca="false">IF(D10=0, 0, IF(D10=1, A10, (D10*A10*$C$2)/($C$3*(1-D10)+$C$2*D10)))</f>
        <v>0.961889763779527</v>
      </c>
      <c r="C10" s="1" t="n">
        <f aca="false">A10-B10</f>
        <v>4.03811023622047</v>
      </c>
      <c r="D10" s="1" t="n">
        <v>0.2</v>
      </c>
      <c r="E10" s="93" t="n">
        <v>0.864</v>
      </c>
      <c r="F10" s="93" t="n">
        <v>4.0686</v>
      </c>
      <c r="G10" s="93" t="n">
        <f aca="false">IFERROR((E10*purity_2pe/MW_2pe)/((E10*purity_2pe/MW_2pe)+(F10*purity_2octanone/MW_2octanone)),"")</f>
        <v>0.184061205395094</v>
      </c>
    </row>
    <row r="11" customFormat="false" ht="14.25" hidden="false" customHeight="true" outlineLevel="0" collapsed="false">
      <c r="A11" s="1" t="n">
        <v>5</v>
      </c>
      <c r="B11" s="1" t="n">
        <f aca="false">IF(D11=0, 0, IF(D11=1, A11, (D11*A11*$C$2)/($C$3*(1-D11)+$C$2*D11)))</f>
        <v>1.4497408916492</v>
      </c>
      <c r="C11" s="1" t="n">
        <f aca="false">A11-B11</f>
        <v>3.55025910835081</v>
      </c>
      <c r="D11" s="1" t="n">
        <v>0.3</v>
      </c>
      <c r="E11" s="93" t="n">
        <v>1.3176</v>
      </c>
      <c r="F11" s="93" t="n">
        <v>3.5013</v>
      </c>
      <c r="G11" s="93" t="n">
        <f aca="false">IFERROR((E11*purity_2pe/MW_2pe)/((E11*purity_2pe/MW_2pe)+(F11*purity_2octanone/MW_2octanone)),"")</f>
        <v>0.285587520662777</v>
      </c>
    </row>
    <row r="12" customFormat="false" ht="14.25" hidden="false" customHeight="true" outlineLevel="0" collapsed="false">
      <c r="A12" s="1" t="n">
        <v>5</v>
      </c>
      <c r="B12" s="1" t="n">
        <f aca="false">IF(D12=0, 0, IF(D12=1, A12, (D12*A12*$C$2)/($C$3*(1-D12)+$C$2*D12)))</f>
        <v>1.94228476031481</v>
      </c>
      <c r="C12" s="1" t="n">
        <f aca="false">A12-B12</f>
        <v>3.05771523968519</v>
      </c>
      <c r="D12" s="1" t="n">
        <v>0.4</v>
      </c>
      <c r="E12" s="93" t="n">
        <v>1.9045</v>
      </c>
      <c r="F12" s="93" t="n">
        <v>2.5546</v>
      </c>
      <c r="G12" s="93" t="n">
        <f aca="false">IFERROR((E12*purity_2pe/MW_2pe)/((E12*purity_2pe/MW_2pe)+(F12*purity_2octanone/MW_2octanone)),"")</f>
        <v>0.441946578451035</v>
      </c>
    </row>
    <row r="13" customFormat="false" ht="14.25" hidden="false" customHeight="true" outlineLevel="0" collapsed="false">
      <c r="A13" s="1" t="n">
        <v>5</v>
      </c>
      <c r="B13" s="1" t="n">
        <f aca="false">IF(D13=0, 0, IF(D13=1, A13, (D13*A13*$C$2)/($C$3*(1-D13)+$C$2*D13)))</f>
        <v>2.43958940767664</v>
      </c>
      <c r="C13" s="1" t="n">
        <f aca="false">A13-B13</f>
        <v>2.56041059232336</v>
      </c>
      <c r="D13" s="1" t="n">
        <v>0.5</v>
      </c>
      <c r="E13" s="93" t="n">
        <v>2.4427</v>
      </c>
      <c r="F13" s="93" t="n">
        <v>2.515</v>
      </c>
      <c r="G13" s="93" t="n">
        <f aca="false">IFERROR((E13*purity_2pe/MW_2pe)/((E13*purity_2pe/MW_2pe)+(F13*purity_2octanone/MW_2octanone)),"")</f>
        <v>0.507809776347763</v>
      </c>
    </row>
    <row r="14" customFormat="false" ht="14.25" hidden="false" customHeight="true" outlineLevel="0" collapsed="false">
      <c r="A14" s="1" t="n">
        <v>5</v>
      </c>
      <c r="B14" s="1" t="n">
        <f aca="false">IF(D14=0, 0, IF(D14=1, A14, (D14*A14*$C$2)/($C$3*(1-D14)+$C$2*D14)))</f>
        <v>2.94172419328945</v>
      </c>
      <c r="C14" s="1" t="n">
        <f aca="false">A14-B14</f>
        <v>2.05827580671055</v>
      </c>
      <c r="D14" s="1" t="n">
        <v>0.6</v>
      </c>
      <c r="E14" s="93" t="n">
        <v>2.8963</v>
      </c>
      <c r="F14" s="93" t="n">
        <v>2.0253</v>
      </c>
      <c r="G14" s="93" t="n">
        <f aca="false">IFERROR((E14*purity_2pe/MW_2pe)/((E14*purity_2pe/MW_2pe)+(F14*purity_2octanone/MW_2octanone)),"")</f>
        <v>0.603034895845163</v>
      </c>
    </row>
    <row r="15" customFormat="false" ht="14.25" hidden="false" customHeight="true" outlineLevel="0" collapsed="false">
      <c r="A15" s="1" t="n">
        <v>5</v>
      </c>
      <c r="B15" s="1" t="n">
        <f aca="false">IF(D15=0, 0, IF(D15=1, A15, (D15*A15*$C$2)/($C$3*(1-D15)+$C$2*D15)))</f>
        <v>3.44875983061101</v>
      </c>
      <c r="C15" s="1" t="n">
        <f aca="false">A15-B15</f>
        <v>1.55124016938899</v>
      </c>
      <c r="D15" s="1" t="n">
        <v>0.7</v>
      </c>
      <c r="E15" s="93" t="n">
        <v>3.3862</v>
      </c>
      <c r="F15" s="93" t="n">
        <v>1.5166</v>
      </c>
      <c r="G15" s="93" t="n">
        <f aca="false">IFERROR((E15*purity_2pe/MW_2pe)/((E15*purity_2pe/MW_2pe)+(F15*purity_2octanone/MW_2octanone)),"")</f>
        <v>0.703422225953614</v>
      </c>
    </row>
    <row r="16" customFormat="false" ht="14.25" hidden="false" customHeight="true" outlineLevel="0" collapsed="false">
      <c r="A16" s="1" t="n">
        <v>5</v>
      </c>
      <c r="B16" s="1" t="n">
        <f aca="false">IF(D16=0, 0, IF(D16=1, A16, (D16*A16*$C$2)/($C$3*(1-D16)+$C$2*D16)))</f>
        <v>3.9607684201994</v>
      </c>
      <c r="C16" s="1" t="n">
        <f aca="false">A16-B16</f>
        <v>1.0392315798006</v>
      </c>
      <c r="D16" s="1" t="n">
        <v>0.8</v>
      </c>
      <c r="E16" s="93" t="n">
        <v>3.9224</v>
      </c>
      <c r="F16" s="93" t="n">
        <v>1.0202</v>
      </c>
      <c r="G16" s="93" t="n">
        <f aca="false">IFERROR((E16*purity_2pe/MW_2pe)/((E16*purity_2pe/MW_2pe)+(F16*purity_2octanone/MW_2octanone)),"")</f>
        <v>0.803310581963571</v>
      </c>
    </row>
    <row r="17" customFormat="false" ht="14.25" hidden="false" customHeight="true" outlineLevel="0" collapsed="false">
      <c r="A17" s="1" t="n">
        <v>5</v>
      </c>
      <c r="B17" s="1" t="n">
        <f aca="false">IF(D17=0, 0, IF(D17=1, A17, (D17*A17*$C$2)/($C$3*(1-D17)+$C$2*D17)))</f>
        <v>4.47782348389199</v>
      </c>
      <c r="C17" s="1" t="n">
        <f aca="false">A17-B17</f>
        <v>0.522176516108011</v>
      </c>
      <c r="D17" s="1" t="n">
        <v>0.9</v>
      </c>
      <c r="E17" s="93" t="n">
        <v>4.4355</v>
      </c>
      <c r="F17" s="93" t="n">
        <v>0.518</v>
      </c>
      <c r="G17" s="93" t="n">
        <f aca="false">IFERROR((E17*purity_2pe/MW_2pe)/((E17*purity_2pe/MW_2pe)+(F17*purity_2octanone/MW_2octanone)),"")</f>
        <v>0.90095052307922</v>
      </c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93" t="n">
        <v>1</v>
      </c>
      <c r="F18" s="93" t="n">
        <v>0</v>
      </c>
      <c r="G18" s="93" t="n">
        <f aca="false">IF(AND(E18&gt;0,F18=0),1,IFERROR((E18/MW_2pe)/((E18/MW_2pe)+(F18/MW_2octanone)),""))</f>
        <v>1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93" t="s">
        <v>303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customFormat="false" ht="12.75" hidden="false" customHeight="true" outlineLevel="0" collapsed="false">
      <c r="A21" s="93"/>
      <c r="B21" s="93" t="s">
        <v>212</v>
      </c>
      <c r="G21" s="93" t="s">
        <v>284</v>
      </c>
    </row>
    <row r="22" customFormat="false" ht="14.25" hidden="false" customHeight="true" outlineLevel="0" collapsed="false">
      <c r="A22" s="93" t="s">
        <v>285</v>
      </c>
      <c r="B22" s="93" t="n">
        <v>20</v>
      </c>
      <c r="C22" s="97" t="n">
        <v>30</v>
      </c>
      <c r="D22" s="93" t="n">
        <v>40</v>
      </c>
      <c r="E22" s="97" t="n">
        <v>50</v>
      </c>
      <c r="F22" s="93" t="n">
        <v>60</v>
      </c>
      <c r="G22" s="93" t="n">
        <v>20</v>
      </c>
      <c r="H22" s="97" t="n">
        <v>30</v>
      </c>
      <c r="I22" s="93" t="n">
        <v>40</v>
      </c>
      <c r="J22" s="97" t="n">
        <v>50</v>
      </c>
      <c r="K22" s="93" t="n">
        <v>60</v>
      </c>
    </row>
    <row r="23" customFormat="false" ht="14.25" hidden="false" customHeight="true" outlineLevel="0" collapsed="false">
      <c r="A23" s="93" t="n">
        <f aca="false">G8</f>
        <v>0</v>
      </c>
      <c r="B23" s="93" t="n">
        <f aca="false">densidad_viscosidad_puros!G55</f>
        <v>0.81906</v>
      </c>
      <c r="C23" s="93" t="n">
        <f aca="false">densidad_viscosidad_puros!G56</f>
        <v>0.81089</v>
      </c>
      <c r="D23" s="93" t="n">
        <f aca="false">densidad_viscosidad_puros!G57</f>
        <v>0.80264</v>
      </c>
      <c r="E23" s="93" t="n">
        <f aca="false">densidad_viscosidad_puros!G58</f>
        <v>0.79435</v>
      </c>
      <c r="F23" s="93" t="n">
        <f aca="false">densidad_viscosidad_puros!G59</f>
        <v>0.78598</v>
      </c>
      <c r="G23" s="93" t="n">
        <f aca="false">IFERROR((($A23*MW_2pe)+((1-$A23)*MW_2octanone))/B23-(($A23*MW_2pe/B$33)+((1-$A23)*MW_2octanone/B$23)),"")</f>
        <v>0</v>
      </c>
      <c r="H23" s="93" t="n">
        <f aca="false">IFERROR((($A23*MW_2pe)+((1-$A23)*MW_2octanone))/C23-(($A23*MW_2pe/C$33)+((1-$A23)*MW_2octanone/C$23)),"")</f>
        <v>0</v>
      </c>
      <c r="I23" s="93" t="n">
        <f aca="false">IFERROR((($A23*MW_2pe)+((1-$A23)*MW_2octanone))/D23-(($A23*MW_2pe/D$33)+((1-$A23)*MW_2octanone/D$23)),"")</f>
        <v>0</v>
      </c>
      <c r="J23" s="93" t="n">
        <f aca="false">IFERROR((($A23*MW_2pe)+((1-$A23)*MW_2octanone))/E23-(($A23*MW_2pe/E$33)+((1-$A23)*MW_2octanone/E$23)),"")</f>
        <v>0</v>
      </c>
      <c r="K23" s="93" t="n">
        <f aca="false">IFERROR((($A23*MW_2pe)+((1-$A23)*MW_2octanone))/F23-(($A23*MW_2pe/F$33)+((1-$A23)*MW_2octanone/F$23)),"")</f>
        <v>0</v>
      </c>
    </row>
    <row r="24" customFormat="false" ht="14.25" hidden="false" customHeight="true" outlineLevel="0" collapsed="false">
      <c r="A24" s="93" t="n">
        <f aca="false">G9</f>
        <v>0.10290767799473</v>
      </c>
      <c r="B24" s="93" t="n">
        <v>0.83583</v>
      </c>
      <c r="C24" s="93" t="n">
        <v>0.82771</v>
      </c>
      <c r="D24" s="93" t="n">
        <v>0.8195</v>
      </c>
      <c r="E24" s="93" t="n">
        <v>0.81123</v>
      </c>
      <c r="F24" s="93" t="n">
        <v>0.8029</v>
      </c>
      <c r="G24" s="93" t="n">
        <f aca="false">IFERROR((($A24*MW_2pe)+((1-$A24)*MW_2octanone))/B24-(($A24*MW_2pe/B$33)+((1-$A24)*MW_2octanone/B$23)),"")</f>
        <v>-0.103603517482213</v>
      </c>
      <c r="H24" s="93" t="n">
        <f aca="false">IFERROR((($A24*MW_2pe)+((1-$A24)*MW_2octanone))/C24-(($A24*MW_2pe/C$33)+((1-$A24)*MW_2octanone/C$23)),"")</f>
        <v>-0.111145086795119</v>
      </c>
      <c r="I24" s="93" t="n">
        <f aca="false">IFERROR((($A24*MW_2pe)+((1-$A24)*MW_2octanone))/D24-(($A24*MW_2pe/D$33)+((1-$A24)*MW_2octanone/D$23)),"")</f>
        <v>-0.117449203632162</v>
      </c>
      <c r="J24" s="93" t="n">
        <f aca="false">IFERROR((($A24*MW_2pe)+((1-$A24)*MW_2octanone))/E24-(($A24*MW_2pe/E$33)+((1-$A24)*MW_2octanone/E$23)),"")</f>
        <v>-0.120843649113198</v>
      </c>
      <c r="K24" s="93" t="n">
        <f aca="false">IFERROR((($A24*MW_2pe)+((1-$A24)*MW_2octanone))/F24-(($A24*MW_2pe/F$33)+((1-$A24)*MW_2octanone/F$23)),"")</f>
        <v>-0.128589679622337</v>
      </c>
    </row>
    <row r="25" customFormat="false" ht="14.25" hidden="false" customHeight="true" outlineLevel="0" collapsed="false">
      <c r="A25" s="93" t="n">
        <f aca="false">G10</f>
        <v>0.184061205395094</v>
      </c>
      <c r="B25" s="93" t="n">
        <v>0.8497</v>
      </c>
      <c r="C25" s="93" t="n">
        <v>0.84158</v>
      </c>
      <c r="D25" s="93" t="n">
        <v>0.83341</v>
      </c>
      <c r="E25" s="93" t="n">
        <v>0.82519</v>
      </c>
      <c r="F25" s="93" t="n">
        <v>0.81688</v>
      </c>
      <c r="G25" s="93" t="n">
        <f aca="false">IFERROR((($A25*MW_2pe)+((1-$A25)*MW_2octanone))/B25-(($A25*MW_2pe/B$33)+((1-$A25)*MW_2octanone/B$23)),"")</f>
        <v>-0.190702765452215</v>
      </c>
      <c r="H25" s="93" t="n">
        <f aca="false">IFERROR((($A25*MW_2pe)+((1-$A25)*MW_2octanone))/C25-(($A25*MW_2pe/C$33)+((1-$A25)*MW_2octanone/C$23)),"")</f>
        <v>-0.195697644342005</v>
      </c>
      <c r="I25" s="93" t="n">
        <f aca="false">IFERROR((($A25*MW_2pe)+((1-$A25)*MW_2octanone))/D25-(($A25*MW_2pe/D$33)+((1-$A25)*MW_2octanone/D$23)),"")</f>
        <v>-0.206989803886046</v>
      </c>
      <c r="J25" s="93" t="n">
        <f aca="false">IFERROR((($A25*MW_2pe)+((1-$A25)*MW_2octanone))/E25-(($A25*MW_2pe/E$33)+((1-$A25)*MW_2octanone/E$23)),"")</f>
        <v>-0.218110541744863</v>
      </c>
      <c r="K25" s="93" t="n">
        <f aca="false">IFERROR((($A25*MW_2pe)+((1-$A25)*MW_2octanone))/F25-(($A25*MW_2pe/F$33)+((1-$A25)*MW_2octanone/F$23)),"")</f>
        <v>-0.228198268996039</v>
      </c>
    </row>
    <row r="26" customFormat="false" ht="14.25" hidden="false" customHeight="true" outlineLevel="0" collapsed="false">
      <c r="A26" s="93" t="n">
        <f aca="false">G11</f>
        <v>0.285587520662777</v>
      </c>
      <c r="B26" s="93" t="n">
        <v>0.86769</v>
      </c>
      <c r="C26" s="93" t="n">
        <v>0.85968</v>
      </c>
      <c r="D26" s="93" t="n">
        <v>0.85158</v>
      </c>
      <c r="E26" s="93" t="n">
        <v>0.84341</v>
      </c>
      <c r="F26" s="93" t="n">
        <v>0.83517</v>
      </c>
      <c r="G26" s="93" t="n">
        <f aca="false">IFERROR((($A26*MW_2pe)+((1-$A26)*MW_2octanone))/B26-(($A26*MW_2pe/B$33)+((1-$A26)*MW_2octanone/B$23)),"")</f>
        <v>-0.268659945245247</v>
      </c>
      <c r="H26" s="93" t="n">
        <f aca="false">IFERROR((($A26*MW_2pe)+((1-$A26)*MW_2octanone))/C26-(($A26*MW_2pe/C$33)+((1-$A26)*MW_2octanone/C$23)),"")</f>
        <v>-0.287557469970778</v>
      </c>
      <c r="I26" s="93" t="n">
        <f aca="false">IFERROR((($A26*MW_2pe)+((1-$A26)*MW_2octanone))/D26-(($A26*MW_2pe/D$33)+((1-$A26)*MW_2octanone/D$23)),"")</f>
        <v>-0.306320764353046</v>
      </c>
      <c r="J26" s="93" t="n">
        <f aca="false">IFERROR((($A26*MW_2pe)+((1-$A26)*MW_2octanone))/E26-(($A26*MW_2pe/E$33)+((1-$A26)*MW_2octanone/E$23)),"")</f>
        <v>-0.322355196681087</v>
      </c>
      <c r="K26" s="93" t="n">
        <f aca="false">IFERROR((($A26*MW_2pe)+((1-$A26)*MW_2octanone))/F26-(($A26*MW_2pe/F$33)+((1-$A26)*MW_2octanone/F$23)),"")</f>
        <v>-0.34142124009324</v>
      </c>
    </row>
    <row r="27" customFormat="false" ht="14.25" hidden="false" customHeight="true" outlineLevel="0" collapsed="false">
      <c r="A27" s="93" t="n">
        <f aca="false">G12</f>
        <v>0.441946578451035</v>
      </c>
      <c r="B27" s="93" t="n">
        <v>0.897</v>
      </c>
      <c r="C27" s="93" t="n">
        <v>0.8891</v>
      </c>
      <c r="D27" s="93" t="n">
        <v>0.88111</v>
      </c>
      <c r="E27" s="93" t="n">
        <v>0.87304</v>
      </c>
      <c r="F27" s="93" t="n">
        <v>0.86489</v>
      </c>
      <c r="G27" s="93" t="n">
        <f aca="false">IFERROR((($A27*MW_2pe)+((1-$A27)*MW_2octanone))/B27-(($A27*MW_2pe/B$33)+((1-$A27)*MW_2octanone/B$23)),"")</f>
        <v>-0.340021897775301</v>
      </c>
      <c r="H27" s="93" t="n">
        <f aca="false">IFERROR((($A27*MW_2pe)+((1-$A27)*MW_2octanone))/C27-(($A27*MW_2pe/C$33)+((1-$A27)*MW_2octanone/C$23)),"")</f>
        <v>-0.364067546856035</v>
      </c>
      <c r="I27" s="93" t="n">
        <f aca="false">IFERROR((($A27*MW_2pe)+((1-$A27)*MW_2octanone))/D27-(($A27*MW_2pe/D$33)+((1-$A27)*MW_2octanone/D$23)),"")</f>
        <v>-0.388588771122443</v>
      </c>
      <c r="J27" s="93" t="n">
        <f aca="false">IFERROR((($A27*MW_2pe)+((1-$A27)*MW_2octanone))/E27-(($A27*MW_2pe/E$33)+((1-$A27)*MW_2octanone/E$23)),"")</f>
        <v>-0.410200600827778</v>
      </c>
      <c r="K27" s="93" t="n">
        <f aca="false">IFERROR((($A27*MW_2pe)+((1-$A27)*MW_2octanone))/F27-(($A27*MW_2pe/F$33)+((1-$A27)*MW_2octanone/F$23)),"")</f>
        <v>-0.433363134466987</v>
      </c>
    </row>
    <row r="28" customFormat="false" ht="14.25" hidden="false" customHeight="true" outlineLevel="0" collapsed="false">
      <c r="A28" s="93" t="n">
        <f aca="false">G13</f>
        <v>0.507809776347763</v>
      </c>
      <c r="B28" s="93" t="n">
        <v>0.90981</v>
      </c>
      <c r="C28" s="93" t="n">
        <v>0.90208</v>
      </c>
      <c r="D28" s="93" t="n">
        <v>0.89413</v>
      </c>
      <c r="E28" s="93" t="n">
        <v>0.88611</v>
      </c>
      <c r="F28" s="93" t="n">
        <v>0.878</v>
      </c>
      <c r="G28" s="93" t="n">
        <f aca="false">IFERROR((($A28*MW_2pe)+((1-$A28)*MW_2octanone))/B28-(($A28*MW_2pe/B$33)+((1-$A28)*MW_2octanone/B$23)),"")</f>
        <v>-0.327964927951115</v>
      </c>
      <c r="H28" s="93" t="n">
        <f aca="false">IFERROR((($A28*MW_2pe)+((1-$A28)*MW_2octanone))/C28-(($A28*MW_2pe/C$33)+((1-$A28)*MW_2octanone/C$23)),"")</f>
        <v>-0.37078266874525</v>
      </c>
      <c r="I28" s="93" t="n">
        <f aca="false">IFERROR((($A28*MW_2pe)+((1-$A28)*MW_2octanone))/D28-(($A28*MW_2pe/D$33)+((1-$A28)*MW_2octanone/D$23)),"")</f>
        <v>-0.394528168572037</v>
      </c>
      <c r="J28" s="93" t="n">
        <f aca="false">IFERROR((($A28*MW_2pe)+((1-$A28)*MW_2octanone))/E28-(($A28*MW_2pe/E$33)+((1-$A28)*MW_2octanone/E$23)),"")</f>
        <v>-0.41746789758011</v>
      </c>
      <c r="K28" s="93" t="n">
        <f aca="false">IFERROR((($A28*MW_2pe)+((1-$A28)*MW_2octanone))/F28-(($A28*MW_2pe/F$33)+((1-$A28)*MW_2octanone/F$23)),"")</f>
        <v>-0.44038988850977</v>
      </c>
    </row>
    <row r="29" customFormat="false" ht="14.25" hidden="false" customHeight="true" outlineLevel="0" collapsed="false">
      <c r="A29" s="93" t="n">
        <f aca="false">G14</f>
        <v>0.603034895845163</v>
      </c>
      <c r="B29" s="93" t="n">
        <v>0.92932</v>
      </c>
      <c r="C29" s="93" t="n">
        <v>0.92155</v>
      </c>
      <c r="D29" s="93" t="n">
        <v>0.91368</v>
      </c>
      <c r="E29" s="93" t="n">
        <v>0.90572</v>
      </c>
      <c r="F29" s="93" t="n">
        <v>0.8977</v>
      </c>
      <c r="G29" s="93" t="n">
        <f aca="false">IFERROR((($A29*MW_2pe)+((1-$A29)*MW_2octanone))/B29-(($A29*MW_2pe/B$33)+((1-$A29)*MW_2octanone/B$23)),"")</f>
        <v>-0.335846964846837</v>
      </c>
      <c r="H29" s="93" t="n">
        <f aca="false">IFERROR((($A29*MW_2pe)+((1-$A29)*MW_2octanone))/C29-(($A29*MW_2pe/C$33)+((1-$A29)*MW_2octanone/C$23)),"")</f>
        <v>-0.360468987520193</v>
      </c>
      <c r="I29" s="93" t="n">
        <f aca="false">IFERROR((($A29*MW_2pe)+((1-$A29)*MW_2octanone))/D29-(($A29*MW_2pe/D$33)+((1-$A29)*MW_2octanone/D$23)),"")</f>
        <v>-0.384376257475793</v>
      </c>
      <c r="J29" s="93" t="n">
        <f aca="false">IFERROR((($A29*MW_2pe)+((1-$A29)*MW_2octanone))/E29-(($A29*MW_2pe/E$33)+((1-$A29)*MW_2octanone/E$23)),"")</f>
        <v>-0.405104484072155</v>
      </c>
      <c r="K29" s="93" t="n">
        <f aca="false">IFERROR((($A29*MW_2pe)+((1-$A29)*MW_2octanone))/F29-(($A29*MW_2pe/F$33)+((1-$A29)*MW_2octanone/F$23)),"")</f>
        <v>-0.430410004385976</v>
      </c>
    </row>
    <row r="30" customFormat="false" ht="14.25" hidden="false" customHeight="true" outlineLevel="0" collapsed="false">
      <c r="A30" s="93" t="n">
        <f aca="false">G15</f>
        <v>0.703422225953614</v>
      </c>
      <c r="B30" s="93" t="n">
        <v>0.95074</v>
      </c>
      <c r="C30" s="93" t="n">
        <v>0.94302</v>
      </c>
      <c r="D30" s="93" t="n">
        <v>0.93523</v>
      </c>
      <c r="E30" s="93" t="n">
        <v>0.92737</v>
      </c>
      <c r="F30" s="93" t="n">
        <v>0.91942</v>
      </c>
      <c r="G30" s="93" t="n">
        <f aca="false">IFERROR((($A30*MW_2pe)+((1-$A30)*MW_2octanone))/B30-(($A30*MW_2pe/B$33)+((1-$A30)*MW_2octanone/B$23)),"")</f>
        <v>-0.305135583584274</v>
      </c>
      <c r="H30" s="93" t="n">
        <f aca="false">IFERROR((($A30*MW_2pe)+((1-$A30)*MW_2octanone))/C30-(($A30*MW_2pe/C$33)+((1-$A30)*MW_2octanone/C$23)),"")</f>
        <v>-0.32222911361788</v>
      </c>
      <c r="I30" s="93" t="n">
        <f aca="false">IFERROR((($A30*MW_2pe)+((1-$A30)*MW_2octanone))/D30-(($A30*MW_2pe/D$33)+((1-$A30)*MW_2octanone/D$23)),"")</f>
        <v>-0.342776828710186</v>
      </c>
      <c r="J30" s="93" t="n">
        <f aca="false">IFERROR((($A30*MW_2pe)+((1-$A30)*MW_2octanone))/E30-(($A30*MW_2pe/E$33)+((1-$A30)*MW_2octanone/E$23)),"")</f>
        <v>-0.363701168643701</v>
      </c>
      <c r="K30" s="93" t="n">
        <f aca="false">IFERROR((($A30*MW_2pe)+((1-$A30)*MW_2octanone))/F30-(($A30*MW_2pe/F$33)+((1-$A30)*MW_2octanone/F$23)),"")</f>
        <v>-0.384548194044328</v>
      </c>
    </row>
    <row r="31" customFormat="false" ht="14.25" hidden="false" customHeight="true" outlineLevel="0" collapsed="false">
      <c r="A31" s="93" t="n">
        <f aca="false">G16</f>
        <v>0.803310581963571</v>
      </c>
      <c r="B31" s="93" t="n">
        <v>0.97288</v>
      </c>
      <c r="C31" s="93" t="n">
        <v>0.9653</v>
      </c>
      <c r="D31" s="93" t="n">
        <v>0.9576</v>
      </c>
      <c r="E31" s="93" t="n">
        <v>0.94983</v>
      </c>
      <c r="F31" s="93" t="n">
        <v>0.94197</v>
      </c>
      <c r="G31" s="93" t="n">
        <f aca="false">IFERROR((($A31*MW_2pe)+((1-$A31)*MW_2octanone))/B31-(($A31*MW_2pe/B$33)+((1-$A31)*MW_2octanone/B$23)),"")</f>
        <v>-0.222335659552982</v>
      </c>
      <c r="H31" s="93" t="n">
        <f aca="false">IFERROR((($A31*MW_2pe)+((1-$A31)*MW_2octanone))/C31-(($A31*MW_2pe/C$33)+((1-$A31)*MW_2octanone/C$23)),"")</f>
        <v>-0.24118268048197</v>
      </c>
      <c r="I31" s="93" t="n">
        <f aca="false">IFERROR((($A31*MW_2pe)+((1-$A31)*MW_2octanone))/D31-(($A31*MW_2pe/D$33)+((1-$A31)*MW_2octanone/D$23)),"")</f>
        <v>-0.256705096269656</v>
      </c>
      <c r="J31" s="93" t="n">
        <f aca="false">IFERROR((($A31*MW_2pe)+((1-$A31)*MW_2octanone))/E31-(($A31*MW_2pe/E$33)+((1-$A31)*MW_2octanone/E$23)),"")</f>
        <v>-0.273007273572915</v>
      </c>
      <c r="K31" s="93" t="n">
        <f aca="false">IFERROR((($A31*MW_2pe)+((1-$A31)*MW_2octanone))/F31-(($A31*MW_2pe/F$33)+((1-$A31)*MW_2octanone/F$23)),"")</f>
        <v>-0.288979703359644</v>
      </c>
    </row>
    <row r="32" customFormat="false" ht="14.25" hidden="false" customHeight="true" outlineLevel="0" collapsed="false">
      <c r="A32" s="93" t="n">
        <f aca="false">G17</f>
        <v>0.90095052307922</v>
      </c>
      <c r="B32" s="93" t="n">
        <v>0.99558</v>
      </c>
      <c r="C32" s="93" t="n">
        <v>0.9881</v>
      </c>
      <c r="D32" s="93" t="n">
        <v>0.9805</v>
      </c>
      <c r="E32" s="93" t="n">
        <v>0.97283</v>
      </c>
      <c r="F32" s="93" t="n">
        <v>0.96506</v>
      </c>
      <c r="G32" s="93" t="n">
        <f aca="false">IFERROR((($A32*MW_2pe)+((1-$A32)*MW_2octanone))/B32-(($A32*MW_2pe/B$33)+((1-$A32)*MW_2octanone/B$23)),"")</f>
        <v>-0.118212127099653</v>
      </c>
      <c r="H32" s="93" t="n">
        <f aca="false">IFERROR((($A32*MW_2pe)+((1-$A32)*MW_2octanone))/C32-(($A32*MW_2pe/C$33)+((1-$A32)*MW_2octanone/C$23)),"")</f>
        <v>-0.130848318865034</v>
      </c>
      <c r="I32" s="93" t="n">
        <f aca="false">IFERROR((($A32*MW_2pe)+((1-$A32)*MW_2octanone))/D32-(($A32*MW_2pe/D$33)+((1-$A32)*MW_2octanone/D$23)),"")</f>
        <v>-0.140134505649669</v>
      </c>
      <c r="J32" s="93" t="n">
        <f aca="false">IFERROR((($A32*MW_2pe)+((1-$A32)*MW_2octanone))/E32-(($A32*MW_2pe/E$33)+((1-$A32)*MW_2octanone/E$23)),"")</f>
        <v>-0.150496372925829</v>
      </c>
      <c r="K32" s="93" t="n">
        <f aca="false">IFERROR((($A32*MW_2pe)+((1-$A32)*MW_2octanone))/F32-(($A32*MW_2pe/F$33)+((1-$A32)*MW_2octanone/F$23)),"")</f>
        <v>-0.158854023995218</v>
      </c>
    </row>
    <row r="33" customFormat="false" ht="14.25" hidden="false" customHeight="true" outlineLevel="0" collapsed="false">
      <c r="A33" s="93" t="n">
        <f aca="false">G18</f>
        <v>1</v>
      </c>
      <c r="B33" s="93" t="n">
        <f aca="false">densidad_viscosidad_puros!G75</f>
        <v>1.01985</v>
      </c>
      <c r="C33" s="93" t="n">
        <f aca="false">densidad_viscosidad_puros!G76</f>
        <v>1.01244</v>
      </c>
      <c r="D33" s="93" t="n">
        <f aca="false">densidad_viscosidad_puros!G77</f>
        <v>1.00494</v>
      </c>
      <c r="E33" s="93" t="n">
        <f aca="false">densidad_viscosidad_puros!G78</f>
        <v>0.99736</v>
      </c>
      <c r="F33" s="93" t="n">
        <f aca="false">densidad_viscosidad_puros!G79</f>
        <v>0.9897</v>
      </c>
      <c r="G33" s="93" t="n">
        <f aca="false">IFERROR((($A33*MW_2pe)+((1-$A33)*MW_2octanone))/B33-(($A33*MW_2pe/B$33)+((1-$A33)*MW_2octanone/B$23)),"")</f>
        <v>0</v>
      </c>
      <c r="H33" s="93" t="n">
        <f aca="false">IFERROR((($A33*MW_2pe)+((1-$A33)*MW_2octanone))/C33-(($A33*MW_2pe/C$33)+((1-$A33)*MW_2octanone/C$23)),"")</f>
        <v>0</v>
      </c>
      <c r="I33" s="93" t="n">
        <f aca="false">IFERROR((($A33*MW_2pe)+((1-$A33)*MW_2octanone))/D33-(($A33*MW_2pe/D$33)+((1-$A33)*MW_2octanone/D$23)),"")</f>
        <v>0</v>
      </c>
      <c r="J33" s="93" t="n">
        <f aca="false">IFERROR((($A33*MW_2pe)+((1-$A33)*MW_2octanone))/E33-(($A33*MW_2pe/E$33)+((1-$A33)*MW_2octanone/E$23)),"")</f>
        <v>0</v>
      </c>
      <c r="K33" s="93" t="n">
        <f aca="false">IFERROR((($A33*MW_2pe)+((1-$A33)*MW_2octanone))/F33-(($A33*MW_2pe/F$33)+((1-$A33)*MW_2octanone/F$23)),"")</f>
        <v>0</v>
      </c>
    </row>
    <row r="34" customFormat="false" ht="14.25" hidden="false" customHeight="true" outlineLevel="0" collapsed="false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</row>
    <row r="35" customFormat="false" ht="12.75" hidden="false" customHeight="true" outlineLevel="0" collapsed="false">
      <c r="A35" s="93"/>
      <c r="B35" s="93" t="s">
        <v>214</v>
      </c>
      <c r="G35" s="93"/>
      <c r="H35" s="93"/>
      <c r="I35" s="93"/>
      <c r="J35" s="93"/>
      <c r="K35" s="93"/>
    </row>
    <row r="36" customFormat="false" ht="14.25" hidden="false" customHeight="true" outlineLevel="0" collapsed="false">
      <c r="A36" s="93" t="s">
        <v>285</v>
      </c>
      <c r="B36" s="93" t="n">
        <v>20</v>
      </c>
      <c r="C36" s="97" t="n">
        <v>30</v>
      </c>
      <c r="D36" s="93" t="n">
        <v>40</v>
      </c>
      <c r="E36" s="97" t="n">
        <v>50</v>
      </c>
      <c r="F36" s="93" t="n">
        <v>60</v>
      </c>
      <c r="G36" s="93"/>
      <c r="H36" s="97"/>
      <c r="I36" s="93"/>
      <c r="J36" s="97"/>
      <c r="K36" s="93"/>
    </row>
    <row r="37" customFormat="false" ht="14.25" hidden="false" customHeight="true" outlineLevel="0" collapsed="false">
      <c r="A37" s="93" t="n">
        <f aca="false">G8</f>
        <v>0</v>
      </c>
      <c r="B37" s="93" t="n">
        <f aca="false">densidad_viscosidad_puros!I55</f>
        <v>1.01</v>
      </c>
      <c r="C37" s="93" t="n">
        <f aca="false">densidad_viscosidad_puros!I56</f>
        <v>0.869</v>
      </c>
      <c r="D37" s="93" t="n">
        <f aca="false">densidad_viscosidad_puros!I57</f>
        <v>0.758</v>
      </c>
      <c r="E37" s="93" t="n">
        <f aca="false">densidad_viscosidad_puros!I58</f>
        <v>0.668</v>
      </c>
      <c r="F37" s="93" t="n">
        <f aca="false">densidad_viscosidad_puros!I59</f>
        <v>0.595</v>
      </c>
      <c r="G37" s="93"/>
      <c r="H37" s="93"/>
      <c r="I37" s="93"/>
      <c r="J37" s="93"/>
      <c r="K37" s="93"/>
    </row>
    <row r="38" customFormat="false" ht="14.25" hidden="false" customHeight="true" outlineLevel="0" collapsed="false">
      <c r="A38" s="93" t="n">
        <f aca="false">G9</f>
        <v>0.10290767799473</v>
      </c>
      <c r="B38" s="93" t="n">
        <v>1.181</v>
      </c>
      <c r="C38" s="93" t="n">
        <v>1.004</v>
      </c>
      <c r="D38" s="93" t="n">
        <v>0.867</v>
      </c>
      <c r="E38" s="93" t="n">
        <v>0.759</v>
      </c>
      <c r="F38" s="93" t="n">
        <v>0.673</v>
      </c>
      <c r="G38" s="93"/>
      <c r="H38" s="93"/>
      <c r="I38" s="93"/>
      <c r="J38" s="93"/>
      <c r="K38" s="93"/>
    </row>
    <row r="39" customFormat="false" ht="14.25" hidden="false" customHeight="true" outlineLevel="0" collapsed="false">
      <c r="A39" s="93" t="n">
        <f aca="false">G10</f>
        <v>0.184061205395094</v>
      </c>
      <c r="B39" s="93" t="n">
        <v>1.355</v>
      </c>
      <c r="C39" s="93" t="n">
        <v>1.13</v>
      </c>
      <c r="D39" s="93" t="n">
        <v>0.97</v>
      </c>
      <c r="E39" s="93" t="n">
        <v>0.838</v>
      </c>
      <c r="F39" s="93" t="n">
        <v>0.736</v>
      </c>
      <c r="G39" s="93"/>
      <c r="H39" s="93"/>
      <c r="I39" s="93"/>
      <c r="J39" s="93"/>
      <c r="K39" s="93"/>
    </row>
    <row r="40" customFormat="false" ht="14.25" hidden="false" customHeight="true" outlineLevel="0" collapsed="false">
      <c r="A40" s="93" t="n">
        <f aca="false">G11</f>
        <v>0.285587520662777</v>
      </c>
      <c r="B40" s="93" t="n">
        <v>1.613</v>
      </c>
      <c r="C40" s="93" t="n">
        <v>1.333</v>
      </c>
      <c r="D40" s="93" t="n">
        <v>1.123</v>
      </c>
      <c r="E40" s="93" t="n">
        <v>0.963</v>
      </c>
      <c r="F40" s="93" t="n">
        <v>0.836</v>
      </c>
      <c r="G40" s="93"/>
      <c r="H40" s="93"/>
      <c r="I40" s="93"/>
      <c r="J40" s="93"/>
      <c r="K40" s="93"/>
    </row>
    <row r="41" customFormat="false" ht="14.25" hidden="false" customHeight="true" outlineLevel="0" collapsed="false">
      <c r="A41" s="93" t="n">
        <f aca="false">G12</f>
        <v>0.441946578451035</v>
      </c>
      <c r="B41" s="93" t="n">
        <v>2.24</v>
      </c>
      <c r="C41" s="93" t="n">
        <v>1.793</v>
      </c>
      <c r="D41" s="93" t="n">
        <v>1.469</v>
      </c>
      <c r="E41" s="93" t="n">
        <v>1.231</v>
      </c>
      <c r="F41" s="93" t="n">
        <v>1.054</v>
      </c>
      <c r="G41" s="93"/>
      <c r="H41" s="93"/>
      <c r="I41" s="93"/>
      <c r="J41" s="93"/>
      <c r="K41" s="93"/>
    </row>
    <row r="42" customFormat="false" ht="14.25" hidden="false" customHeight="true" outlineLevel="0" collapsed="false">
      <c r="A42" s="93" t="n">
        <f aca="false">G13</f>
        <v>0.507809776347763</v>
      </c>
      <c r="B42" s="93" t="n">
        <v>2.623</v>
      </c>
      <c r="C42" s="93" t="n">
        <v>2.066</v>
      </c>
      <c r="D42" s="93" t="n">
        <v>1.669</v>
      </c>
      <c r="E42" s="93" t="n">
        <v>1.379</v>
      </c>
      <c r="F42" s="93" t="n">
        <v>1.161</v>
      </c>
      <c r="G42" s="93"/>
      <c r="H42" s="93"/>
      <c r="I42" s="93"/>
      <c r="J42" s="93"/>
      <c r="K42" s="93"/>
    </row>
    <row r="43" customFormat="false" ht="14.25" hidden="false" customHeight="true" outlineLevel="0" collapsed="false">
      <c r="A43" s="93" t="n">
        <f aca="false">G14</f>
        <v>0.603034895845163</v>
      </c>
      <c r="B43" s="93" t="n">
        <v>3.386</v>
      </c>
      <c r="C43" s="93" t="n">
        <v>2.594</v>
      </c>
      <c r="D43" s="93" t="n">
        <v>2.047</v>
      </c>
      <c r="E43" s="93" t="n">
        <v>1.656</v>
      </c>
      <c r="F43" s="93" t="n">
        <v>1.368</v>
      </c>
      <c r="G43" s="93"/>
      <c r="H43" s="93"/>
      <c r="I43" s="93"/>
      <c r="J43" s="93"/>
      <c r="K43" s="93"/>
    </row>
    <row r="44" customFormat="false" ht="14.25" hidden="false" customHeight="true" outlineLevel="0" collapsed="false">
      <c r="A44" s="93" t="n">
        <f aca="false">G15</f>
        <v>0.703422225953614</v>
      </c>
      <c r="B44" s="93" t="n">
        <v>4.556</v>
      </c>
      <c r="C44" s="93" t="n">
        <v>3.377</v>
      </c>
      <c r="D44" s="93" t="n">
        <v>2.594</v>
      </c>
      <c r="E44" s="93" t="n">
        <v>2.049</v>
      </c>
      <c r="F44" s="93" t="n">
        <v>1.659</v>
      </c>
      <c r="G44" s="93"/>
      <c r="H44" s="93"/>
      <c r="I44" s="93"/>
      <c r="J44" s="93"/>
      <c r="K44" s="93"/>
    </row>
    <row r="45" customFormat="false" ht="14.25" hidden="false" customHeight="true" outlineLevel="0" collapsed="false">
      <c r="A45" s="93" t="n">
        <f aca="false">G16</f>
        <v>0.803310581963571</v>
      </c>
      <c r="B45" s="93" t="n">
        <v>6.391</v>
      </c>
      <c r="C45" s="93" t="n">
        <v>4.544</v>
      </c>
      <c r="D45" s="93" t="n">
        <v>3.373</v>
      </c>
      <c r="E45" s="93" t="n">
        <v>2.589</v>
      </c>
      <c r="F45" s="93" t="n">
        <v>2.046</v>
      </c>
      <c r="G45" s="93"/>
      <c r="H45" s="93"/>
      <c r="I45" s="93"/>
      <c r="J45" s="93"/>
      <c r="K45" s="93"/>
    </row>
    <row r="46" customFormat="false" ht="14.25" hidden="false" customHeight="true" outlineLevel="0" collapsed="false">
      <c r="A46" s="93" t="n">
        <f aca="false">G17</f>
        <v>0.90095052307922</v>
      </c>
      <c r="B46" s="93" t="n">
        <v>9.264</v>
      </c>
      <c r="C46" s="93" t="n">
        <v>6.276</v>
      </c>
      <c r="D46" s="93" t="n">
        <v>4.474</v>
      </c>
      <c r="E46" s="93" t="n">
        <v>3.326</v>
      </c>
      <c r="F46" s="93" t="n">
        <v>2.557</v>
      </c>
      <c r="G46" s="93"/>
      <c r="H46" s="93"/>
      <c r="I46" s="93"/>
      <c r="J46" s="93"/>
      <c r="K46" s="93"/>
    </row>
    <row r="47" customFormat="false" ht="14.25" hidden="false" customHeight="true" outlineLevel="0" collapsed="false">
      <c r="A47" s="93" t="n">
        <f aca="false">G18</f>
        <v>1</v>
      </c>
      <c r="B47" s="93" t="n">
        <f aca="false">densidad_viscosidad_puros!I75</f>
        <v>14.04</v>
      </c>
      <c r="C47" s="93" t="n">
        <f aca="false">densidad_viscosidad_puros!I76</f>
        <v>8.973</v>
      </c>
      <c r="D47" s="93" t="n">
        <f aca="false">densidad_viscosidad_puros!I77</f>
        <v>6.102</v>
      </c>
      <c r="E47" s="93" t="n">
        <f aca="false">densidad_viscosidad_puros!I78</f>
        <v>4.368</v>
      </c>
      <c r="F47" s="93" t="n">
        <f aca="false">densidad_viscosidad_puros!I79</f>
        <v>3.252</v>
      </c>
      <c r="G47" s="93"/>
      <c r="H47" s="93"/>
      <c r="I47" s="93"/>
      <c r="J47" s="93"/>
      <c r="K47" s="93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1" sqref="B39:F39 F12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40</v>
      </c>
      <c r="B2" s="1" t="n">
        <v>1</v>
      </c>
      <c r="C2" s="1" t="n">
        <v>170.25</v>
      </c>
    </row>
    <row r="3" customFormat="false" ht="14.25" hidden="false" customHeight="true" outlineLevel="0" collapsed="false">
      <c r="A3" s="1" t="s">
        <v>14</v>
      </c>
      <c r="B3" s="1" t="n">
        <v>2</v>
      </c>
      <c r="C3" s="1" t="n">
        <v>86.13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396</v>
      </c>
      <c r="C7" s="1" t="s">
        <v>279</v>
      </c>
      <c r="D7" s="1" t="s">
        <v>397</v>
      </c>
      <c r="E7" s="1" t="s">
        <v>398</v>
      </c>
      <c r="F7" s="1" t="s">
        <v>282</v>
      </c>
      <c r="G7" s="1" t="s">
        <v>399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78" t="n">
        <v>0</v>
      </c>
      <c r="F8" s="78" t="n">
        <v>1</v>
      </c>
      <c r="G8" s="78" t="n">
        <f aca="false">IF(AND(E8=0,F8&gt;0),0,"")</f>
        <v>0</v>
      </c>
    </row>
    <row r="9" customFormat="false" ht="14.25" hidden="false" customHeight="true" outlineLevel="0" collapsed="false">
      <c r="A9" s="1" t="n">
        <v>5</v>
      </c>
      <c r="B9" s="1" t="n">
        <f aca="false">IF(D9=0, 0, IF(D9=1, A9, (D9*A9*$C$2)/($C$3*(1-D9)+$C$2*D9)))</f>
        <v>0.900393475915466</v>
      </c>
      <c r="C9" s="1" t="n">
        <f aca="false">A9-B9</f>
        <v>4.09960652408453</v>
      </c>
      <c r="D9" s="1" t="n">
        <v>0.1</v>
      </c>
      <c r="E9" s="78" t="n">
        <v>0.8646</v>
      </c>
      <c r="F9" s="78" t="n">
        <v>4.0624</v>
      </c>
      <c r="G9" s="78" t="n">
        <f aca="false">IFERROR((E9*purity_gamma/MW_gamma)/((E9*purity_gamma/MW_gamma)+(F9*purity_2m3b2oh/MW_2m3b2oh)),"")</f>
        <v>0.0964114084790061</v>
      </c>
    </row>
    <row r="10" customFormat="false" ht="14.25" hidden="false" customHeight="true" outlineLevel="0" collapsed="false">
      <c r="A10" s="1" t="n">
        <v>5</v>
      </c>
      <c r="B10" s="1" t="n">
        <f aca="false">IF(D10=0, 0, IF(D10=1, A10, (D10*A10*$C$2)/($C$3*(1-D10)+$C$2*D10)))</f>
        <v>1.65365114517163</v>
      </c>
      <c r="C10" s="1" t="n">
        <f aca="false">A10-B10</f>
        <v>3.34634885482837</v>
      </c>
      <c r="D10" s="1" t="n">
        <v>0.2</v>
      </c>
      <c r="E10" s="78" t="n">
        <v>1.655</v>
      </c>
      <c r="F10" s="78" t="n">
        <v>3.1477</v>
      </c>
      <c r="G10" s="78" t="n">
        <f aca="false">IFERROR((E10*purity_gamma/MW_gamma)/((E10*purity_gamma/MW_gamma)+(F10*purity_2m3b2oh/MW_2m3b2oh)),"")</f>
        <v>0.208604389246276</v>
      </c>
    </row>
    <row r="11" customFormat="false" ht="14.25" hidden="false" customHeight="true" outlineLevel="0" collapsed="false">
      <c r="A11" s="1" t="n">
        <v>5</v>
      </c>
      <c r="B11" s="1" t="n">
        <f aca="false">IF(D11=0, 0, IF(D11=1, A11, (D11*A11*$C$2)/($C$3*(1-D11)+$C$2*D11)))</f>
        <v>2.2931145951188</v>
      </c>
      <c r="C11" s="1" t="n">
        <f aca="false">A11-B11</f>
        <v>2.7068854048812</v>
      </c>
      <c r="D11" s="1" t="n">
        <v>0.3</v>
      </c>
      <c r="E11" s="78" t="n">
        <v>2.2193</v>
      </c>
      <c r="F11" s="78" t="n">
        <v>2.6436</v>
      </c>
      <c r="G11" s="78" t="n">
        <f aca="false">IFERROR((E11*purity_gamma/MW_gamma)/((E11*purity_gamma/MW_gamma)+(F11*purity_2m3b2oh/MW_2m3b2oh)),"")</f>
        <v>0.296204617305042</v>
      </c>
    </row>
    <row r="12" customFormat="false" ht="14.25" hidden="false" customHeight="true" outlineLevel="0" collapsed="false">
      <c r="A12" s="1" t="n">
        <v>5</v>
      </c>
      <c r="B12" s="1" t="n">
        <f aca="false">IF(D12=0, 0, IF(D12=1, A12, (D12*A12*$C$2)/($C$3*(1-D12)+$C$2*D12)))</f>
        <v>2.84275910434303</v>
      </c>
      <c r="C12" s="1" t="n">
        <f aca="false">A12-B12</f>
        <v>2.15724089565697</v>
      </c>
      <c r="D12" s="1" t="n">
        <v>0.4</v>
      </c>
      <c r="E12" s="78" t="n">
        <v>2.771</v>
      </c>
      <c r="F12" s="78" t="n">
        <v>2.1111</v>
      </c>
      <c r="G12" s="78" t="n">
        <f aca="false">IFERROR((E12*purity_gamma/MW_gamma)/((E12*purity_gamma/MW_gamma)+(F12*purity_2m3b2oh/MW_2m3b2oh)),"")</f>
        <v>0.396878554408986</v>
      </c>
    </row>
    <row r="13" customFormat="false" ht="14.25" hidden="false" customHeight="true" outlineLevel="0" collapsed="false">
      <c r="A13" s="1" t="n">
        <v>5</v>
      </c>
      <c r="B13" s="1" t="n">
        <f aca="false">IF(D13=0, 0, IF(D13=1, A13, (D13*A13*$C$2)/($C$3*(1-D13)+$C$2*D13)))</f>
        <v>3.3202667914814</v>
      </c>
      <c r="C13" s="1" t="n">
        <f aca="false">A13-B13</f>
        <v>1.67973320851861</v>
      </c>
      <c r="D13" s="1" t="n">
        <v>0.5</v>
      </c>
      <c r="E13" s="78" t="n">
        <v>3.2413</v>
      </c>
      <c r="F13" s="78" t="n">
        <v>1.6638</v>
      </c>
      <c r="G13" s="78" t="n">
        <f aca="false">IFERROR((E13*purity_gamma/MW_gamma)/((E13*purity_gamma/MW_gamma)+(F13*purity_2m3b2oh/MW_2m3b2oh)),"")</f>
        <v>0.494096014579871</v>
      </c>
    </row>
    <row r="14" customFormat="false" ht="14.25" hidden="false" customHeight="true" outlineLevel="0" collapsed="false">
      <c r="A14" s="1" t="n">
        <v>5</v>
      </c>
      <c r="B14" s="1" t="n">
        <f aca="false">IF(D14=0, 0, IF(D14=1, A14, (D14*A14*$C$2)/($C$3*(1-D14)+$C$2*D14)))</f>
        <v>3.73896429042035</v>
      </c>
      <c r="C14" s="1" t="n">
        <f aca="false">A14-B14</f>
        <v>1.26103570957965</v>
      </c>
      <c r="D14" s="1" t="n">
        <v>0.6</v>
      </c>
      <c r="E14" s="78" t="n">
        <v>3.5837</v>
      </c>
      <c r="F14" s="78" t="n">
        <v>1.2384</v>
      </c>
      <c r="G14" s="78" t="n">
        <f aca="false">IFERROR((E14*purity_gamma/MW_gamma)/((E14*purity_gamma/MW_gamma)+(F14*purity_2m3b2oh/MW_2m3b2oh)),"")</f>
        <v>0.591963460297223</v>
      </c>
    </row>
    <row r="15" customFormat="false" ht="14.25" hidden="false" customHeight="true" outlineLevel="0" collapsed="false">
      <c r="A15" s="1" t="n">
        <v>5</v>
      </c>
      <c r="B15" s="1" t="n">
        <f aca="false">IF(D15=0, 0, IF(D15=1, A15, (D15*A15*$C$2)/($C$3*(1-D15)+$C$2*D15)))</f>
        <v>4.1090860192809</v>
      </c>
      <c r="C15" s="1" t="n">
        <f aca="false">A15-B15</f>
        <v>0.890913980719104</v>
      </c>
      <c r="D15" s="1" t="n">
        <v>0.7</v>
      </c>
      <c r="E15" s="78" t="n">
        <v>3.9661</v>
      </c>
      <c r="F15" s="78" t="n">
        <v>0.872</v>
      </c>
      <c r="G15" s="78" t="n">
        <f aca="false">IFERROR((E15*purity_gamma/MW_gamma)/((E15*purity_gamma/MW_gamma)+(F15*purity_2m3b2oh/MW_2m3b2oh)),"")</f>
        <v>0.695140235125829</v>
      </c>
    </row>
    <row r="16" customFormat="false" ht="14.25" hidden="false" customHeight="true" outlineLevel="0" collapsed="false">
      <c r="A16" s="1" t="n">
        <v>5</v>
      </c>
      <c r="B16" s="1" t="n">
        <f aca="false">IF(D16=0, 0, IF(D16=1, A16, (D16*A16*$C$2)/($C$3*(1-D16)+$C$2*D16)))</f>
        <v>4.4386218763443</v>
      </c>
      <c r="C16" s="1" t="n">
        <f aca="false">A16-B16</f>
        <v>0.561378123655704</v>
      </c>
      <c r="D16" s="1" t="n">
        <v>0.8</v>
      </c>
      <c r="E16" s="78" t="n">
        <v>4.3137</v>
      </c>
      <c r="F16" s="78" t="n">
        <v>0.5513</v>
      </c>
      <c r="G16" s="78" t="n">
        <f aca="false">IFERROR((E16*purity_gamma/MW_gamma)/((E16*purity_gamma/MW_gamma)+(F16*purity_2m3b2oh/MW_2m3b2oh)),"")</f>
        <v>0.796860189295174</v>
      </c>
    </row>
    <row r="17" customFormat="false" ht="14.25" hidden="false" customHeight="true" outlineLevel="0" collapsed="false">
      <c r="A17" s="1" t="n">
        <v>5</v>
      </c>
      <c r="B17" s="1" t="n">
        <f aca="false">IF(D17=0, 0, IF(D17=1, A17, (D17*A17*$C$2)/($C$3*(1-D17)+$C$2*D17)))</f>
        <v>4.7339005672339</v>
      </c>
      <c r="C17" s="1" t="n">
        <f aca="false">A17-B17</f>
        <v>0.266099432766099</v>
      </c>
      <c r="D17" s="1" t="n">
        <v>0.9</v>
      </c>
      <c r="E17" s="78" t="n">
        <v>4.5938</v>
      </c>
      <c r="F17" s="78" t="n">
        <v>0.2661</v>
      </c>
      <c r="G17" s="78" t="n">
        <f aca="false">IFERROR((E17*purity_gamma/MW_gamma)/((E17*purity_gamma/MW_gamma)+(F17*purity_2m3b2oh/MW_2m3b2oh)),"")</f>
        <v>0.896423574413522</v>
      </c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78" t="n">
        <v>1</v>
      </c>
      <c r="F18" s="78" t="n">
        <v>0</v>
      </c>
      <c r="G18" s="78" t="n">
        <f aca="false">IF(AND(E18&gt;0,F18=0),1,IFERROR((E18/MW_gamma)/((E18/MW_gamma)+(F18/MW_2m3b2oh)),""))</f>
        <v>1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78" t="s">
        <v>303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5" hidden="false" customHeight="true" outlineLevel="0" collapsed="false">
      <c r="A21" s="78"/>
      <c r="B21" s="119" t="s">
        <v>212</v>
      </c>
      <c r="G21" s="119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78" t="n">
        <f aca="false">G8</f>
        <v>0</v>
      </c>
      <c r="B23" s="78" t="n">
        <f aca="false">densidad_viscosidad_puros!G5</f>
        <v>0.82388</v>
      </c>
      <c r="C23" s="78" t="n">
        <f aca="false">densidad_viscosidad_puros!G6</f>
        <v>0.81447</v>
      </c>
      <c r="D23" s="78" t="n">
        <f aca="false">densidad_viscosidad_puros!G7</f>
        <v>0.8047</v>
      </c>
      <c r="E23" s="78" t="n">
        <f aca="false">densidad_viscosidad_puros!G8</f>
        <v>0.79458</v>
      </c>
      <c r="F23" s="78" t="n">
        <f aca="false">densidad_viscosidad_puros!G9</f>
        <v>0.7841</v>
      </c>
      <c r="G23" s="78" t="n">
        <f aca="false">IFERROR((($A23*MW_gamma)+((1-$A23)*MW_2m3b2oh))/B23-(($A23*MW_gamma/B$33)+((1-$A23)*MW_2m3b2oh/B$23)),"")</f>
        <v>0</v>
      </c>
      <c r="H23" s="78" t="n">
        <f aca="false">IFERROR((($A23*MW_gamma)+((1-$A23)*MW_2m3b2oh))/C23-(($A23*MW_gamma/C$33)+((1-$A23)*MW_2m3b2oh/C$23)),"")</f>
        <v>0</v>
      </c>
      <c r="I23" s="78" t="n">
        <f aca="false">IFERROR((($A23*MW_gamma)+((1-$A23)*MW_2m3b2oh))/D23-(($A23*MW_gamma/D$33)+((1-$A23)*MW_2m3b2oh/D$23)),"")</f>
        <v>0</v>
      </c>
      <c r="J23" s="78" t="n">
        <f aca="false">IFERROR((($A23*MW_gamma)+((1-$A23)*MW_2m3b2oh))/E23-(($A23*MW_gamma/E$33)+((1-$A23)*MW_2m3b2oh/E$23)),"")</f>
        <v>0</v>
      </c>
      <c r="K23" s="78" t="n">
        <f aca="false">IFERROR((($A23*MW_gamma)+((1-$A23)*MW_2m3b2oh))/F23-(($A23*MW_gamma/F$33)+((1-$A23)*MW_2m3b2oh/F$23)),"")</f>
        <v>0</v>
      </c>
    </row>
    <row r="24" customFormat="false" ht="14.25" hidden="false" customHeight="true" outlineLevel="0" collapsed="false">
      <c r="A24" s="78" t="n">
        <f aca="false">G9</f>
        <v>0.0964114084790061</v>
      </c>
      <c r="B24" s="78" t="n">
        <v>0.84562</v>
      </c>
      <c r="C24" s="78" t="n">
        <v>0.83647</v>
      </c>
      <c r="D24" s="78" t="n">
        <v>0.82702</v>
      </c>
      <c r="E24" s="78" t="n">
        <v>0.81729</v>
      </c>
      <c r="F24" s="78" t="n">
        <v>0.8073</v>
      </c>
      <c r="G24" s="78" t="n">
        <f aca="false">IFERROR((($A24*MW_gamma)+((1-$A24)*MW_2m3b2oh))/B24-(($A24*MW_gamma/B$33)+((1-$A24)*MW_2m3b2oh/B$23)),"")</f>
        <v>-0.242876525300289</v>
      </c>
      <c r="H24" s="78" t="n">
        <f aca="false">IFERROR((($A24*MW_gamma)+((1-$A24)*MW_2m3b2oh))/C24-(($A24*MW_gamma/C$33)+((1-$A24)*MW_2m3b2oh/C$23)),"")</f>
        <v>-0.252925842943597</v>
      </c>
      <c r="I24" s="78" t="n">
        <f aca="false">IFERROR((($A24*MW_gamma)+((1-$A24)*MW_2m3b2oh))/D24-(($A24*MW_gamma/D$33)+((1-$A24)*MW_2m3b2oh/D$23)),"")</f>
        <v>-0.266790979313953</v>
      </c>
      <c r="J24" s="78" t="n">
        <f aca="false">IFERROR((($A24*MW_gamma)+((1-$A24)*MW_2m3b2oh))/E24-(($A24*MW_gamma/E$33)+((1-$A24)*MW_2m3b2oh/E$23)),"")</f>
        <v>-0.285169171615763</v>
      </c>
      <c r="K24" s="78" t="n">
        <f aca="false">IFERROR((($A24*MW_gamma)+((1-$A24)*MW_2m3b2oh))/F24-(($A24*MW_gamma/F$33)+((1-$A24)*MW_2m3b2oh/F$23)),"")</f>
        <v>-0.313352562360208</v>
      </c>
    </row>
    <row r="25" customFormat="false" ht="14.25" hidden="false" customHeight="true" outlineLevel="0" collapsed="false">
      <c r="A25" s="78" t="n">
        <f aca="false">G10</f>
        <v>0.208604389246276</v>
      </c>
      <c r="B25" s="78" t="n">
        <v>0.86581</v>
      </c>
      <c r="C25" s="78" t="n">
        <v>0.85698</v>
      </c>
      <c r="D25" s="78" t="n">
        <v>0.8479</v>
      </c>
      <c r="E25" s="78" t="n">
        <v>0.83861</v>
      </c>
      <c r="F25" s="78" t="n">
        <v>0.82912</v>
      </c>
      <c r="G25" s="78" t="n">
        <f aca="false">IFERROR((($A25*MW_gamma)+((1-$A25)*MW_2m3b2oh))/B25-(($A25*MW_gamma/B$33)+((1-$A25)*MW_2m3b2oh/B$23)),"")</f>
        <v>-0.256969944126539</v>
      </c>
      <c r="H25" s="78" t="n">
        <f aca="false">IFERROR((($A25*MW_gamma)+((1-$A25)*MW_2m3b2oh))/C25-(($A25*MW_gamma/C$33)+((1-$A25)*MW_2m3b2oh/C$23)),"")</f>
        <v>-0.277058442650528</v>
      </c>
      <c r="I25" s="78" t="n">
        <f aca="false">IFERROR((($A25*MW_gamma)+((1-$A25)*MW_2m3b2oh))/D25-(($A25*MW_gamma/D$33)+((1-$A25)*MW_2m3b2oh/D$23)),"")</f>
        <v>-0.302866547910497</v>
      </c>
      <c r="J25" s="78" t="n">
        <f aca="false">IFERROR((($A25*MW_gamma)+((1-$A25)*MW_2m3b2oh))/E25-(($A25*MW_gamma/E$33)+((1-$A25)*MW_2m3b2oh/E$23)),"")</f>
        <v>-0.337013388755679</v>
      </c>
      <c r="K25" s="78" t="n">
        <f aca="false">IFERROR((($A25*MW_gamma)+((1-$A25)*MW_2m3b2oh))/F25-(($A25*MW_gamma/F$33)+((1-$A25)*MW_2m3b2oh/F$23)),"")</f>
        <v>-0.384332989763024</v>
      </c>
    </row>
    <row r="26" customFormat="false" ht="14.25" hidden="false" customHeight="true" outlineLevel="0" collapsed="false">
      <c r="A26" s="78" t="n">
        <f aca="false">G11</f>
        <v>0.296204617305042</v>
      </c>
      <c r="B26" s="78" t="n">
        <v>0.87934</v>
      </c>
      <c r="C26" s="78" t="n">
        <v>0.87074</v>
      </c>
      <c r="D26" s="78" t="n">
        <v>0.86192</v>
      </c>
      <c r="E26" s="78" t="n">
        <v>0.85294</v>
      </c>
      <c r="F26" s="78" t="n">
        <v>0.8438</v>
      </c>
      <c r="G26" s="78" t="n">
        <f aca="false">IFERROR((($A26*MW_gamma)+((1-$A26)*MW_2m3b2oh))/B26-(($A26*MW_gamma/B$33)+((1-$A26)*MW_2m3b2oh/B$23)),"")</f>
        <v>-0.212266330024548</v>
      </c>
      <c r="H26" s="78" t="n">
        <f aca="false">IFERROR((($A26*MW_gamma)+((1-$A26)*MW_2m3b2oh))/C26-(($A26*MW_gamma/C$33)+((1-$A26)*MW_2m3b2oh/C$23)),"")</f>
        <v>-0.238265830666208</v>
      </c>
      <c r="I26" s="78" t="n">
        <f aca="false">IFERROR((($A26*MW_gamma)+((1-$A26)*MW_2m3b2oh))/D26-(($A26*MW_gamma/D$33)+((1-$A26)*MW_2m3b2oh/D$23)),"")</f>
        <v>-0.270326826116104</v>
      </c>
      <c r="J26" s="78" t="n">
        <f aca="false">IFERROR((($A26*MW_gamma)+((1-$A26)*MW_2m3b2oh))/E26-(($A26*MW_gamma/E$33)+((1-$A26)*MW_2m3b2oh/E$23)),"")</f>
        <v>-0.313305816874646</v>
      </c>
      <c r="K26" s="78" t="n">
        <f aca="false">IFERROR((($A26*MW_gamma)+((1-$A26)*MW_2m3b2oh))/F26-(($A26*MW_gamma/F$33)+((1-$A26)*MW_2m3b2oh/F$23)),"")</f>
        <v>-0.371146042478784</v>
      </c>
    </row>
    <row r="27" customFormat="false" ht="14.25" hidden="false" customHeight="true" outlineLevel="0" collapsed="false">
      <c r="A27" s="78" t="n">
        <f aca="false">G12</f>
        <v>0.396878554408986</v>
      </c>
      <c r="B27" s="78" t="n">
        <v>0.89309</v>
      </c>
      <c r="C27" s="78" t="n">
        <v>0.88471</v>
      </c>
      <c r="D27" s="78" t="n">
        <v>0.87616</v>
      </c>
      <c r="E27" s="78" t="n">
        <v>0.86747</v>
      </c>
      <c r="F27" s="78" t="n">
        <v>0.85867</v>
      </c>
      <c r="G27" s="78" t="n">
        <f aca="false">IFERROR((($A27*MW_gamma)+((1-$A27)*MW_2m3b2oh))/B27-(($A27*MW_gamma/B$33)+((1-$A27)*MW_2m3b2oh/B$23)),"")</f>
        <v>-0.135971368246032</v>
      </c>
      <c r="H27" s="78" t="n">
        <f aca="false">IFERROR((($A27*MW_gamma)+((1-$A27)*MW_2m3b2oh))/C27-(($A27*MW_gamma/C$33)+((1-$A27)*MW_2m3b2oh/C$23)),"")</f>
        <v>-0.16390755862875</v>
      </c>
      <c r="I27" s="78" t="n">
        <f aca="false">IFERROR((($A27*MW_gamma)+((1-$A27)*MW_2m3b2oh))/D27-(($A27*MW_gamma/D$33)+((1-$A27)*MW_2m3b2oh/D$23)),"")</f>
        <v>-0.200787891702987</v>
      </c>
      <c r="J27" s="78" t="n">
        <f aca="false">IFERROR((($A27*MW_gamma)+((1-$A27)*MW_2m3b2oh))/E27-(($A27*MW_gamma/E$33)+((1-$A27)*MW_2m3b2oh/E$23)),"")</f>
        <v>-0.246008550206682</v>
      </c>
      <c r="K27" s="78" t="n">
        <f aca="false">IFERROR((($A27*MW_gamma)+((1-$A27)*MW_2m3b2oh))/F27-(($A27*MW_gamma/F$33)+((1-$A27)*MW_2m3b2oh/F$23)),"")</f>
        <v>-0.308676570568167</v>
      </c>
    </row>
    <row r="28" customFormat="false" ht="14.25" hidden="false" customHeight="true" outlineLevel="0" collapsed="false">
      <c r="A28" s="78" t="n">
        <f aca="false">G13</f>
        <v>0.494096014579871</v>
      </c>
      <c r="B28" s="78" t="n">
        <v>0.90516</v>
      </c>
      <c r="C28" s="78" t="n">
        <v>0.89695</v>
      </c>
      <c r="D28" s="78" t="n">
        <v>0.88862</v>
      </c>
      <c r="E28" s="78" t="n">
        <v>0.88019</v>
      </c>
      <c r="F28" s="78" t="n">
        <v>0.87168</v>
      </c>
      <c r="G28" s="78" t="n">
        <f aca="false">IFERROR((($A28*MW_gamma)+((1-$A28)*MW_2m3b2oh))/B28-(($A28*MW_gamma/B$33)+((1-$A28)*MW_2m3b2oh/B$23)),"")</f>
        <v>-0.0913597085965989</v>
      </c>
      <c r="H28" s="78" t="n">
        <f aca="false">IFERROR((($A28*MW_gamma)+((1-$A28)*MW_2m3b2oh))/C28-(($A28*MW_gamma/C$33)+((1-$A28)*MW_2m3b2oh/C$23)),"")</f>
        <v>-0.11707025713099</v>
      </c>
      <c r="I28" s="78" t="n">
        <f aca="false">IFERROR((($A28*MW_gamma)+((1-$A28)*MW_2m3b2oh))/D28-(($A28*MW_gamma/D$33)+((1-$A28)*MW_2m3b2oh/D$23)),"")</f>
        <v>-0.155140508697997</v>
      </c>
      <c r="J28" s="78" t="n">
        <f aca="false">IFERROR((($A28*MW_gamma)+((1-$A28)*MW_2m3b2oh))/E28-(($A28*MW_gamma/E$33)+((1-$A28)*MW_2m3b2oh/E$23)),"")</f>
        <v>-0.20245970832309</v>
      </c>
      <c r="K28" s="78" t="n">
        <f aca="false">IFERROR((($A28*MW_gamma)+((1-$A28)*MW_2m3b2oh))/F28-(($A28*MW_gamma/F$33)+((1-$A28)*MW_2m3b2oh/F$23)),"")</f>
        <v>-0.2671003218598</v>
      </c>
    </row>
    <row r="29" customFormat="false" ht="14.25" hidden="false" customHeight="true" outlineLevel="0" collapsed="false">
      <c r="A29" s="78" t="n">
        <f aca="false">G14</f>
        <v>0.591963460297223</v>
      </c>
      <c r="B29" s="78" t="n">
        <v>0.91601</v>
      </c>
      <c r="C29" s="78" t="n">
        <v>0.90798</v>
      </c>
      <c r="D29" s="78" t="n">
        <v>0.89985</v>
      </c>
      <c r="E29" s="78" t="n">
        <v>0.89164</v>
      </c>
      <c r="F29" s="78" t="n">
        <v>0.88338</v>
      </c>
      <c r="G29" s="78" t="n">
        <f aca="false">IFERROR((($A29*MW_gamma)+((1-$A29)*MW_2m3b2oh))/B29-(($A29*MW_gamma/B$33)+((1-$A29)*MW_2m3b2oh/B$23)),"")</f>
        <v>-0.0287591799526012</v>
      </c>
      <c r="H29" s="78" t="n">
        <f aca="false">IFERROR((($A29*MW_gamma)+((1-$A29)*MW_2m3b2oh))/C29-(($A29*MW_gamma/C$33)+((1-$A29)*MW_2m3b2oh/C$23)),"")</f>
        <v>-0.0550376887731545</v>
      </c>
      <c r="I29" s="78" t="n">
        <f aca="false">IFERROR((($A29*MW_gamma)+((1-$A29)*MW_2m3b2oh))/D29-(($A29*MW_gamma/D$33)+((1-$A29)*MW_2m3b2oh/D$23)),"")</f>
        <v>-0.0926754498456717</v>
      </c>
      <c r="J29" s="78" t="n">
        <f aca="false">IFERROR((($A29*MW_gamma)+((1-$A29)*MW_2m3b2oh))/E29-(($A29*MW_gamma/E$33)+((1-$A29)*MW_2m3b2oh/E$23)),"")</f>
        <v>-0.137354752401023</v>
      </c>
      <c r="K29" s="78" t="n">
        <f aca="false">IFERROR((($A29*MW_gamma)+((1-$A29)*MW_2m3b2oh))/F29-(($A29*MW_gamma/F$33)+((1-$A29)*MW_2m3b2oh/F$23)),"")</f>
        <v>-0.199270023894911</v>
      </c>
    </row>
    <row r="30" customFormat="false" ht="14.25" hidden="false" customHeight="true" outlineLevel="0" collapsed="false">
      <c r="A30" s="78" t="n">
        <f aca="false">G15</f>
        <v>0.695140235125829</v>
      </c>
      <c r="B30" s="78" t="n">
        <v>0.92645</v>
      </c>
      <c r="C30" s="78" t="n">
        <v>0.91857</v>
      </c>
      <c r="D30" s="78" t="n">
        <v>0.91061</v>
      </c>
      <c r="E30" s="78" t="n">
        <v>0.90261</v>
      </c>
      <c r="F30" s="78" t="n">
        <v>0.89455</v>
      </c>
      <c r="G30" s="78" t="n">
        <f aca="false">IFERROR((($A30*MW_gamma)+((1-$A30)*MW_2m3b2oh))/B30-(($A30*MW_gamma/B$33)+((1-$A30)*MW_2m3b2oh/B$23)),"")</f>
        <v>0.0199297262992957</v>
      </c>
      <c r="H30" s="78" t="n">
        <f aca="false">IFERROR((($A30*MW_gamma)+((1-$A30)*MW_2m3b2oh))/C30-(($A30*MW_gamma/C$33)+((1-$A30)*MW_2m3b2oh/C$23)),"")</f>
        <v>-0.00248221104627078</v>
      </c>
      <c r="I30" s="78" t="n">
        <f aca="false">IFERROR((($A30*MW_gamma)+((1-$A30)*MW_2m3b2oh))/D30-(($A30*MW_gamma/D$33)+((1-$A30)*MW_2m3b2oh/D$23)),"")</f>
        <v>-0.0350589932268406</v>
      </c>
      <c r="J30" s="78" t="n">
        <f aca="false">IFERROR((($A30*MW_gamma)+((1-$A30)*MW_2m3b2oh))/E30-(($A30*MW_gamma/E$33)+((1-$A30)*MW_2m3b2oh/E$23)),"")</f>
        <v>-0.0757370234454413</v>
      </c>
      <c r="K30" s="78" t="n">
        <f aca="false">IFERROR((($A30*MW_gamma)+((1-$A30)*MW_2m3b2oh))/F30-(($A30*MW_gamma/F$33)+((1-$A30)*MW_2m3b2oh/F$23)),"")</f>
        <v>-0.126308261960446</v>
      </c>
    </row>
    <row r="31" customFormat="false" ht="14.25" hidden="false" customHeight="true" outlineLevel="0" collapsed="false">
      <c r="A31" s="78" t="n">
        <f aca="false">G16</f>
        <v>0.796860189295174</v>
      </c>
      <c r="B31" s="78" t="n">
        <v>0.93588</v>
      </c>
      <c r="C31" s="78" t="n">
        <v>0.92813</v>
      </c>
      <c r="D31" s="78" t="n">
        <v>0.92031</v>
      </c>
      <c r="E31" s="78" t="n">
        <v>0.91246</v>
      </c>
      <c r="F31" s="78" t="n">
        <v>0.90458</v>
      </c>
      <c r="G31" s="78" t="n">
        <f aca="false">IFERROR((($A31*MW_gamma)+((1-$A31)*MW_2m3b2oh))/B31-(($A31*MW_gamma/B$33)+((1-$A31)*MW_2m3b2oh/B$23)),"")</f>
        <v>0.0507019242232332</v>
      </c>
      <c r="H31" s="78" t="n">
        <f aca="false">IFERROR((($A31*MW_gamma)+((1-$A31)*MW_2m3b2oh))/C31-(($A31*MW_gamma/C$33)+((1-$A31)*MW_2m3b2oh/C$23)),"")</f>
        <v>0.0333759652367291</v>
      </c>
      <c r="I31" s="78" t="n">
        <f aca="false">IFERROR((($A31*MW_gamma)+((1-$A31)*MW_2m3b2oh))/D31-(($A31*MW_gamma/D$33)+((1-$A31)*MW_2m3b2oh/D$23)),"")</f>
        <v>0.00865060644866844</v>
      </c>
      <c r="J31" s="78" t="n">
        <f aca="false">IFERROR((($A31*MW_gamma)+((1-$A31)*MW_2m3b2oh))/E31-(($A31*MW_gamma/E$33)+((1-$A31)*MW_2m3b2oh/E$23)),"")</f>
        <v>-0.0201672115668146</v>
      </c>
      <c r="K31" s="78" t="n">
        <f aca="false">IFERROR((($A31*MW_gamma)+((1-$A31)*MW_2m3b2oh))/F31-(($A31*MW_gamma/F$33)+((1-$A31)*MW_2m3b2oh/F$23)),"")</f>
        <v>-0.0586226000245915</v>
      </c>
    </row>
    <row r="32" customFormat="false" ht="14.25" hidden="false" customHeight="true" outlineLevel="0" collapsed="false">
      <c r="A32" s="78" t="n">
        <f aca="false">G17</f>
        <v>0.896423574413522</v>
      </c>
      <c r="B32" s="78" t="n">
        <v>0.94437</v>
      </c>
      <c r="C32" s="78" t="n">
        <v>0.93665</v>
      </c>
      <c r="D32" s="78" t="n">
        <v>0.92893</v>
      </c>
      <c r="E32" s="78" t="n">
        <v>0.92121</v>
      </c>
      <c r="F32" s="78" t="n">
        <v>0.91347</v>
      </c>
      <c r="G32" s="78" t="n">
        <f aca="false">IFERROR((($A32*MW_gamma)+((1-$A32)*MW_2m3b2oh))/B32-(($A32*MW_gamma/B$33)+((1-$A32)*MW_2m3b2oh/B$23)),"")</f>
        <v>0.0684698839298505</v>
      </c>
      <c r="H32" s="78" t="n">
        <f aca="false">IFERROR((($A32*MW_gamma)+((1-$A32)*MW_2m3b2oh))/C32-(($A32*MW_gamma/C$33)+((1-$A32)*MW_2m3b2oh/C$23)),"")</f>
        <v>0.0724463482544593</v>
      </c>
      <c r="I32" s="78" t="n">
        <f aca="false">IFERROR((($A32*MW_gamma)+((1-$A32)*MW_2m3b2oh))/D32-(($A32*MW_gamma/D$33)+((1-$A32)*MW_2m3b2oh/D$23)),"")</f>
        <v>0.060912091657201</v>
      </c>
      <c r="J32" s="78" t="n">
        <f aca="false">IFERROR((($A32*MW_gamma)+((1-$A32)*MW_2m3b2oh))/E32-(($A32*MW_gamma/E$33)+((1-$A32)*MW_2m3b2oh/E$23)),"")</f>
        <v>0.0454580241355416</v>
      </c>
      <c r="K32" s="78" t="n">
        <f aca="false">IFERROR((($A32*MW_gamma)+((1-$A32)*MW_2m3b2oh))/F32-(($A32*MW_gamma/F$33)+((1-$A32)*MW_2m3b2oh/F$23)),"")</f>
        <v>0.0240879050267893</v>
      </c>
    </row>
    <row r="33" customFormat="false" ht="14.25" hidden="false" customHeight="true" outlineLevel="0" collapsed="false">
      <c r="A33" s="78" t="n">
        <f aca="false">G18</f>
        <v>1</v>
      </c>
      <c r="B33" s="78" t="n">
        <f aca="false">densidad_viscosidad_puros!G85</f>
        <v>0.95292</v>
      </c>
      <c r="C33" s="78" t="n">
        <f aca="false">densidad_viscosidad_puros!G86</f>
        <v>0.94536</v>
      </c>
      <c r="D33" s="78" t="n">
        <f aca="false">densidad_viscosidad_puros!G87</f>
        <v>0.93774</v>
      </c>
      <c r="E33" s="78" t="n">
        <f aca="false">densidad_viscosidad_puros!G88</f>
        <v>0.93013</v>
      </c>
      <c r="F33" s="78" t="n">
        <f aca="false">densidad_viscosidad_puros!G89</f>
        <v>0.9225</v>
      </c>
      <c r="G33" s="78" t="n">
        <f aca="false">IFERROR((($A33*MW_gamma)+((1-$A33)*MW_2m3b2oh))/B33-(($A33*MW_gamma/B$33)+((1-$A33)*MW_2m3b2oh/B$23)),"")</f>
        <v>0</v>
      </c>
      <c r="H33" s="78" t="n">
        <f aca="false">IFERROR((($A33*MW_gamma)+((1-$A33)*MW_2m3b2oh))/C33-(($A33*MW_gamma/C$33)+((1-$A33)*MW_2m3b2oh/C$23)),"")</f>
        <v>0</v>
      </c>
      <c r="I33" s="78" t="n">
        <f aca="false">IFERROR((($A33*MW_gamma)+((1-$A33)*MW_2m3b2oh))/D33-(($A33*MW_gamma/D$33)+((1-$A33)*MW_2m3b2oh/D$23)),"")</f>
        <v>0</v>
      </c>
      <c r="J33" s="78" t="n">
        <f aca="false">IFERROR((($A33*MW_gamma)+((1-$A33)*MW_2m3b2oh))/E33-(($A33*MW_gamma/E$33)+((1-$A33)*MW_2m3b2oh/E$23)),"")</f>
        <v>0</v>
      </c>
      <c r="K33" s="78" t="n">
        <f aca="false">IFERROR((($A33*MW_gamma)+((1-$A33)*MW_2m3b2oh))/F33-(($A33*MW_gamma/F$33)+((1-$A33)*MW_2m3b2oh/F$23)),"")</f>
        <v>0</v>
      </c>
    </row>
    <row r="34" customFormat="false" ht="14.25" hidden="false" customHeight="true" outlineLevel="0" collapsed="false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  <c r="G35" s="78"/>
      <c r="H35" s="78"/>
      <c r="I35" s="78"/>
      <c r="J35" s="78"/>
      <c r="K35" s="78"/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78"/>
      <c r="H36" s="92"/>
      <c r="I36" s="78"/>
      <c r="J36" s="92"/>
      <c r="K36" s="78"/>
    </row>
    <row r="37" customFormat="false" ht="14.25" hidden="false" customHeight="true" outlineLevel="0" collapsed="false">
      <c r="A37" s="78" t="n">
        <f aca="false">G8</f>
        <v>0</v>
      </c>
      <c r="B37" s="78" t="n">
        <f aca="false">densidad_viscosidad_puros!I5</f>
        <v>2.353</v>
      </c>
      <c r="C37" s="78" t="n">
        <f aca="false">densidad_viscosidad_puros!I6</f>
        <v>1.682</v>
      </c>
      <c r="D37" s="78" t="n">
        <f aca="false">densidad_viscosidad_puros!I7</f>
        <v>1.247</v>
      </c>
      <c r="E37" s="78" t="n">
        <f aca="false">densidad_viscosidad_puros!I8</f>
        <v>0.964</v>
      </c>
      <c r="F37" s="78" t="n">
        <f aca="false">densidad_viscosidad_puros!I9</f>
        <v>0.757</v>
      </c>
      <c r="G37" s="78"/>
      <c r="H37" s="78"/>
      <c r="I37" s="78"/>
      <c r="J37" s="78"/>
      <c r="K37" s="78"/>
    </row>
    <row r="38" customFormat="false" ht="14.25" hidden="false" customHeight="true" outlineLevel="0" collapsed="false">
      <c r="A38" s="92" t="n">
        <f aca="false">G9</f>
        <v>0.0964114084790061</v>
      </c>
      <c r="B38" s="92" t="n">
        <v>2.648</v>
      </c>
      <c r="C38" s="92" t="n">
        <v>1.918</v>
      </c>
      <c r="D38" s="92" t="n">
        <v>1.441</v>
      </c>
      <c r="E38" s="92" t="n">
        <v>1.119</v>
      </c>
      <c r="F38" s="92" t="n">
        <v>0.895</v>
      </c>
      <c r="G38" s="78"/>
      <c r="H38" s="78"/>
      <c r="I38" s="78"/>
      <c r="J38" s="78"/>
      <c r="K38" s="78"/>
    </row>
    <row r="39" customFormat="false" ht="14.25" hidden="false" customHeight="true" outlineLevel="0" collapsed="false">
      <c r="A39" s="78" t="n">
        <f aca="false">G10</f>
        <v>0.208604389246276</v>
      </c>
      <c r="B39" s="78" t="n">
        <v>2.928</v>
      </c>
      <c r="C39" s="78" t="n">
        <v>2.145</v>
      </c>
      <c r="D39" s="78" t="n">
        <v>1.629</v>
      </c>
      <c r="E39" s="78" t="n">
        <v>1.276</v>
      </c>
      <c r="F39" s="78" t="n">
        <v>1.028</v>
      </c>
      <c r="G39" s="78"/>
      <c r="H39" s="78"/>
      <c r="I39" s="78"/>
      <c r="J39" s="78"/>
      <c r="K39" s="78"/>
    </row>
    <row r="40" customFormat="false" ht="14.25" hidden="false" customHeight="true" outlineLevel="0" collapsed="false">
      <c r="A40" s="78" t="n">
        <f aca="false">G11</f>
        <v>0.296204617305042</v>
      </c>
      <c r="B40" s="78" t="n">
        <v>3.192</v>
      </c>
      <c r="C40" s="78" t="n">
        <v>2.356</v>
      </c>
      <c r="D40" s="78" t="n">
        <v>1.802</v>
      </c>
      <c r="E40" s="78" t="n">
        <v>1.421</v>
      </c>
      <c r="F40" s="78" t="n">
        <v>1.15</v>
      </c>
      <c r="G40" s="78"/>
      <c r="H40" s="78"/>
      <c r="I40" s="78"/>
      <c r="J40" s="78"/>
      <c r="K40" s="78"/>
    </row>
    <row r="41" customFormat="false" ht="14.25" hidden="false" customHeight="true" outlineLevel="0" collapsed="false">
      <c r="A41" s="78" t="n">
        <f aca="false">G12</f>
        <v>0.396878554408986</v>
      </c>
      <c r="B41" s="78" t="n">
        <v>3.502</v>
      </c>
      <c r="C41" s="78" t="n">
        <v>2.599</v>
      </c>
      <c r="D41" s="78" t="n">
        <v>1.998</v>
      </c>
      <c r="E41" s="78" t="n">
        <v>1.584</v>
      </c>
      <c r="F41" s="78" t="n">
        <v>1.287</v>
      </c>
      <c r="G41" s="78"/>
      <c r="H41" s="78"/>
      <c r="I41" s="78"/>
      <c r="J41" s="78"/>
      <c r="K41" s="78"/>
    </row>
    <row r="42" customFormat="false" ht="14.25" hidden="false" customHeight="true" outlineLevel="0" collapsed="false">
      <c r="A42" s="78" t="n">
        <f aca="false">G13</f>
        <v>0.494096014579871</v>
      </c>
      <c r="B42" s="78" t="n">
        <v>3.835</v>
      </c>
      <c r="C42" s="78" t="n">
        <v>2.859</v>
      </c>
      <c r="D42" s="78" t="n">
        <v>2.208</v>
      </c>
      <c r="E42" s="78" t="n">
        <v>1.756</v>
      </c>
      <c r="F42" s="78" t="n">
        <v>1.432</v>
      </c>
      <c r="G42" s="78"/>
      <c r="H42" s="78"/>
      <c r="I42" s="78"/>
      <c r="J42" s="78"/>
      <c r="K42" s="78"/>
    </row>
    <row r="43" customFormat="false" ht="14.25" hidden="false" customHeight="true" outlineLevel="0" collapsed="false">
      <c r="A43" s="78" t="n">
        <f aca="false">G14</f>
        <v>0.591963460297223</v>
      </c>
      <c r="B43" s="78" t="n">
        <v>4.228</v>
      </c>
      <c r="C43" s="78" t="n">
        <v>3.155</v>
      </c>
      <c r="D43" s="78" t="n">
        <v>2.441</v>
      </c>
      <c r="E43" s="78" t="n">
        <v>1.946</v>
      </c>
      <c r="F43" s="78" t="n">
        <v>1.589</v>
      </c>
      <c r="G43" s="78"/>
      <c r="H43" s="78"/>
      <c r="I43" s="78"/>
      <c r="J43" s="78"/>
      <c r="K43" s="78"/>
    </row>
    <row r="44" customFormat="false" ht="14.25" hidden="false" customHeight="true" outlineLevel="0" collapsed="false">
      <c r="A44" s="78" t="n">
        <f aca="false">G15</f>
        <v>0.695140235125829</v>
      </c>
      <c r="B44" s="78" t="n">
        <v>4.714</v>
      </c>
      <c r="C44" s="78" t="n">
        <v>3.546</v>
      </c>
      <c r="D44" s="78" t="n">
        <v>2.709</v>
      </c>
      <c r="E44" s="78" t="n">
        <v>2.159</v>
      </c>
      <c r="F44" s="78" t="n">
        <v>1.762</v>
      </c>
      <c r="G44" s="78"/>
      <c r="H44" s="78"/>
      <c r="I44" s="78"/>
      <c r="J44" s="78"/>
      <c r="K44" s="78"/>
    </row>
    <row r="45" customFormat="false" ht="14.25" hidden="false" customHeight="true" outlineLevel="0" collapsed="false">
      <c r="A45" s="78" t="n">
        <f aca="false">G16</f>
        <v>0.796860189295174</v>
      </c>
      <c r="B45" s="78" t="n">
        <v>5.251</v>
      </c>
      <c r="C45" s="78" t="n">
        <v>3.903</v>
      </c>
      <c r="D45" s="78" t="n">
        <v>3.013</v>
      </c>
      <c r="E45" s="78" t="n">
        <v>2.397</v>
      </c>
      <c r="F45" s="78" t="n">
        <v>1.957</v>
      </c>
      <c r="G45" s="78"/>
      <c r="H45" s="78"/>
      <c r="I45" s="78"/>
      <c r="J45" s="78"/>
      <c r="K45" s="78"/>
    </row>
    <row r="46" customFormat="false" ht="14.25" hidden="false" customHeight="true" outlineLevel="0" collapsed="false">
      <c r="A46" s="78" t="n">
        <f aca="false">G17</f>
        <v>0.896423574413522</v>
      </c>
      <c r="B46" s="78" t="n">
        <v>5.864</v>
      </c>
      <c r="C46" s="78" t="n">
        <v>4.329</v>
      </c>
      <c r="D46" s="78" t="n">
        <v>3.325</v>
      </c>
      <c r="E46" s="78" t="n">
        <v>2.637</v>
      </c>
      <c r="F46" s="78" t="n">
        <v>2.148</v>
      </c>
      <c r="G46" s="78"/>
      <c r="H46" s="78"/>
      <c r="I46" s="78"/>
      <c r="J46" s="78"/>
      <c r="K46" s="78"/>
    </row>
    <row r="47" customFormat="false" ht="14.25" hidden="false" customHeight="true" outlineLevel="0" collapsed="false">
      <c r="A47" s="78" t="n">
        <f aca="false">G18</f>
        <v>1</v>
      </c>
      <c r="B47" s="78" t="n">
        <f aca="false">densidad_viscosidad_puros!I85</f>
        <v>6.574</v>
      </c>
      <c r="C47" s="78" t="n">
        <f aca="false">densidad_viscosidad_puros!I86</f>
        <v>4.821</v>
      </c>
      <c r="D47" s="78" t="n">
        <f aca="false">densidad_viscosidad_puros!I87</f>
        <v>3.691</v>
      </c>
      <c r="E47" s="78" t="n">
        <f aca="false">densidad_viscosidad_puros!I88</f>
        <v>2.914</v>
      </c>
      <c r="F47" s="78" t="n">
        <f aca="false">densidad_viscosidad_puros!I89</f>
        <v>2.362</v>
      </c>
      <c r="G47" s="78"/>
      <c r="H47" s="78"/>
      <c r="I47" s="78"/>
      <c r="J47" s="78"/>
      <c r="K47" s="78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E9" activeCellId="1" sqref="B39:F39 E9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4" min="4" style="1" width="32.76"/>
    <col collapsed="false" customWidth="true" hidden="false" outlineLevel="0" max="6" min="6" style="1" width="9.5"/>
    <col collapsed="false" customWidth="true" hidden="false" outlineLevel="0" max="7" min="7" style="1" width="9.63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40</v>
      </c>
      <c r="B2" s="1" t="n">
        <v>1</v>
      </c>
      <c r="C2" s="1" t="n">
        <v>170.25</v>
      </c>
    </row>
    <row r="3" customFormat="false" ht="14.25" hidden="false" customHeight="true" outlineLevel="0" collapsed="false">
      <c r="A3" s="1" t="s">
        <v>17</v>
      </c>
      <c r="B3" s="1" t="n">
        <v>2</v>
      </c>
      <c r="C3" s="1" t="n">
        <v>88.15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396</v>
      </c>
      <c r="C7" s="1" t="s">
        <v>301</v>
      </c>
      <c r="D7" s="1" t="s">
        <v>397</v>
      </c>
      <c r="E7" s="1" t="s">
        <v>398</v>
      </c>
      <c r="F7" s="1" t="s">
        <v>302</v>
      </c>
      <c r="G7" s="1" t="s">
        <v>399</v>
      </c>
    </row>
    <row r="8" customFormat="false" ht="14.25" hidden="false" customHeight="true" outlineLevel="0" collapsed="false">
      <c r="A8" s="1" t="n">
        <v>5</v>
      </c>
      <c r="B8" s="5" t="n">
        <f aca="false">IF(D8=0, 0, IF(D8=1, A8, (D8*A8*$C$2)/($C$3*(1-D8)+$C$2*D8)))</f>
        <v>0</v>
      </c>
      <c r="C8" s="5" t="n">
        <f aca="false">A8-B8</f>
        <v>5</v>
      </c>
      <c r="D8" s="1" t="n">
        <v>0</v>
      </c>
      <c r="E8" s="1" t="n">
        <v>0</v>
      </c>
      <c r="F8" s="1" t="n">
        <v>5</v>
      </c>
      <c r="G8" s="1" t="n">
        <f aca="false">IF(AND(E8=0,F8&gt;0),0,"")</f>
        <v>0</v>
      </c>
      <c r="I8" s="5"/>
      <c r="J8" s="5"/>
    </row>
    <row r="9" customFormat="false" ht="14.25" hidden="false" customHeight="true" outlineLevel="0" collapsed="false">
      <c r="A9" s="1" t="n">
        <v>5</v>
      </c>
      <c r="B9" s="5" t="n">
        <f aca="false">IF(D9=0, 0, IF(D9=1, A9, (D9*A9*$C$2)/($C$3*(1-D9)+$C$2*D9)))</f>
        <v>0.88340597758406</v>
      </c>
      <c r="C9" s="5" t="n">
        <f aca="false">A9-B9</f>
        <v>4.11659402241594</v>
      </c>
      <c r="D9" s="1" t="n">
        <v>0.1</v>
      </c>
      <c r="E9" s="1" t="n">
        <v>0.885</v>
      </c>
      <c r="F9" s="1" t="n">
        <v>4.0713</v>
      </c>
      <c r="G9" s="1" t="n">
        <f aca="false">IFERROR((E9*purity_gamma/MW_gamma)/((E9*purity_gamma/MW_gamma)+(F9*purity_2m2boh/MW_2m2boh)),"")</f>
        <v>0.0999803195185457</v>
      </c>
      <c r="I9" s="5"/>
      <c r="J9" s="5"/>
    </row>
    <row r="10" customFormat="false" ht="14.25" hidden="false" customHeight="true" outlineLevel="0" collapsed="false">
      <c r="A10" s="1" t="n">
        <v>5</v>
      </c>
      <c r="B10" s="5" t="n">
        <f aca="false">IF(D10=0, 0, IF(D10=1, A10, (D10*A10*$C$2)/($C$3*(1-D10)+$C$2*D10)))</f>
        <v>1.6280960122406</v>
      </c>
      <c r="C10" s="5" t="n">
        <f aca="false">A10-B10</f>
        <v>3.3719039877594</v>
      </c>
      <c r="D10" s="1" t="n">
        <v>0.2</v>
      </c>
      <c r="E10" s="1" t="n">
        <v>1.6279</v>
      </c>
      <c r="F10" s="3" t="n">
        <v>3.375</v>
      </c>
      <c r="G10" s="1" t="n">
        <f aca="false">IFERROR((E10*purity_gamma/MW_gamma)/((E10*purity_gamma/MW_gamma)+(F10*purity_2m2boh/MW_2m2boh)),"")</f>
        <v>0.197749827698271</v>
      </c>
      <c r="I10" s="5"/>
      <c r="J10" s="5"/>
    </row>
    <row r="11" customFormat="false" ht="14.25" hidden="false" customHeight="true" outlineLevel="0" collapsed="false">
      <c r="A11" s="1" t="n">
        <v>5</v>
      </c>
      <c r="B11" s="5" t="n">
        <f aca="false">IF(D11=0, 0, IF(D11=1, A11, (D11*A11*$C$2)/($C$3*(1-D11)+$C$2*D11)))</f>
        <v>2.26436424898032</v>
      </c>
      <c r="C11" s="5" t="n">
        <f aca="false">A11-B11</f>
        <v>2.73563575101968</v>
      </c>
      <c r="D11" s="1" t="n">
        <v>0.3</v>
      </c>
      <c r="E11" s="1" t="n">
        <v>2.2684</v>
      </c>
      <c r="F11" s="3" t="n">
        <v>2.7236</v>
      </c>
      <c r="G11" s="1" t="n">
        <f aca="false">IFERROR((E11*purity_gamma/MW_gamma)/((E11*purity_gamma/MW_gamma)+(F11*purity_2m2boh/MW_2m2boh)),"")</f>
        <v>0.298554005126112</v>
      </c>
      <c r="I11" s="5"/>
      <c r="J11" s="5"/>
    </row>
    <row r="12" customFormat="false" ht="14.25" hidden="false" customHeight="true" outlineLevel="0" collapsed="false">
      <c r="A12" s="1" t="n">
        <v>5</v>
      </c>
      <c r="B12" s="5" t="n">
        <f aca="false">IF(D12=0, 0, IF(D12=1, A12, (D12*A12*$C$2)/($C$3*(1-D12)+$C$2*D12)))</f>
        <v>2.81428217208034</v>
      </c>
      <c r="C12" s="5" t="n">
        <f aca="false">A12-B12</f>
        <v>2.18571782791966</v>
      </c>
      <c r="D12" s="1" t="n">
        <v>0.4</v>
      </c>
      <c r="E12" s="1" t="n">
        <v>2.8419</v>
      </c>
      <c r="F12" s="3" t="n">
        <v>2.1603</v>
      </c>
      <c r="G12" s="1" t="n">
        <f aca="false">IFERROR((E12*purity_gamma/MW_gamma)/((E12*purity_gamma/MW_gamma)+(F12*purity_2m2boh/MW_2m2boh)),"")</f>
        <v>0.402012291803286</v>
      </c>
      <c r="I12" s="5"/>
      <c r="J12" s="5"/>
    </row>
    <row r="13" customFormat="false" ht="14.25" hidden="false" customHeight="true" outlineLevel="0" collapsed="false">
      <c r="A13" s="1" t="n">
        <v>5</v>
      </c>
      <c r="B13" s="5" t="n">
        <f aca="false">IF(D13=0, 0, IF(D13=1, A13, (D13*A13*$C$2)/($C$3*(1-D13)+$C$2*D13)))</f>
        <v>3.29431114551084</v>
      </c>
      <c r="C13" s="5" t="n">
        <f aca="false">A13-B13</f>
        <v>1.70568885448916</v>
      </c>
      <c r="D13" s="1" t="n">
        <v>0.5</v>
      </c>
      <c r="E13" s="1" t="n">
        <v>3.2126</v>
      </c>
      <c r="F13" s="3" t="n">
        <v>1.672</v>
      </c>
      <c r="G13" s="1" t="n">
        <f aca="false">IFERROR((E13*purity_gamma/MW_gamma)/((E13*purity_gamma/MW_gamma)+(F13*purity_2m2boh/MW_2m2boh)),"")</f>
        <v>0.495436823631951</v>
      </c>
      <c r="I13" s="5"/>
    </row>
    <row r="14" customFormat="false" ht="14.25" hidden="false" customHeight="true" outlineLevel="0" collapsed="false">
      <c r="A14" s="1" t="n">
        <v>5</v>
      </c>
      <c r="B14" s="5" t="n">
        <f aca="false">IF(D14=0, 0, IF(D14=1, A14, (D14*A14*$C$2)/($C$3*(1-D14)+$C$2*D14)))</f>
        <v>3.71697838585256</v>
      </c>
      <c r="C14" s="5" t="n">
        <f aca="false">A14-B14</f>
        <v>1.28302161414744</v>
      </c>
      <c r="D14" s="1" t="n">
        <v>0.6</v>
      </c>
      <c r="E14" s="1" t="n">
        <v>3.7993</v>
      </c>
      <c r="F14" s="3" t="n">
        <v>1.2565</v>
      </c>
      <c r="G14" s="1" t="n">
        <f aca="false">IFERROR((E14*purity_gamma/MW_gamma)/((E14*purity_gamma/MW_gamma)+(F14*purity_2m2boh/MW_2m2boh)),"")</f>
        <v>0.607108369954993</v>
      </c>
      <c r="I14" s="5"/>
      <c r="K14" s="3"/>
    </row>
    <row r="15" customFormat="false" ht="14.25" hidden="false" customHeight="true" outlineLevel="0" collapsed="false">
      <c r="A15" s="1" t="n">
        <v>5</v>
      </c>
      <c r="B15" s="5" t="n">
        <f aca="false">IF(D15=0, 0, IF(D15=1, A15, (D15*A15*$C$2)/($C$3*(1-D15)+$C$2*D15)))</f>
        <v>4.09198599093531</v>
      </c>
      <c r="C15" s="5" t="n">
        <f aca="false">A15-B15</f>
        <v>0.908014009064689</v>
      </c>
      <c r="D15" s="1" t="n">
        <v>0.7</v>
      </c>
      <c r="E15" s="1" t="n">
        <v>4.008</v>
      </c>
      <c r="F15" s="3" t="n">
        <v>0.870799999999999</v>
      </c>
      <c r="G15" s="1" t="n">
        <f aca="false">IFERROR((E15*purity_gamma/MW_gamma)/((E15*purity_gamma/MW_gamma)+(F15*purity_2m2boh/MW_2m2boh)),"")</f>
        <v>0.701682368278168</v>
      </c>
      <c r="I15" s="5"/>
      <c r="K15" s="3"/>
    </row>
    <row r="16" customFormat="false" ht="14.25" hidden="false" customHeight="true" outlineLevel="0" collapsed="false">
      <c r="A16" s="1" t="n">
        <v>5</v>
      </c>
      <c r="B16" s="5" t="n">
        <f aca="false">IF(D16=0, 0, IF(D16=1, A16, (D16*A16*$C$2)/($C$3*(1-D16)+$C$2*D16)))</f>
        <v>4.42696483130729</v>
      </c>
      <c r="C16" s="5" t="n">
        <f aca="false">A16-B16</f>
        <v>0.573035168692713</v>
      </c>
      <c r="D16" s="1" t="n">
        <v>0.8</v>
      </c>
      <c r="E16" s="1" t="n">
        <v>4.4587</v>
      </c>
      <c r="F16" s="3" t="n">
        <v>0.5464</v>
      </c>
      <c r="G16" s="1" t="n">
        <f aca="false">IFERROR((E16*purity_gamma/MW_gamma)/((E16*purity_gamma/MW_gamma)+(F16*purity_2m2boh/MW_2m2boh)),"")</f>
        <v>0.806581379473363</v>
      </c>
      <c r="I16" s="5"/>
      <c r="K16" s="3"/>
    </row>
    <row r="17" customFormat="false" ht="14.25" hidden="false" customHeight="true" outlineLevel="0" collapsed="false">
      <c r="A17" s="1" t="n">
        <v>5</v>
      </c>
      <c r="B17" s="5" t="n">
        <f aca="false">IF(D17=0, 0, IF(D17=1, A17, (D17*A17*$C$2)/($C$3*(1-D17)+$C$2*D17)))</f>
        <v>4.72799925944211</v>
      </c>
      <c r="C17" s="5" t="n">
        <f aca="false">A17-B17</f>
        <v>0.272000740557886</v>
      </c>
      <c r="D17" s="1" t="n">
        <v>0.9</v>
      </c>
      <c r="E17" s="1" t="n">
        <v>4.5947</v>
      </c>
      <c r="F17" s="3" t="n">
        <v>0.2622</v>
      </c>
      <c r="G17" s="1" t="n">
        <f aca="false">IFERROR((E17*purity_gamma/MW_gamma)/((E17*purity_gamma/MW_gamma)+(F17*purity_2m2boh/MW_2m2boh)),"")</f>
        <v>0.899550302724418</v>
      </c>
      <c r="I17" s="5"/>
      <c r="K17" s="3"/>
    </row>
    <row r="18" customFormat="false" ht="14.25" hidden="false" customHeight="true" outlineLevel="0" collapsed="false">
      <c r="A18" s="1" t="n">
        <v>5</v>
      </c>
      <c r="B18" s="5" t="n">
        <f aca="false">IF(D18=0, 0, IF(D18=1, A18, (D18*A18*$C$2)/($C$3*(1-D18)+$C$2*D18)))</f>
        <v>5</v>
      </c>
      <c r="C18" s="5" t="n">
        <f aca="false">A18-B18</f>
        <v>0</v>
      </c>
      <c r="D18" s="1" t="n">
        <v>1</v>
      </c>
      <c r="E18" s="1" t="n">
        <v>5</v>
      </c>
      <c r="F18" s="1" t="n">
        <v>0</v>
      </c>
      <c r="G18" s="1" t="n">
        <f aca="false">IF(AND(E18&gt;0,F18=0),1,IFERROR((E18/MW_gamma)/((E18/MW_gamma)+(F18/MW_2m2boh)),""))</f>
        <v>1</v>
      </c>
      <c r="I18" s="5"/>
      <c r="K18" s="3"/>
    </row>
    <row r="19" customFormat="false" ht="13.5" hidden="false" customHeight="true" outlineLevel="0" collapsed="false">
      <c r="K19" s="3"/>
    </row>
    <row r="20" customFormat="false" ht="14.25" hidden="false" customHeight="true" outlineLevel="0" collapsed="false">
      <c r="K20" s="3"/>
    </row>
    <row r="21" customFormat="false" ht="13.5" hidden="false" customHeight="true" outlineLevel="0" collapsed="false">
      <c r="B21" s="1" t="s">
        <v>212</v>
      </c>
      <c r="G21" s="3" t="s">
        <v>284</v>
      </c>
      <c r="K21" s="3"/>
    </row>
    <row r="22" customFormat="false" ht="13.5" hidden="false" customHeight="true" outlineLevel="0" collapsed="false">
      <c r="A22" s="1" t="s">
        <v>285</v>
      </c>
      <c r="B22" s="1" t="n">
        <v>20</v>
      </c>
      <c r="C22" s="1" t="n">
        <v>30</v>
      </c>
      <c r="D22" s="1" t="n">
        <v>40</v>
      </c>
      <c r="E22" s="1" t="n">
        <v>50</v>
      </c>
      <c r="F22" s="1" t="n">
        <v>60</v>
      </c>
      <c r="G22" s="1" t="n">
        <v>20</v>
      </c>
      <c r="H22" s="1" t="n">
        <v>30</v>
      </c>
      <c r="I22" s="1" t="n">
        <v>40</v>
      </c>
      <c r="J22" s="1" t="n">
        <v>50</v>
      </c>
      <c r="K22" s="1" t="n">
        <v>60</v>
      </c>
    </row>
    <row r="23" customFormat="false" ht="14.25" hidden="false" customHeight="true" outlineLevel="0" collapsed="false">
      <c r="A23" s="1" t="n">
        <f aca="false">G8</f>
        <v>0</v>
      </c>
      <c r="B23" s="1" t="n">
        <f aca="false">densidad_viscosidad_puros!G15</f>
        <v>0.80899</v>
      </c>
      <c r="C23" s="1" t="n">
        <f aca="false">densidad_viscosidad_puros!G16</f>
        <v>0.79979</v>
      </c>
      <c r="D23" s="1" t="n">
        <f aca="false">densidad_viscosidad_puros!G17</f>
        <v>0.79035</v>
      </c>
      <c r="E23" s="1" t="n">
        <f aca="false">densidad_viscosidad_puros!G18</f>
        <v>0.7806</v>
      </c>
      <c r="F23" s="78" t="n">
        <f aca="false">densidad_viscosidad_puros!G19</f>
        <v>0.77049</v>
      </c>
      <c r="G23" s="1" t="n">
        <f aca="false">IFERROR((($A23*MW_gamma)+((1-$A23)*MW_2m2boh))/B23-(($A23*MW_gamma/B$33)+((1-$A23)*MW_2m2boh/B$23)),"")</f>
        <v>0</v>
      </c>
      <c r="H23" s="1" t="n">
        <f aca="false">IFERROR((($A23*MW_gamma)+((1-$A23)*MW_2m2boh))/C23-(($A23*MW_gamma/C$33)+((1-$A23)*MW_2m2boh/C$23)),"")</f>
        <v>0</v>
      </c>
      <c r="I23" s="1" t="n">
        <f aca="false">IFERROR((($A23*MW_gamma)+((1-$A23)*MW_2m2boh))/D23-(($A23*MW_gamma/D$33)+((1-$A23)*MW_2m2boh/D$23)),"")</f>
        <v>0</v>
      </c>
      <c r="J23" s="1" t="n">
        <f aca="false">IFERROR((($A23*MW_gamma)+((1-$A23)*MW_2m2boh))/E23-(($A23*MW_gamma/E$33)+((1-$A23)*MW_2m2boh/E$23)),"")</f>
        <v>0</v>
      </c>
      <c r="K23" s="1" t="n">
        <f aca="false">IFERROR((($A23*MW_gamma)+((1-$A23)*MW_2m2boh))/F23-(($A23*MW_gamma/F$33)+((1-$A23)*MW_2m2boh/F$23)),"")</f>
        <v>0</v>
      </c>
    </row>
    <row r="24" customFormat="false" ht="14.25" hidden="false" customHeight="true" outlineLevel="0" collapsed="false">
      <c r="A24" s="1" t="n">
        <f aca="false">G9</f>
        <v>0.0999803195185457</v>
      </c>
      <c r="B24" s="93" t="n">
        <v>0.83263</v>
      </c>
      <c r="C24" s="93" t="n">
        <v>0.82348</v>
      </c>
      <c r="D24" s="93" t="n">
        <v>0.81423</v>
      </c>
      <c r="E24" s="93" t="n">
        <v>0.80474</v>
      </c>
      <c r="F24" s="93" t="n">
        <v>0.79494</v>
      </c>
      <c r="G24" s="1" t="n">
        <f aca="false">IFERROR((($A24*MW_gamma)+((1-$A24)*MW_2m2boh))/B24-(($A24*MW_gamma/B$33)+((1-$A24)*MW_2m2boh/B$23)),"")</f>
        <v>-0.20375595723273</v>
      </c>
      <c r="H24" s="1" t="n">
        <f aca="false">IFERROR((($A24*MW_gamma)+((1-$A24)*MW_2m2boh))/C24-(($A24*MW_gamma/C$33)+((1-$A24)*MW_2m2boh/C$23)),"")</f>
        <v>-0.188795680850475</v>
      </c>
      <c r="I24" s="1" t="n">
        <f aca="false">IFERROR((($A24*MW_gamma)+((1-$A24)*MW_2m2boh))/D24-(($A24*MW_gamma/D$33)+((1-$A24)*MW_2m2boh/D$23)),"")</f>
        <v>-0.190597878360819</v>
      </c>
      <c r="J24" s="1" t="n">
        <f aca="false">IFERROR((($A24*MW_gamma)+((1-$A24)*MW_2m2boh))/E24-(($A24*MW_gamma/E$33)+((1-$A24)*MW_2m2boh/E$23)),"")</f>
        <v>-0.197342598453247</v>
      </c>
      <c r="K24" s="1" t="n">
        <f aca="false">IFERROR((($A24*MW_gamma)+((1-$A24)*MW_2m2boh))/F24-(($A24*MW_gamma/F$33)+((1-$A24)*MW_2m2boh/F$23)),"")</f>
        <v>-0.206184142736191</v>
      </c>
    </row>
    <row r="25" customFormat="false" ht="13.5" hidden="false" customHeight="true" outlineLevel="0" collapsed="false">
      <c r="A25" s="1" t="n">
        <f aca="false">G10</f>
        <v>0.197749827698271</v>
      </c>
      <c r="B25" s="93" t="n">
        <v>0.85134</v>
      </c>
      <c r="C25" s="93" t="n">
        <v>0.84264</v>
      </c>
      <c r="D25" s="93" t="n">
        <v>0.83371</v>
      </c>
      <c r="E25" s="93" t="n">
        <v>0.82455</v>
      </c>
      <c r="F25" s="93" t="n">
        <v>0.81516</v>
      </c>
      <c r="G25" s="1" t="n">
        <f aca="false">IFERROR((($A25*MW_gamma)+((1-$A25)*MW_2m2boh))/B25-(($A25*MW_gamma/B$33)+((1-$A25)*MW_2m2boh/B$23)),"")</f>
        <v>-0.132970995124694</v>
      </c>
      <c r="H25" s="1" t="n">
        <f aca="false">IFERROR((($A25*MW_gamma)+((1-$A25)*MW_2m2boh))/C25-(($A25*MW_gamma/C$33)+((1-$A25)*MW_2m2boh/C$23)),"")</f>
        <v>-0.155108277981967</v>
      </c>
      <c r="I25" s="1" t="n">
        <f aca="false">IFERROR((($A25*MW_gamma)+((1-$A25)*MW_2m2boh))/D25-(($A25*MW_gamma/D$33)+((1-$A25)*MW_2m2boh/D$23)),"")</f>
        <v>-0.173718026148123</v>
      </c>
      <c r="J25" s="1" t="n">
        <f aca="false">IFERROR((($A25*MW_gamma)+((1-$A25)*MW_2m2boh))/E25-(($A25*MW_gamma/E$33)+((1-$A25)*MW_2m2boh/E$23)),"")</f>
        <v>-0.194141620268795</v>
      </c>
      <c r="K25" s="1" t="n">
        <f aca="false">IFERROR((($A25*MW_gamma)+((1-$A25)*MW_2m2boh))/F25-(($A25*MW_gamma/F$33)+((1-$A25)*MW_2m2boh/F$23)),"")</f>
        <v>-0.223967083539037</v>
      </c>
    </row>
    <row r="26" customFormat="false" ht="13.5" hidden="false" customHeight="true" outlineLevel="0" collapsed="false">
      <c r="A26" s="1" t="n">
        <f aca="false">G11</f>
        <v>0.298554005126112</v>
      </c>
      <c r="B26" s="93" t="n">
        <v>0.86842</v>
      </c>
      <c r="C26" s="93" t="n">
        <v>0.85995</v>
      </c>
      <c r="D26" s="93" t="n">
        <v>0.85126</v>
      </c>
      <c r="E26" s="93" t="n">
        <v>0.84241</v>
      </c>
      <c r="F26" s="93" t="n">
        <v>0.83338</v>
      </c>
      <c r="G26" s="1" t="n">
        <f aca="false">IFERROR((($A26*MW_gamma)+((1-$A26)*MW_2m2boh))/B26-(($A26*MW_gamma/B$33)+((1-$A26)*MW_2m2boh/B$23)),"")</f>
        <v>-0.0404168639514921</v>
      </c>
      <c r="H26" s="1" t="n">
        <f aca="false">IFERROR((($A26*MW_gamma)+((1-$A26)*MW_2m2boh))/C26-(($A26*MW_gamma/C$33)+((1-$A26)*MW_2m2boh/C$23)),"")</f>
        <v>-0.0683929635212621</v>
      </c>
      <c r="I26" s="1" t="n">
        <f aca="false">IFERROR((($A26*MW_gamma)+((1-$A26)*MW_2m2boh))/D26-(($A26*MW_gamma/D$33)+((1-$A26)*MW_2m2boh/D$23)),"")</f>
        <v>-0.0913101880050533</v>
      </c>
      <c r="J26" s="1" t="n">
        <f aca="false">IFERROR((($A26*MW_gamma)+((1-$A26)*MW_2m2boh))/E26-(($A26*MW_gamma/E$33)+((1-$A26)*MW_2m2boh/E$23)),"")</f>
        <v>-0.121585580715134</v>
      </c>
      <c r="K26" s="1" t="n">
        <f aca="false">IFERROR((($A26*MW_gamma)+((1-$A26)*MW_2m2boh))/F26-(($A26*MW_gamma/F$33)+((1-$A26)*MW_2m2boh/F$23)),"")</f>
        <v>-0.163854187922084</v>
      </c>
    </row>
    <row r="27" customFormat="false" ht="13.5" hidden="false" customHeight="true" outlineLevel="0" collapsed="false">
      <c r="A27" s="1" t="n">
        <f aca="false">G12</f>
        <v>0.402012291803286</v>
      </c>
      <c r="B27" s="93" t="n">
        <v>0.88457</v>
      </c>
      <c r="C27" s="93" t="n">
        <v>0.87598</v>
      </c>
      <c r="D27" s="93" t="n">
        <v>0.86751</v>
      </c>
      <c r="E27" s="93" t="n">
        <v>0.85892</v>
      </c>
      <c r="F27" s="93" t="n">
        <v>0.85023</v>
      </c>
      <c r="G27" s="1" t="n">
        <f aca="false">IFERROR((($A27*MW_gamma)+((1-$A27)*MW_2m2boh))/B27-(($A27*MW_gamma/B$33)+((1-$A27)*MW_2m2boh/B$23)),"")</f>
        <v>-0.0175318358178629</v>
      </c>
      <c r="H27" s="1" t="n">
        <f aca="false">IFERROR((($A27*MW_gamma)+((1-$A27)*MW_2m2boh))/C27-(($A27*MW_gamma/C$33)+((1-$A27)*MW_2m2boh/C$23)),"")</f>
        <v>0.00167589987509587</v>
      </c>
      <c r="I27" s="1" t="n">
        <f aca="false">IFERROR((($A27*MW_gamma)+((1-$A27)*MW_2m2boh))/D27-(($A27*MW_gamma/D$33)+((1-$A27)*MW_2m2boh/D$23)),"")</f>
        <v>-0.0234564562315995</v>
      </c>
      <c r="J27" s="1" t="n">
        <f aca="false">IFERROR((($A27*MW_gamma)+((1-$A27)*MW_2m2boh))/E27-(($A27*MW_gamma/E$33)+((1-$A27)*MW_2m2boh/E$23)),"")</f>
        <v>-0.0569430362119761</v>
      </c>
      <c r="K27" s="1" t="n">
        <f aca="false">IFERROR((($A27*MW_gamma)+((1-$A27)*MW_2m2boh))/F27-(($A27*MW_gamma/F$33)+((1-$A27)*MW_2m2boh/F$23)),"")</f>
        <v>-0.109937248373626</v>
      </c>
    </row>
    <row r="28" customFormat="false" ht="13.5" hidden="false" customHeight="true" outlineLevel="0" collapsed="false">
      <c r="A28" s="1" t="n">
        <f aca="false">G13</f>
        <v>0.495436823631951</v>
      </c>
      <c r="B28" s="93" t="n">
        <v>0.89732</v>
      </c>
      <c r="C28" s="93" t="n">
        <v>0.8891</v>
      </c>
      <c r="D28" s="93" t="n">
        <v>0.88082</v>
      </c>
      <c r="E28" s="93" t="n">
        <v>0.87244</v>
      </c>
      <c r="F28" s="93" t="n">
        <v>0.864</v>
      </c>
      <c r="G28" s="1" t="n">
        <f aca="false">IFERROR((($A28*MW_gamma)+((1-$A28)*MW_2m2boh))/B28-(($A28*MW_gamma/B$33)+((1-$A28)*MW_2m2boh/B$23)),"")</f>
        <v>0.0726455464703975</v>
      </c>
      <c r="H28" s="1" t="n">
        <f aca="false">IFERROR((($A28*MW_gamma)+((1-$A28)*MW_2m2boh))/C28-(($A28*MW_gamma/C$33)+((1-$A28)*MW_2m2boh/C$23)),"")</f>
        <v>0.0596891464479654</v>
      </c>
      <c r="I28" s="1" t="n">
        <f aca="false">IFERROR((($A28*MW_gamma)+((1-$A28)*MW_2m2boh))/D28-(($A28*MW_gamma/D$33)+((1-$A28)*MW_2m2boh/D$23)),"")</f>
        <v>0.0324969080854771</v>
      </c>
      <c r="J28" s="1" t="n">
        <f aca="false">IFERROR((($A28*MW_gamma)+((1-$A28)*MW_2m2boh))/E28-(($A28*MW_gamma/E$33)+((1-$A28)*MW_2m2boh/E$23)),"")</f>
        <v>-0.00150390870604156</v>
      </c>
      <c r="K28" s="1" t="n">
        <f aca="false">IFERROR((($A28*MW_gamma)+((1-$A28)*MW_2m2boh))/F28-(($A28*MW_gamma/F$33)+((1-$A28)*MW_2m2boh/F$23)),"")</f>
        <v>-0.0567657929436507</v>
      </c>
    </row>
    <row r="29" customFormat="false" ht="13.5" hidden="false" customHeight="true" outlineLevel="0" collapsed="false">
      <c r="A29" s="1" t="n">
        <f aca="false">G14</f>
        <v>0.607108369954993</v>
      </c>
      <c r="B29" s="93" t="n">
        <v>0.91135</v>
      </c>
      <c r="C29" s="93" t="n">
        <v>0.90334</v>
      </c>
      <c r="D29" s="93" t="n">
        <v>0.89525</v>
      </c>
      <c r="E29" s="93" t="n">
        <v>0.8871</v>
      </c>
      <c r="F29" s="93" t="n">
        <v>0.8789</v>
      </c>
      <c r="G29" s="1" t="n">
        <f aca="false">IFERROR((($A29*MW_gamma)+((1-$A29)*MW_2m2boh))/B29-(($A29*MW_gamma/B$33)+((1-$A29)*MW_2m2boh/B$23)),"")</f>
        <v>0.139206984634001</v>
      </c>
      <c r="H29" s="1" t="n">
        <f aca="false">IFERROR((($A29*MW_gamma)+((1-$A29)*MW_2m2boh))/C29-(($A29*MW_gamma/C$33)+((1-$A29)*MW_2m2boh/C$23)),"")</f>
        <v>0.121976879666875</v>
      </c>
      <c r="I29" s="1" t="n">
        <f aca="false">IFERROR((($A29*MW_gamma)+((1-$A29)*MW_2m2boh))/D29-(($A29*MW_gamma/D$33)+((1-$A29)*MW_2m2boh/D$23)),"")</f>
        <v>0.0967421573114677</v>
      </c>
      <c r="J29" s="1" t="n">
        <f aca="false">IFERROR((($A29*MW_gamma)+((1-$A29)*MW_2m2boh))/E29-(($A29*MW_gamma/E$33)+((1-$A29)*MW_2m2boh/E$23)),"")</f>
        <v>0.0637242216824632</v>
      </c>
      <c r="K29" s="1" t="n">
        <f aca="false">IFERROR((($A29*MW_gamma)+((1-$A29)*MW_2m2boh))/F29-(($A29*MW_gamma/F$33)+((1-$A29)*MW_2m2boh/F$23)),"")</f>
        <v>0.0137541478418939</v>
      </c>
    </row>
    <row r="30" customFormat="false" ht="13.5" hidden="false" customHeight="true" outlineLevel="0" collapsed="false">
      <c r="A30" s="1" t="n">
        <f aca="false">G15</f>
        <v>0.701682368278168</v>
      </c>
      <c r="B30" s="93" t="n">
        <v>0.92216</v>
      </c>
      <c r="C30" s="93" t="n">
        <v>0.91439</v>
      </c>
      <c r="D30" s="93" t="n">
        <v>0.90645</v>
      </c>
      <c r="E30" s="93" t="n">
        <v>0.89849</v>
      </c>
      <c r="F30" s="93" t="n">
        <v>0.89048</v>
      </c>
      <c r="G30" s="1" t="n">
        <f aca="false">IFERROR((($A30*MW_gamma)+((1-$A30)*MW_2m2boh))/B30-(($A30*MW_gamma/B$33)+((1-$A30)*MW_2m2boh/B$23)),"")</f>
        <v>0.192509488201324</v>
      </c>
      <c r="H30" s="1" t="n">
        <f aca="false">IFERROR((($A30*MW_gamma)+((1-$A30)*MW_2m2boh))/C30-(($A30*MW_gamma/C$33)+((1-$A30)*MW_2m2boh/C$23)),"")</f>
        <v>0.159194402224614</v>
      </c>
      <c r="I30" s="1" t="n">
        <f aca="false">IFERROR((($A30*MW_gamma)+((1-$A30)*MW_2m2boh))/D30-(($A30*MW_gamma/D$33)+((1-$A30)*MW_2m2boh/D$23)),"")</f>
        <v>0.135936066585913</v>
      </c>
      <c r="J30" s="1" t="n">
        <f aca="false">IFERROR((($A30*MW_gamma)+((1-$A30)*MW_2m2boh))/E30-(($A30*MW_gamma/E$33)+((1-$A30)*MW_2m2boh/E$23)),"")</f>
        <v>0.102654766302777</v>
      </c>
      <c r="K30" s="1" t="n">
        <f aca="false">IFERROR((($A30*MW_gamma)+((1-$A30)*MW_2m2boh))/F30-(($A30*MW_gamma/F$33)+((1-$A30)*MW_2m2boh/F$23)),"")</f>
        <v>0.057575599316209</v>
      </c>
    </row>
    <row r="31" customFormat="false" ht="13.5" hidden="false" customHeight="true" outlineLevel="0" collapsed="false">
      <c r="A31" s="1" t="n">
        <f aca="false">G16</f>
        <v>0.806581379473363</v>
      </c>
      <c r="B31" s="93" t="n">
        <v>0.93366</v>
      </c>
      <c r="C31" s="93" t="n">
        <v>0.92593</v>
      </c>
      <c r="D31" s="93" t="n">
        <v>0.91813</v>
      </c>
      <c r="E31" s="93" t="n">
        <v>0.91032</v>
      </c>
      <c r="F31" s="93" t="n">
        <v>0.90249</v>
      </c>
      <c r="G31" s="1" t="n">
        <f aca="false">IFERROR((($A31*MW_gamma)+((1-$A31)*MW_2m2boh))/B31-(($A31*MW_gamma/B$33)+((1-$A31)*MW_2m2boh/B$23)),"")</f>
        <v>0.158495856259009</v>
      </c>
      <c r="H31" s="1" t="n">
        <f aca="false">IFERROR((($A31*MW_gamma)+((1-$A31)*MW_2m2boh))/C31-(($A31*MW_gamma/C$33)+((1-$A31)*MW_2m2boh/C$23)),"")</f>
        <v>0.143973024144941</v>
      </c>
      <c r="I31" s="1" t="n">
        <f aca="false">IFERROR((($A31*MW_gamma)+((1-$A31)*MW_2m2boh))/D31-(($A31*MW_gamma/D$33)+((1-$A31)*MW_2m2boh/D$23)),"")</f>
        <v>0.125368795799375</v>
      </c>
      <c r="J31" s="1" t="n">
        <f aca="false">IFERROR((($A31*MW_gamma)+((1-$A31)*MW_2m2boh))/E31-(($A31*MW_gamma/E$33)+((1-$A31)*MW_2m2boh/E$23)),"")</f>
        <v>0.1003197848882</v>
      </c>
      <c r="K31" s="1" t="n">
        <f aca="false">IFERROR((($A31*MW_gamma)+((1-$A31)*MW_2m2boh))/F31-(($A31*MW_gamma/F$33)+((1-$A31)*MW_2m2boh/F$23)),"")</f>
        <v>0.0638826756773199</v>
      </c>
    </row>
    <row r="32" customFormat="false" ht="13.5" hidden="false" customHeight="true" outlineLevel="0" collapsed="false">
      <c r="A32" s="1" t="n">
        <f aca="false">G17</f>
        <v>0.899550302724418</v>
      </c>
      <c r="B32" s="93" t="n">
        <v>0.94314</v>
      </c>
      <c r="C32" s="93" t="n">
        <v>0.9355</v>
      </c>
      <c r="D32" s="93" t="n">
        <v>0.92781</v>
      </c>
      <c r="E32" s="93" t="n">
        <v>0.9201</v>
      </c>
      <c r="F32" s="93" t="n">
        <v>0.91237</v>
      </c>
      <c r="G32" s="1" t="n">
        <f aca="false">IFERROR((($A32*MW_gamma)+((1-$A32)*MW_2m2boh))/B32-(($A32*MW_gamma/B$33)+((1-$A32)*MW_2m2boh/B$23)),"")</f>
        <v>0.109717820880491</v>
      </c>
      <c r="H32" s="1" t="n">
        <f aca="false">IFERROR((($A32*MW_gamma)+((1-$A32)*MW_2m2boh))/C32-(($A32*MW_gamma/C$33)+((1-$A32)*MW_2m2boh/C$23)),"")</f>
        <v>0.101387184427779</v>
      </c>
      <c r="I32" s="1" t="n">
        <f aca="false">IFERROR((($A32*MW_gamma)+((1-$A32)*MW_2m2boh))/D32-(($A32*MW_gamma/D$33)+((1-$A32)*MW_2m2boh/D$23)),"")</f>
        <v>0.088065326406678</v>
      </c>
      <c r="J32" s="1" t="n">
        <f aca="false">IFERROR((($A32*MW_gamma)+((1-$A32)*MW_2m2boh))/E32-(($A32*MW_gamma/E$33)+((1-$A32)*MW_2m2boh/E$23)),"")</f>
        <v>0.0750631554502945</v>
      </c>
      <c r="K32" s="1" t="n">
        <f aca="false">IFERROR((($A32*MW_gamma)+((1-$A32)*MW_2m2boh))/F32-(($A32*MW_gamma/F$33)+((1-$A32)*MW_2m2boh/F$23)),"")</f>
        <v>0.0561300339531385</v>
      </c>
    </row>
    <row r="33" customFormat="false" ht="13.5" hidden="false" customHeight="true" outlineLevel="0" collapsed="false">
      <c r="A33" s="1" t="n">
        <f aca="false">G18</f>
        <v>1</v>
      </c>
      <c r="B33" s="1" t="n">
        <f aca="false">densidad_viscosidad_puros!G85</f>
        <v>0.95292</v>
      </c>
      <c r="C33" s="1" t="n">
        <f aca="false">densidad_viscosidad_puros!G86</f>
        <v>0.94536</v>
      </c>
      <c r="D33" s="1" t="n">
        <f aca="false">densidad_viscosidad_puros!G87</f>
        <v>0.93774</v>
      </c>
      <c r="E33" s="1" t="n">
        <f aca="false">densidad_viscosidad_puros!G88</f>
        <v>0.93013</v>
      </c>
      <c r="F33" s="1" t="n">
        <f aca="false">densidad_viscosidad_puros!G89</f>
        <v>0.9225</v>
      </c>
      <c r="G33" s="1" t="n">
        <f aca="false">IFERROR((($A33*MW_gamma)+((1-$A33)*MW_2m2boh))/B33-(($A33*MW_gamma/B$33)+((1-$A33)*MW_2m2boh/B$23)),"")</f>
        <v>0</v>
      </c>
      <c r="H33" s="1" t="n">
        <f aca="false">IFERROR((($A33*MW_gamma)+((1-$A33)*MW_2m2boh))/C33-(($A33*MW_gamma/C$33)+((1-$A33)*MW_2m2boh/C$23)),"")</f>
        <v>0</v>
      </c>
      <c r="I33" s="1" t="n">
        <f aca="false">IFERROR((($A33*MW_gamma)+((1-$A33)*MW_2m2boh))/D33-(($A33*MW_gamma/D$33)+((1-$A33)*MW_2m2boh/D$23)),"")</f>
        <v>0</v>
      </c>
      <c r="J33" s="1" t="n">
        <f aca="false">IFERROR((($A33*MW_gamma)+((1-$A33)*MW_2m2boh))/E33-(($A33*MW_gamma/E$33)+((1-$A33)*MW_2m2boh/E$23)),"")</f>
        <v>0</v>
      </c>
      <c r="K33" s="1" t="n">
        <f aca="false">IFERROR((($A33*MW_gamma)+((1-$A33)*MW_2m2boh))/F33-(($A33*MW_gamma/F$33)+((1-$A33)*MW_2m2boh/F$23)),"")</f>
        <v>0</v>
      </c>
    </row>
    <row r="34" customFormat="false" ht="13.5" hidden="false" customHeight="true" outlineLevel="0" collapsed="false"/>
    <row r="35" customFormat="false" ht="13.5" hidden="false" customHeight="true" outlineLevel="0" collapsed="false">
      <c r="B35" s="1" t="s">
        <v>214</v>
      </c>
    </row>
    <row r="36" customFormat="false" ht="13.5" hidden="false" customHeight="true" outlineLevel="0" collapsed="false">
      <c r="A36" s="1" t="s">
        <v>285</v>
      </c>
      <c r="B36" s="1" t="n">
        <v>20</v>
      </c>
      <c r="C36" s="1" t="n">
        <v>30</v>
      </c>
      <c r="D36" s="1" t="n">
        <v>40</v>
      </c>
      <c r="E36" s="1" t="n">
        <v>50</v>
      </c>
      <c r="F36" s="1" t="n">
        <v>60</v>
      </c>
    </row>
    <row r="37" customFormat="false" ht="13.5" hidden="false" customHeight="true" outlineLevel="0" collapsed="false">
      <c r="A37" s="1" t="n">
        <f aca="false">G8</f>
        <v>0</v>
      </c>
      <c r="B37" s="1" t="n">
        <f aca="false">densidad_viscosidad_puros!I15</f>
        <v>4.244</v>
      </c>
      <c r="C37" s="1" t="n">
        <f aca="false">densidad_viscosidad_puros!I16</f>
        <v>2.776</v>
      </c>
      <c r="D37" s="1" t="n">
        <f aca="false">densidad_viscosidad_puros!I17</f>
        <v>1.918</v>
      </c>
      <c r="E37" s="1" t="n">
        <f aca="false">densidad_viscosidad_puros!I18</f>
        <v>1.397</v>
      </c>
      <c r="F37" s="1" t="n">
        <f aca="false">densidad_viscosidad_puros!I19</f>
        <v>1.036</v>
      </c>
    </row>
    <row r="38" customFormat="false" ht="13.5" hidden="false" customHeight="true" outlineLevel="0" collapsed="false">
      <c r="A38" s="1" t="n">
        <f aca="false">G9</f>
        <v>0.0999803195185457</v>
      </c>
      <c r="B38" s="93" t="n">
        <v>4.231</v>
      </c>
      <c r="C38" s="93" t="n">
        <v>2.841</v>
      </c>
      <c r="D38" s="93" t="n">
        <v>2.01</v>
      </c>
      <c r="E38" s="93" t="n">
        <v>1.484</v>
      </c>
      <c r="F38" s="93" t="n">
        <v>1.136</v>
      </c>
    </row>
    <row r="39" customFormat="false" ht="13.5" hidden="false" customHeight="true" outlineLevel="0" collapsed="false">
      <c r="A39" s="1" t="n">
        <f aca="false">G10</f>
        <v>0.197749827698271</v>
      </c>
      <c r="B39" s="93" t="n">
        <v>4.193</v>
      </c>
      <c r="C39" s="93" t="n">
        <v>2.9</v>
      </c>
      <c r="D39" s="93" t="n">
        <v>2.102</v>
      </c>
      <c r="E39" s="93" t="n">
        <v>1.584</v>
      </c>
      <c r="F39" s="93" t="n">
        <v>1.233</v>
      </c>
    </row>
    <row r="40" customFormat="false" ht="13.5" hidden="false" customHeight="true" outlineLevel="0" collapsed="false">
      <c r="A40" s="1" t="n">
        <f aca="false">G11</f>
        <v>0.298554005126112</v>
      </c>
      <c r="B40" s="93" t="n">
        <v>4.235</v>
      </c>
      <c r="C40" s="93" t="n">
        <v>2.997</v>
      </c>
      <c r="D40" s="93" t="n">
        <v>2.213</v>
      </c>
      <c r="E40" s="93" t="n">
        <v>1.695</v>
      </c>
      <c r="F40" s="93" t="n">
        <v>1.338</v>
      </c>
    </row>
    <row r="41" customFormat="false" ht="13.5" hidden="false" customHeight="true" outlineLevel="0" collapsed="false">
      <c r="A41" s="1" t="n">
        <f aca="false">G12</f>
        <v>0.402012291803286</v>
      </c>
      <c r="B41" s="93" t="n">
        <v>4.362</v>
      </c>
      <c r="C41" s="93" t="n">
        <v>3.139</v>
      </c>
      <c r="D41" s="93" t="n">
        <v>2.352</v>
      </c>
      <c r="E41" s="93" t="n">
        <v>1.823</v>
      </c>
      <c r="F41" s="93" t="n">
        <v>1.455</v>
      </c>
    </row>
    <row r="42" customFormat="false" ht="13.5" hidden="false" customHeight="true" outlineLevel="0" collapsed="false">
      <c r="A42" s="1" t="n">
        <f aca="false">G13</f>
        <v>0.495436823631951</v>
      </c>
      <c r="B42" s="93" t="n">
        <v>4.534</v>
      </c>
      <c r="C42" s="93" t="n">
        <v>3.296</v>
      </c>
      <c r="D42" s="93" t="n">
        <v>2.494</v>
      </c>
      <c r="E42" s="93" t="n">
        <v>1.95</v>
      </c>
      <c r="F42" s="93" t="n">
        <v>1.568</v>
      </c>
    </row>
    <row r="43" customFormat="false" ht="13.5" hidden="false" customHeight="true" outlineLevel="0" collapsed="false">
      <c r="A43" s="1" t="n">
        <f aca="false">G14</f>
        <v>0.607108369954993</v>
      </c>
      <c r="B43" s="93" t="n">
        <v>4.817</v>
      </c>
      <c r="C43" s="93" t="n">
        <v>3.528</v>
      </c>
      <c r="D43" s="93" t="n">
        <v>2.69</v>
      </c>
      <c r="E43" s="93" t="n">
        <v>2.119</v>
      </c>
      <c r="F43" s="93" t="n">
        <v>1.713</v>
      </c>
    </row>
    <row r="44" customFormat="false" ht="13.5" hidden="false" customHeight="true" outlineLevel="0" collapsed="false">
      <c r="A44" s="1" t="n">
        <f aca="false">G15</f>
        <v>0.701682368278168</v>
      </c>
      <c r="B44" s="93" t="n">
        <v>5.128</v>
      </c>
      <c r="C44" s="93" t="n">
        <v>3.771</v>
      </c>
      <c r="D44" s="93" t="n">
        <v>2.888</v>
      </c>
      <c r="E44" s="93" t="n">
        <v>2.284</v>
      </c>
      <c r="F44" s="93" t="n">
        <v>1.857</v>
      </c>
    </row>
    <row r="45" customFormat="false" ht="13.5" hidden="false" customHeight="true" outlineLevel="0" collapsed="false">
      <c r="A45" s="1" t="n">
        <f aca="false">G16</f>
        <v>0.806581379473363</v>
      </c>
      <c r="B45" s="93" t="n">
        <v>5.522</v>
      </c>
      <c r="C45" s="93" t="n">
        <v>4.072</v>
      </c>
      <c r="D45" s="93" t="n">
        <v>3.125</v>
      </c>
      <c r="E45" s="93" t="n">
        <v>2.477</v>
      </c>
      <c r="F45" s="93" t="n">
        <v>2.015</v>
      </c>
    </row>
    <row r="46" customFormat="false" ht="13.5" hidden="false" customHeight="true" outlineLevel="0" collapsed="false">
      <c r="A46" s="1" t="n">
        <f aca="false">G17</f>
        <v>0.899550302724418</v>
      </c>
      <c r="B46" s="93" t="n">
        <v>5.977</v>
      </c>
      <c r="C46" s="93" t="n">
        <v>4.404</v>
      </c>
      <c r="D46" s="93" t="n">
        <v>3.375</v>
      </c>
      <c r="E46" s="93" t="n">
        <v>2.677</v>
      </c>
      <c r="F46" s="93" t="n">
        <v>2.176</v>
      </c>
    </row>
    <row r="47" customFormat="false" ht="13.5" hidden="false" customHeight="true" outlineLevel="0" collapsed="false">
      <c r="A47" s="1" t="n">
        <f aca="false">G18</f>
        <v>1</v>
      </c>
      <c r="B47" s="1" t="n">
        <f aca="false">densidad_viscosidad_puros!I85</f>
        <v>6.574</v>
      </c>
      <c r="C47" s="1" t="n">
        <f aca="false">densidad_viscosidad_puros!I86</f>
        <v>4.821</v>
      </c>
      <c r="D47" s="1" t="n">
        <f aca="false">densidad_viscosidad_puros!I87</f>
        <v>3.691</v>
      </c>
      <c r="E47" s="1" t="n">
        <f aca="false">densidad_viscosidad_puros!I88</f>
        <v>2.914</v>
      </c>
      <c r="F47" s="1" t="n">
        <f aca="false">densidad_viscosidad_puros!I89</f>
        <v>2.362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>
      <c r="A50" s="75" t="s">
        <v>237</v>
      </c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</row>
    <row r="51" customFormat="false" ht="13.5" hidden="false" customHeight="true" outlineLevel="0" collapsed="false">
      <c r="A51" s="94" t="s">
        <v>238</v>
      </c>
      <c r="B51" s="94" t="s">
        <v>239</v>
      </c>
      <c r="C51" s="94" t="s">
        <v>240</v>
      </c>
      <c r="D51" s="94" t="s">
        <v>241</v>
      </c>
      <c r="E51" s="94" t="s">
        <v>242</v>
      </c>
      <c r="F51" s="94" t="s">
        <v>243</v>
      </c>
      <c r="G51" s="94" t="s">
        <v>244</v>
      </c>
      <c r="H51" s="94" t="s">
        <v>245</v>
      </c>
      <c r="I51" s="94" t="s">
        <v>246</v>
      </c>
      <c r="J51" s="94" t="s">
        <v>247</v>
      </c>
      <c r="K51" s="94" t="s">
        <v>248</v>
      </c>
      <c r="L51" s="94" t="s">
        <v>249</v>
      </c>
      <c r="N51" s="94" t="s">
        <v>250</v>
      </c>
    </row>
    <row r="52" customFormat="false" ht="13.5" hidden="false" customHeight="true" outlineLevel="0" collapsed="false">
      <c r="A52" s="93"/>
      <c r="B52" s="93"/>
      <c r="C52" s="93"/>
      <c r="D52" s="94" t="s">
        <v>102</v>
      </c>
      <c r="E52" s="94" t="s">
        <v>102</v>
      </c>
      <c r="F52" s="94" t="s">
        <v>93</v>
      </c>
      <c r="G52" s="94" t="s">
        <v>92</v>
      </c>
      <c r="H52" s="94" t="s">
        <v>94</v>
      </c>
      <c r="I52" s="94" t="s">
        <v>286</v>
      </c>
      <c r="J52" s="94" t="s">
        <v>92</v>
      </c>
      <c r="K52" s="94" t="s">
        <v>287</v>
      </c>
      <c r="L52" s="94" t="s">
        <v>287</v>
      </c>
      <c r="N52" s="94" t="s">
        <v>102</v>
      </c>
    </row>
    <row r="53" customFormat="false" ht="13.5" hidden="false" customHeight="true" outlineLevel="0" collapsed="false">
      <c r="A53" s="93" t="n">
        <v>13005</v>
      </c>
      <c r="B53" s="95" t="n">
        <v>45700</v>
      </c>
      <c r="C53" s="96" t="n">
        <v>0.76130787037037</v>
      </c>
      <c r="D53" s="93" t="s">
        <v>400</v>
      </c>
      <c r="E53" s="93" t="s">
        <v>253</v>
      </c>
      <c r="F53" s="93" t="n">
        <v>0.83263</v>
      </c>
      <c r="G53" s="93" t="n">
        <v>20.06</v>
      </c>
      <c r="H53" s="93" t="n">
        <v>4.231</v>
      </c>
      <c r="I53" s="93" t="n">
        <v>5.081</v>
      </c>
      <c r="J53" s="93" t="n">
        <v>20</v>
      </c>
      <c r="K53" s="93" t="n">
        <v>0.03</v>
      </c>
      <c r="L53" s="93" t="n">
        <v>0.47</v>
      </c>
      <c r="M53" s="93" t="s">
        <v>254</v>
      </c>
    </row>
    <row r="54" customFormat="false" ht="13.5" hidden="false" customHeight="true" outlineLevel="0" collapsed="false">
      <c r="A54" s="93" t="n">
        <v>13006</v>
      </c>
      <c r="B54" s="95" t="n">
        <v>45700</v>
      </c>
      <c r="C54" s="96" t="n">
        <v>0.766388888888889</v>
      </c>
      <c r="D54" s="93" t="s">
        <v>400</v>
      </c>
      <c r="E54" s="93" t="s">
        <v>253</v>
      </c>
      <c r="F54" s="93" t="n">
        <v>0.82348</v>
      </c>
      <c r="G54" s="93" t="n">
        <v>29.98</v>
      </c>
      <c r="H54" s="93" t="n">
        <v>2.841</v>
      </c>
      <c r="I54" s="93" t="n">
        <v>3.45</v>
      </c>
      <c r="J54" s="93" t="n">
        <v>30</v>
      </c>
      <c r="K54" s="93" t="n">
        <v>0.04</v>
      </c>
      <c r="L54" s="93" t="n">
        <v>0.73</v>
      </c>
      <c r="M54" s="93" t="s">
        <v>254</v>
      </c>
    </row>
    <row r="55" customFormat="false" ht="13.5" hidden="false" customHeight="true" outlineLevel="0" collapsed="false">
      <c r="A55" s="93" t="n">
        <v>13007</v>
      </c>
      <c r="B55" s="95" t="n">
        <v>45700</v>
      </c>
      <c r="C55" s="96" t="n">
        <v>0.771527777777778</v>
      </c>
      <c r="D55" s="93" t="s">
        <v>400</v>
      </c>
      <c r="E55" s="93" t="s">
        <v>253</v>
      </c>
      <c r="F55" s="93" t="n">
        <v>0.81423</v>
      </c>
      <c r="G55" s="93" t="n">
        <v>39.97</v>
      </c>
      <c r="H55" s="93" t="n">
        <v>2.01</v>
      </c>
      <c r="I55" s="93" t="n">
        <v>2.468</v>
      </c>
      <c r="J55" s="93" t="n">
        <v>40</v>
      </c>
      <c r="K55" s="93" t="n">
        <v>0.03</v>
      </c>
      <c r="L55" s="93" t="n">
        <v>0.67</v>
      </c>
      <c r="M55" s="93" t="s">
        <v>254</v>
      </c>
    </row>
    <row r="56" customFormat="false" ht="13.5" hidden="false" customHeight="true" outlineLevel="0" collapsed="false">
      <c r="A56" s="93" t="n">
        <v>13008</v>
      </c>
      <c r="B56" s="95" t="n">
        <v>45700</v>
      </c>
      <c r="C56" s="96" t="n">
        <v>0.778541666666667</v>
      </c>
      <c r="D56" s="93" t="s">
        <v>400</v>
      </c>
      <c r="E56" s="93" t="s">
        <v>253</v>
      </c>
      <c r="F56" s="93" t="n">
        <v>0.80474</v>
      </c>
      <c r="G56" s="93" t="n">
        <v>49.97</v>
      </c>
      <c r="H56" s="93" t="n">
        <v>1.484</v>
      </c>
      <c r="I56" s="93" t="n">
        <v>1.844</v>
      </c>
      <c r="J56" s="93" t="n">
        <v>50</v>
      </c>
      <c r="K56" s="93" t="n">
        <v>0.03</v>
      </c>
      <c r="L56" s="93" t="n">
        <v>1.12</v>
      </c>
      <c r="M56" s="93" t="s">
        <v>254</v>
      </c>
    </row>
    <row r="57" customFormat="false" ht="13.5" hidden="false" customHeight="true" outlineLevel="0" collapsed="false">
      <c r="A57" s="93" t="n">
        <v>13009</v>
      </c>
      <c r="B57" s="95" t="n">
        <v>45700</v>
      </c>
      <c r="C57" s="96" t="n">
        <v>0.788993055555556</v>
      </c>
      <c r="D57" s="93" t="s">
        <v>400</v>
      </c>
      <c r="E57" s="93" t="s">
        <v>253</v>
      </c>
      <c r="F57" s="93" t="n">
        <v>0.79494</v>
      </c>
      <c r="G57" s="93" t="n">
        <v>59.98</v>
      </c>
      <c r="H57" s="93" t="n">
        <v>1.136</v>
      </c>
      <c r="I57" s="93" t="n">
        <v>1.429</v>
      </c>
      <c r="J57" s="93" t="n">
        <v>60</v>
      </c>
      <c r="K57" s="93" t="n">
        <v>0.01</v>
      </c>
      <c r="L57" s="93" t="n">
        <v>1.06</v>
      </c>
      <c r="M57" s="93" t="s">
        <v>254</v>
      </c>
    </row>
    <row r="58" customFormat="false" ht="13.5" hidden="false" customHeight="true" outlineLevel="0" collapsed="false">
      <c r="A58" s="93" t="n">
        <v>13010</v>
      </c>
      <c r="B58" s="95" t="n">
        <v>45700</v>
      </c>
      <c r="C58" s="96" t="n">
        <v>0.838090277777778</v>
      </c>
      <c r="D58" s="93" t="s">
        <v>387</v>
      </c>
      <c r="E58" s="93" t="s">
        <v>253</v>
      </c>
      <c r="F58" s="93" t="s">
        <v>289</v>
      </c>
      <c r="G58" s="93" t="s">
        <v>289</v>
      </c>
      <c r="H58" s="93" t="s">
        <v>289</v>
      </c>
      <c r="I58" s="93" t="s">
        <v>289</v>
      </c>
      <c r="J58" s="93" t="s">
        <v>289</v>
      </c>
      <c r="K58" s="93" t="s">
        <v>289</v>
      </c>
      <c r="L58" s="93" t="s">
        <v>289</v>
      </c>
      <c r="M58" s="93" t="s">
        <v>254</v>
      </c>
    </row>
    <row r="59" customFormat="false" ht="13.5" hidden="false" customHeight="true" outlineLevel="0" collapsed="false">
      <c r="A59" s="93" t="n">
        <v>13011</v>
      </c>
      <c r="B59" s="95" t="n">
        <v>45700</v>
      </c>
      <c r="C59" s="96" t="n">
        <v>0.81193287037037</v>
      </c>
      <c r="D59" s="93" t="s">
        <v>387</v>
      </c>
      <c r="E59" s="93" t="s">
        <v>253</v>
      </c>
      <c r="F59" s="93" t="n">
        <v>0.85134</v>
      </c>
      <c r="G59" s="93" t="n">
        <v>20.02</v>
      </c>
      <c r="H59" s="93" t="n">
        <v>4.193</v>
      </c>
      <c r="I59" s="93" t="n">
        <v>4.925</v>
      </c>
      <c r="J59" s="93" t="n">
        <v>20</v>
      </c>
      <c r="K59" s="93" t="n">
        <v>0.03</v>
      </c>
      <c r="L59" s="93" t="n">
        <v>0.49</v>
      </c>
      <c r="M59" s="93" t="s">
        <v>254</v>
      </c>
    </row>
    <row r="60" customFormat="false" ht="13.5" hidden="false" customHeight="true" outlineLevel="0" collapsed="false">
      <c r="A60" s="93" t="n">
        <v>13012</v>
      </c>
      <c r="B60" s="95" t="n">
        <v>45700</v>
      </c>
      <c r="C60" s="96" t="n">
        <v>0.817071759259259</v>
      </c>
      <c r="D60" s="93" t="s">
        <v>387</v>
      </c>
      <c r="E60" s="93" t="s">
        <v>253</v>
      </c>
      <c r="F60" s="93" t="n">
        <v>0.84264</v>
      </c>
      <c r="G60" s="93" t="n">
        <v>29.98</v>
      </c>
      <c r="H60" s="93" t="n">
        <v>2.9</v>
      </c>
      <c r="I60" s="93" t="n">
        <v>3.442</v>
      </c>
      <c r="J60" s="93" t="n">
        <v>30</v>
      </c>
      <c r="K60" s="93" t="n">
        <v>0.02</v>
      </c>
      <c r="L60" s="93" t="n">
        <v>0.6</v>
      </c>
      <c r="M60" s="93" t="s">
        <v>254</v>
      </c>
    </row>
    <row r="61" customFormat="false" ht="13.5" hidden="false" customHeight="true" outlineLevel="0" collapsed="false">
      <c r="A61" s="93" t="n">
        <v>13013</v>
      </c>
      <c r="B61" s="95" t="n">
        <v>45700</v>
      </c>
      <c r="C61" s="96" t="n">
        <v>0.821840277777778</v>
      </c>
      <c r="D61" s="93" t="s">
        <v>387</v>
      </c>
      <c r="E61" s="93" t="s">
        <v>253</v>
      </c>
      <c r="F61" s="93" t="n">
        <v>0.83371</v>
      </c>
      <c r="G61" s="93" t="n">
        <v>39.98</v>
      </c>
      <c r="H61" s="93" t="n">
        <v>2.102</v>
      </c>
      <c r="I61" s="93" t="n">
        <v>2.522</v>
      </c>
      <c r="J61" s="93" t="n">
        <v>40</v>
      </c>
      <c r="K61" s="93" t="n">
        <v>0.04</v>
      </c>
      <c r="L61" s="93" t="n">
        <v>0.71</v>
      </c>
      <c r="M61" s="93" t="s">
        <v>254</v>
      </c>
    </row>
    <row r="62" customFormat="false" ht="13.5" hidden="false" customHeight="true" outlineLevel="0" collapsed="false">
      <c r="A62" s="93" t="n">
        <v>13014</v>
      </c>
      <c r="B62" s="95" t="n">
        <v>45700</v>
      </c>
      <c r="C62" s="96" t="n">
        <v>0.82775462962963</v>
      </c>
      <c r="D62" s="93" t="s">
        <v>387</v>
      </c>
      <c r="E62" s="93" t="s">
        <v>253</v>
      </c>
      <c r="F62" s="93" t="n">
        <v>0.82455</v>
      </c>
      <c r="G62" s="93" t="n">
        <v>49.97</v>
      </c>
      <c r="H62" s="93" t="n">
        <v>1.584</v>
      </c>
      <c r="I62" s="93" t="n">
        <v>1.921</v>
      </c>
      <c r="J62" s="93" t="n">
        <v>50</v>
      </c>
      <c r="K62" s="93" t="n">
        <v>0.02</v>
      </c>
      <c r="L62" s="93" t="n">
        <v>0.75</v>
      </c>
      <c r="M62" s="93" t="s">
        <v>254</v>
      </c>
    </row>
    <row r="63" customFormat="false" ht="13.5" hidden="false" customHeight="true" outlineLevel="0" collapsed="false">
      <c r="A63" s="93" t="n">
        <v>13015</v>
      </c>
      <c r="B63" s="95" t="n">
        <v>45700</v>
      </c>
      <c r="C63" s="96" t="n">
        <v>0.838032407407407</v>
      </c>
      <c r="D63" s="93" t="s">
        <v>387</v>
      </c>
      <c r="E63" s="93" t="s">
        <v>253</v>
      </c>
      <c r="F63" s="93" t="n">
        <v>0.81516</v>
      </c>
      <c r="G63" s="93" t="n">
        <v>59.98</v>
      </c>
      <c r="H63" s="93" t="n">
        <v>1.233</v>
      </c>
      <c r="I63" s="93" t="n">
        <v>1.512</v>
      </c>
      <c r="J63" s="93" t="n">
        <v>60</v>
      </c>
      <c r="K63" s="93" t="n">
        <v>0.01</v>
      </c>
      <c r="L63" s="93" t="n">
        <v>1.01</v>
      </c>
      <c r="M63" s="93" t="s">
        <v>254</v>
      </c>
    </row>
    <row r="64" customFormat="false" ht="13.5" hidden="false" customHeight="true" outlineLevel="0" collapsed="false">
      <c r="A64" s="93" t="n">
        <v>13016</v>
      </c>
      <c r="B64" s="95" t="n">
        <v>45700</v>
      </c>
      <c r="C64" s="96" t="n">
        <v>0.881365740740741</v>
      </c>
      <c r="D64" s="93" t="s">
        <v>388</v>
      </c>
      <c r="E64" s="93" t="s">
        <v>253</v>
      </c>
      <c r="F64" s="93" t="s">
        <v>289</v>
      </c>
      <c r="G64" s="93" t="s">
        <v>289</v>
      </c>
      <c r="H64" s="93" t="s">
        <v>289</v>
      </c>
      <c r="I64" s="93" t="s">
        <v>289</v>
      </c>
      <c r="J64" s="93" t="s">
        <v>289</v>
      </c>
      <c r="K64" s="93" t="s">
        <v>289</v>
      </c>
      <c r="L64" s="93" t="s">
        <v>289</v>
      </c>
      <c r="M64" s="93" t="s">
        <v>254</v>
      </c>
    </row>
    <row r="65" customFormat="false" ht="13.5" hidden="false" customHeight="true" outlineLevel="0" collapsed="false">
      <c r="A65" s="93" t="n">
        <v>13017</v>
      </c>
      <c r="B65" s="95" t="n">
        <v>45700</v>
      </c>
      <c r="C65" s="96" t="n">
        <v>0.855694444444444</v>
      </c>
      <c r="D65" s="93" t="s">
        <v>388</v>
      </c>
      <c r="E65" s="93" t="s">
        <v>253</v>
      </c>
      <c r="F65" s="93" t="n">
        <v>0.86842</v>
      </c>
      <c r="G65" s="93" t="n">
        <v>20.03</v>
      </c>
      <c r="H65" s="93" t="n">
        <v>4.235</v>
      </c>
      <c r="I65" s="93" t="n">
        <v>4.876</v>
      </c>
      <c r="J65" s="93" t="n">
        <v>20</v>
      </c>
      <c r="K65" s="93" t="n">
        <v>0.02</v>
      </c>
      <c r="L65" s="93" t="n">
        <v>0.42</v>
      </c>
      <c r="M65" s="93" t="s">
        <v>254</v>
      </c>
    </row>
    <row r="66" customFormat="false" ht="14.25" hidden="false" customHeight="true" outlineLevel="0" collapsed="false">
      <c r="A66" s="93" t="n">
        <v>13018</v>
      </c>
      <c r="B66" s="95" t="n">
        <v>45700</v>
      </c>
      <c r="C66" s="96" t="n">
        <v>0.860891203703704</v>
      </c>
      <c r="D66" s="93" t="s">
        <v>388</v>
      </c>
      <c r="E66" s="93" t="s">
        <v>253</v>
      </c>
      <c r="F66" s="93" t="n">
        <v>0.85995</v>
      </c>
      <c r="G66" s="93" t="n">
        <v>29.98</v>
      </c>
      <c r="H66" s="93" t="n">
        <v>2.997</v>
      </c>
      <c r="I66" s="93" t="n">
        <v>3.485</v>
      </c>
      <c r="J66" s="93" t="n">
        <v>30</v>
      </c>
      <c r="K66" s="93" t="n">
        <v>0.07</v>
      </c>
      <c r="L66" s="93" t="n">
        <v>0.65</v>
      </c>
      <c r="M66" s="93" t="s">
        <v>254</v>
      </c>
    </row>
    <row r="67" customFormat="false" ht="14.25" hidden="false" customHeight="true" outlineLevel="0" collapsed="false">
      <c r="A67" s="93" t="n">
        <v>13019</v>
      </c>
      <c r="B67" s="95" t="n">
        <v>45700</v>
      </c>
      <c r="C67" s="96" t="n">
        <v>0.865532407407407</v>
      </c>
      <c r="D67" s="93" t="s">
        <v>388</v>
      </c>
      <c r="E67" s="93" t="s">
        <v>253</v>
      </c>
      <c r="F67" s="93" t="n">
        <v>0.85126</v>
      </c>
      <c r="G67" s="93" t="n">
        <v>39.98</v>
      </c>
      <c r="H67" s="93" t="n">
        <v>2.213</v>
      </c>
      <c r="I67" s="93" t="n">
        <v>2.6</v>
      </c>
      <c r="J67" s="93" t="n">
        <v>40</v>
      </c>
      <c r="K67" s="93" t="n">
        <v>0.07</v>
      </c>
      <c r="L67" s="93" t="n">
        <v>0.61</v>
      </c>
      <c r="M67" s="93" t="s">
        <v>254</v>
      </c>
    </row>
    <row r="68" customFormat="false" ht="14.25" hidden="false" customHeight="true" outlineLevel="0" collapsed="false">
      <c r="A68" s="93" t="n">
        <v>13020</v>
      </c>
      <c r="B68" s="95" t="n">
        <v>45700</v>
      </c>
      <c r="C68" s="96" t="n">
        <v>0.871180555555556</v>
      </c>
      <c r="D68" s="93" t="s">
        <v>388</v>
      </c>
      <c r="E68" s="93" t="s">
        <v>253</v>
      </c>
      <c r="F68" s="93" t="n">
        <v>0.84241</v>
      </c>
      <c r="G68" s="93" t="n">
        <v>49.97</v>
      </c>
      <c r="H68" s="93" t="n">
        <v>1.695</v>
      </c>
      <c r="I68" s="93" t="n">
        <v>2.012</v>
      </c>
      <c r="J68" s="93" t="n">
        <v>50</v>
      </c>
      <c r="K68" s="93" t="n">
        <v>0.04</v>
      </c>
      <c r="L68" s="93" t="n">
        <v>0.76</v>
      </c>
      <c r="M68" s="93" t="s">
        <v>254</v>
      </c>
    </row>
    <row r="69" customFormat="false" ht="14.25" hidden="false" customHeight="true" outlineLevel="0" collapsed="false">
      <c r="A69" s="93" t="n">
        <v>13021</v>
      </c>
      <c r="B69" s="95" t="n">
        <v>45700</v>
      </c>
      <c r="C69" s="96" t="n">
        <v>0.881296296296296</v>
      </c>
      <c r="D69" s="93" t="s">
        <v>388</v>
      </c>
      <c r="E69" s="93" t="s">
        <v>253</v>
      </c>
      <c r="F69" s="93" t="n">
        <v>0.83338</v>
      </c>
      <c r="G69" s="93" t="n">
        <v>59.98</v>
      </c>
      <c r="H69" s="93" t="n">
        <v>1.338</v>
      </c>
      <c r="I69" s="93" t="n">
        <v>1.605</v>
      </c>
      <c r="J69" s="93" t="n">
        <v>60</v>
      </c>
      <c r="K69" s="93" t="n">
        <v>0</v>
      </c>
      <c r="L69" s="93" t="n">
        <v>0.99</v>
      </c>
      <c r="M69" s="93" t="s">
        <v>254</v>
      </c>
    </row>
    <row r="70" customFormat="false" ht="14.25" hidden="false" customHeight="true" outlineLevel="0" collapsed="false">
      <c r="A70" s="93" t="n">
        <v>13022</v>
      </c>
      <c r="B70" s="95" t="n">
        <v>45759</v>
      </c>
      <c r="C70" s="96" t="n">
        <v>0.460787037037037</v>
      </c>
      <c r="D70" s="93" t="s">
        <v>389</v>
      </c>
      <c r="E70" s="93" t="s">
        <v>253</v>
      </c>
      <c r="F70" s="93" t="s">
        <v>289</v>
      </c>
      <c r="G70" s="93" t="s">
        <v>289</v>
      </c>
      <c r="H70" s="93" t="s">
        <v>289</v>
      </c>
      <c r="I70" s="93" t="s">
        <v>289</v>
      </c>
      <c r="J70" s="93" t="s">
        <v>289</v>
      </c>
      <c r="K70" s="93" t="s">
        <v>289</v>
      </c>
      <c r="L70" s="93" t="s">
        <v>289</v>
      </c>
      <c r="M70" s="93" t="s">
        <v>254</v>
      </c>
    </row>
    <row r="71" customFormat="false" ht="14.25" hidden="false" customHeight="true" outlineLevel="0" collapsed="false">
      <c r="A71" s="93" t="n">
        <v>13023</v>
      </c>
      <c r="B71" s="95" t="n">
        <v>45759</v>
      </c>
      <c r="C71" s="96" t="n">
        <v>0.422048611111111</v>
      </c>
      <c r="D71" s="93" t="s">
        <v>389</v>
      </c>
      <c r="E71" s="93" t="s">
        <v>253</v>
      </c>
      <c r="F71" s="93" t="n">
        <v>0.88457</v>
      </c>
      <c r="G71" s="93" t="n">
        <v>20.05</v>
      </c>
      <c r="H71" s="93" t="n">
        <v>4.362</v>
      </c>
      <c r="I71" s="93" t="n">
        <v>4.931</v>
      </c>
      <c r="J71" s="93" t="n">
        <v>20</v>
      </c>
      <c r="K71" s="93" t="n">
        <v>0</v>
      </c>
      <c r="L71" s="93" t="n">
        <v>0.5</v>
      </c>
      <c r="M71" s="93" t="s">
        <v>254</v>
      </c>
    </row>
    <row r="72" customFormat="false" ht="14.25" hidden="false" customHeight="true" outlineLevel="0" collapsed="false">
      <c r="A72" s="93" t="n">
        <v>13024</v>
      </c>
      <c r="B72" s="95" t="n">
        <v>45759</v>
      </c>
      <c r="C72" s="96" t="n">
        <v>0.431064814814815</v>
      </c>
      <c r="D72" s="93" t="s">
        <v>389</v>
      </c>
      <c r="E72" s="93" t="s">
        <v>253</v>
      </c>
      <c r="F72" s="93" t="n">
        <v>0.87598</v>
      </c>
      <c r="G72" s="93" t="n">
        <v>29.97</v>
      </c>
      <c r="H72" s="93" t="n">
        <v>3.139</v>
      </c>
      <c r="I72" s="93" t="n">
        <v>3.583</v>
      </c>
      <c r="J72" s="93" t="n">
        <v>30</v>
      </c>
      <c r="K72" s="93" t="n">
        <v>0.06</v>
      </c>
      <c r="L72" s="93" t="n">
        <v>0.5</v>
      </c>
      <c r="M72" s="93" t="s">
        <v>254</v>
      </c>
    </row>
    <row r="73" customFormat="false" ht="14.25" hidden="false" customHeight="true" outlineLevel="0" collapsed="false">
      <c r="A73" s="93" t="n">
        <v>13025</v>
      </c>
      <c r="B73" s="95" t="n">
        <v>45759</v>
      </c>
      <c r="C73" s="96" t="n">
        <v>0.439606481481482</v>
      </c>
      <c r="D73" s="93" t="s">
        <v>389</v>
      </c>
      <c r="E73" s="93" t="s">
        <v>253</v>
      </c>
      <c r="F73" s="93" t="n">
        <v>0.86751</v>
      </c>
      <c r="G73" s="93" t="n">
        <v>39.97</v>
      </c>
      <c r="H73" s="93" t="n">
        <v>2.352</v>
      </c>
      <c r="I73" s="93" t="n">
        <v>2.711</v>
      </c>
      <c r="J73" s="93" t="n">
        <v>40</v>
      </c>
      <c r="K73" s="93" t="n">
        <v>0.05</v>
      </c>
      <c r="L73" s="93" t="n">
        <v>0.91</v>
      </c>
      <c r="M73" s="93" t="s">
        <v>254</v>
      </c>
    </row>
    <row r="74" customFormat="false" ht="14.25" hidden="false" customHeight="true" outlineLevel="0" collapsed="false">
      <c r="A74" s="93" t="n">
        <v>13026</v>
      </c>
      <c r="B74" s="95" t="n">
        <v>45759</v>
      </c>
      <c r="C74" s="96" t="n">
        <v>0.449699074074074</v>
      </c>
      <c r="D74" s="93" t="s">
        <v>389</v>
      </c>
      <c r="E74" s="93" t="s">
        <v>253</v>
      </c>
      <c r="F74" s="93" t="n">
        <v>0.85892</v>
      </c>
      <c r="G74" s="93" t="n">
        <v>49.98</v>
      </c>
      <c r="H74" s="93" t="n">
        <v>1.823</v>
      </c>
      <c r="I74" s="93" t="n">
        <v>2.123</v>
      </c>
      <c r="J74" s="93" t="n">
        <v>50</v>
      </c>
      <c r="K74" s="93" t="n">
        <v>0.01</v>
      </c>
      <c r="L74" s="93" t="n">
        <v>1.07</v>
      </c>
      <c r="M74" s="93" t="s">
        <v>254</v>
      </c>
    </row>
    <row r="75" customFormat="false" ht="14.25" hidden="false" customHeight="true" outlineLevel="0" collapsed="false">
      <c r="A75" s="93" t="n">
        <v>13027</v>
      </c>
      <c r="B75" s="95" t="n">
        <v>45759</v>
      </c>
      <c r="C75" s="96" t="n">
        <v>0.460717592592593</v>
      </c>
      <c r="D75" s="93" t="s">
        <v>389</v>
      </c>
      <c r="E75" s="93" t="s">
        <v>253</v>
      </c>
      <c r="F75" s="93" t="n">
        <v>0.85023</v>
      </c>
      <c r="G75" s="93" t="n">
        <v>59.98</v>
      </c>
      <c r="H75" s="93" t="n">
        <v>1.455</v>
      </c>
      <c r="I75" s="93" t="n">
        <v>1.711</v>
      </c>
      <c r="J75" s="93" t="n">
        <v>60</v>
      </c>
      <c r="K75" s="93" t="n">
        <v>0.02</v>
      </c>
      <c r="L75" s="93" t="n">
        <v>0.96</v>
      </c>
      <c r="M75" s="93" t="s">
        <v>254</v>
      </c>
    </row>
    <row r="76" customFormat="false" ht="14.25" hidden="false" customHeight="true" outlineLevel="0" collapsed="false">
      <c r="A76" s="93" t="n">
        <v>13028</v>
      </c>
      <c r="B76" s="95" t="n">
        <v>45759</v>
      </c>
      <c r="C76" s="96" t="n">
        <v>0.552581018518519</v>
      </c>
      <c r="D76" s="93" t="s">
        <v>390</v>
      </c>
      <c r="E76" s="93" t="s">
        <v>253</v>
      </c>
      <c r="F76" s="93" t="s">
        <v>289</v>
      </c>
      <c r="G76" s="93" t="s">
        <v>289</v>
      </c>
      <c r="H76" s="93" t="s">
        <v>289</v>
      </c>
      <c r="I76" s="93" t="s">
        <v>289</v>
      </c>
      <c r="J76" s="93" t="s">
        <v>289</v>
      </c>
      <c r="K76" s="93" t="s">
        <v>289</v>
      </c>
      <c r="L76" s="93" t="s">
        <v>289</v>
      </c>
      <c r="M76" s="93" t="s">
        <v>254</v>
      </c>
    </row>
    <row r="77" customFormat="false" ht="14.25" hidden="false" customHeight="true" outlineLevel="0" collapsed="false">
      <c r="A77" s="93" t="n">
        <v>13029</v>
      </c>
      <c r="B77" s="95" t="n">
        <v>45759</v>
      </c>
      <c r="C77" s="96" t="n">
        <v>0.520266203703704</v>
      </c>
      <c r="D77" s="93" t="s">
        <v>390</v>
      </c>
      <c r="E77" s="93" t="s">
        <v>253</v>
      </c>
      <c r="F77" s="93" t="n">
        <v>0.89732</v>
      </c>
      <c r="G77" s="93" t="n">
        <v>20.04</v>
      </c>
      <c r="H77" s="93" t="n">
        <v>4.534</v>
      </c>
      <c r="I77" s="93" t="n">
        <v>5.053</v>
      </c>
      <c r="J77" s="93" t="n">
        <v>20</v>
      </c>
      <c r="K77" s="93" t="n">
        <v>0.04</v>
      </c>
      <c r="L77" s="93" t="n">
        <v>0.08</v>
      </c>
      <c r="M77" s="93" t="s">
        <v>254</v>
      </c>
    </row>
    <row r="78" customFormat="false" ht="14.25" hidden="false" customHeight="true" outlineLevel="0" collapsed="false">
      <c r="A78" s="93" t="n">
        <v>13030</v>
      </c>
      <c r="B78" s="95" t="n">
        <v>45759</v>
      </c>
      <c r="C78" s="96" t="n">
        <v>0.525752314814815</v>
      </c>
      <c r="D78" s="93" t="s">
        <v>390</v>
      </c>
      <c r="E78" s="93" t="s">
        <v>253</v>
      </c>
      <c r="F78" s="93" t="n">
        <v>0.8891</v>
      </c>
      <c r="G78" s="93" t="n">
        <v>29.97</v>
      </c>
      <c r="H78" s="93" t="n">
        <v>3.296</v>
      </c>
      <c r="I78" s="93" t="n">
        <v>3.707</v>
      </c>
      <c r="J78" s="93" t="n">
        <v>30</v>
      </c>
      <c r="K78" s="93" t="n">
        <v>0.04</v>
      </c>
      <c r="L78" s="93" t="n">
        <v>0.75</v>
      </c>
      <c r="M78" s="93" t="s">
        <v>254</v>
      </c>
    </row>
    <row r="79" customFormat="false" ht="14.25" hidden="false" customHeight="true" outlineLevel="0" collapsed="false">
      <c r="A79" s="93" t="n">
        <v>13031</v>
      </c>
      <c r="B79" s="95" t="n">
        <v>45759</v>
      </c>
      <c r="C79" s="96" t="n">
        <v>0.531875</v>
      </c>
      <c r="D79" s="93" t="s">
        <v>390</v>
      </c>
      <c r="E79" s="93" t="s">
        <v>253</v>
      </c>
      <c r="F79" s="93" t="n">
        <v>0.88082</v>
      </c>
      <c r="G79" s="93" t="n">
        <v>39.97</v>
      </c>
      <c r="H79" s="93" t="n">
        <v>2.494</v>
      </c>
      <c r="I79" s="93" t="n">
        <v>2.831</v>
      </c>
      <c r="J79" s="93" t="n">
        <v>40</v>
      </c>
      <c r="K79" s="93" t="n">
        <v>0.06</v>
      </c>
      <c r="L79" s="93" t="n">
        <v>0.52</v>
      </c>
      <c r="M79" s="93" t="s">
        <v>254</v>
      </c>
    </row>
    <row r="80" customFormat="false" ht="14.25" hidden="false" customHeight="true" outlineLevel="0" collapsed="false">
      <c r="A80" s="93" t="n">
        <v>13032</v>
      </c>
      <c r="B80" s="95" t="n">
        <v>45759</v>
      </c>
      <c r="C80" s="96" t="n">
        <v>0.541747685185185</v>
      </c>
      <c r="D80" s="93" t="s">
        <v>390</v>
      </c>
      <c r="E80" s="93" t="s">
        <v>253</v>
      </c>
      <c r="F80" s="93" t="n">
        <v>0.87244</v>
      </c>
      <c r="G80" s="93" t="n">
        <v>49.98</v>
      </c>
      <c r="H80" s="93" t="n">
        <v>1.95</v>
      </c>
      <c r="I80" s="93" t="n">
        <v>2.235</v>
      </c>
      <c r="J80" s="93" t="n">
        <v>50</v>
      </c>
      <c r="K80" s="93" t="n">
        <v>0.05</v>
      </c>
      <c r="L80" s="93" t="n">
        <v>0.98</v>
      </c>
      <c r="M80" s="93" t="s">
        <v>254</v>
      </c>
    </row>
    <row r="81" customFormat="false" ht="14.25" hidden="false" customHeight="true" outlineLevel="0" collapsed="false">
      <c r="A81" s="93" t="n">
        <v>13033</v>
      </c>
      <c r="B81" s="95" t="n">
        <v>45759</v>
      </c>
      <c r="C81" s="96" t="n">
        <v>0.552523148148148</v>
      </c>
      <c r="D81" s="93" t="s">
        <v>390</v>
      </c>
      <c r="E81" s="93" t="s">
        <v>253</v>
      </c>
      <c r="F81" s="93" t="n">
        <v>0.864</v>
      </c>
      <c r="G81" s="93" t="n">
        <v>59.98</v>
      </c>
      <c r="H81" s="93" t="n">
        <v>1.568</v>
      </c>
      <c r="I81" s="93" t="n">
        <v>1.815</v>
      </c>
      <c r="J81" s="93" t="n">
        <v>60</v>
      </c>
      <c r="K81" s="93" t="n">
        <v>0</v>
      </c>
      <c r="L81" s="93" t="n">
        <v>1.07</v>
      </c>
      <c r="M81" s="93" t="s">
        <v>254</v>
      </c>
    </row>
    <row r="82" customFormat="false" ht="14.25" hidden="false" customHeight="true" outlineLevel="0" collapsed="false">
      <c r="A82" s="93" t="n">
        <v>13034</v>
      </c>
      <c r="B82" s="95" t="n">
        <v>45759</v>
      </c>
      <c r="C82" s="96" t="n">
        <v>0.588888888888889</v>
      </c>
      <c r="D82" s="93" t="s">
        <v>391</v>
      </c>
      <c r="E82" s="93" t="s">
        <v>293</v>
      </c>
      <c r="F82" s="93" t="s">
        <v>289</v>
      </c>
      <c r="G82" s="93" t="s">
        <v>289</v>
      </c>
      <c r="H82" s="93" t="s">
        <v>289</v>
      </c>
      <c r="I82" s="93" t="s">
        <v>289</v>
      </c>
      <c r="J82" s="93" t="s">
        <v>289</v>
      </c>
      <c r="K82" s="93" t="s">
        <v>289</v>
      </c>
      <c r="L82" s="93" t="s">
        <v>289</v>
      </c>
      <c r="M82" s="93" t="s">
        <v>254</v>
      </c>
    </row>
    <row r="83" customFormat="false" ht="14.25" hidden="false" customHeight="true" outlineLevel="0" collapsed="false">
      <c r="A83" s="93" t="n">
        <v>13035</v>
      </c>
      <c r="B83" s="95" t="n">
        <v>45759</v>
      </c>
      <c r="C83" s="96" t="n">
        <v>0.594837962962963</v>
      </c>
      <c r="D83" s="93" t="s">
        <v>391</v>
      </c>
      <c r="E83" s="93" t="s">
        <v>293</v>
      </c>
      <c r="F83" s="93" t="s">
        <v>289</v>
      </c>
      <c r="G83" s="93" t="s">
        <v>289</v>
      </c>
      <c r="H83" s="93" t="s">
        <v>289</v>
      </c>
      <c r="I83" s="93" t="s">
        <v>289</v>
      </c>
      <c r="J83" s="93" t="s">
        <v>289</v>
      </c>
      <c r="K83" s="93" t="s">
        <v>289</v>
      </c>
      <c r="L83" s="93" t="s">
        <v>289</v>
      </c>
      <c r="M83" s="93" t="s">
        <v>254</v>
      </c>
    </row>
    <row r="84" customFormat="false" ht="14.25" hidden="false" customHeight="true" outlineLevel="0" collapsed="false">
      <c r="A84" s="93" t="n">
        <v>13036</v>
      </c>
      <c r="B84" s="95" t="n">
        <v>45759</v>
      </c>
      <c r="C84" s="96" t="n">
        <v>0.600069444444444</v>
      </c>
      <c r="D84" s="93" t="s">
        <v>391</v>
      </c>
      <c r="E84" s="93" t="s">
        <v>293</v>
      </c>
      <c r="F84" s="93" t="s">
        <v>289</v>
      </c>
      <c r="G84" s="93" t="s">
        <v>289</v>
      </c>
      <c r="H84" s="93" t="s">
        <v>289</v>
      </c>
      <c r="I84" s="93" t="s">
        <v>289</v>
      </c>
      <c r="J84" s="93" t="s">
        <v>289</v>
      </c>
      <c r="K84" s="93" t="s">
        <v>289</v>
      </c>
      <c r="L84" s="93" t="s">
        <v>289</v>
      </c>
      <c r="M84" s="93" t="s">
        <v>254</v>
      </c>
    </row>
    <row r="85" customFormat="false" ht="14.25" hidden="false" customHeight="true" outlineLevel="0" collapsed="false">
      <c r="A85" s="93" t="n">
        <v>13037</v>
      </c>
      <c r="B85" s="95" t="n">
        <v>45759</v>
      </c>
      <c r="C85" s="96" t="n">
        <v>0.605694444444444</v>
      </c>
      <c r="D85" s="93" t="s">
        <v>391</v>
      </c>
      <c r="E85" s="93" t="s">
        <v>253</v>
      </c>
      <c r="F85" s="93" t="n">
        <v>1.09047</v>
      </c>
      <c r="G85" s="93" t="n">
        <v>24.98</v>
      </c>
      <c r="H85" s="93" t="n">
        <v>4.956</v>
      </c>
      <c r="I85" s="93" t="n">
        <v>4.545</v>
      </c>
      <c r="J85" s="93" t="n">
        <v>25</v>
      </c>
      <c r="K85" s="93" t="n">
        <v>0.3</v>
      </c>
      <c r="L85" s="93" t="n">
        <v>0.73</v>
      </c>
      <c r="M85" s="93" t="s">
        <v>254</v>
      </c>
    </row>
    <row r="86" customFormat="false" ht="14.25" hidden="false" customHeight="true" outlineLevel="0" collapsed="false">
      <c r="A86" s="93" t="n">
        <v>13038</v>
      </c>
      <c r="B86" s="95" t="n">
        <v>45759</v>
      </c>
      <c r="C86" s="96" t="n">
        <v>0.632233796296296</v>
      </c>
      <c r="D86" s="93" t="s">
        <v>391</v>
      </c>
      <c r="E86" s="93" t="s">
        <v>293</v>
      </c>
      <c r="F86" s="93" t="s">
        <v>289</v>
      </c>
      <c r="G86" s="93" t="s">
        <v>289</v>
      </c>
      <c r="H86" s="93" t="s">
        <v>289</v>
      </c>
      <c r="I86" s="93" t="s">
        <v>289</v>
      </c>
      <c r="J86" s="93" t="s">
        <v>289</v>
      </c>
      <c r="K86" s="93" t="s">
        <v>289</v>
      </c>
      <c r="L86" s="93" t="s">
        <v>289</v>
      </c>
      <c r="M86" s="93" t="s">
        <v>254</v>
      </c>
    </row>
    <row r="87" customFormat="false" ht="14.25" hidden="false" customHeight="true" outlineLevel="0" collapsed="false">
      <c r="A87" s="93" t="n">
        <v>13039</v>
      </c>
      <c r="B87" s="95" t="n">
        <v>45759</v>
      </c>
      <c r="C87" s="96" t="n">
        <v>0.639525462962963</v>
      </c>
      <c r="D87" s="93"/>
      <c r="E87" s="93" t="s">
        <v>253</v>
      </c>
      <c r="F87" s="93" t="n">
        <v>0.91137</v>
      </c>
      <c r="G87" s="93" t="n">
        <v>19.98</v>
      </c>
      <c r="H87" s="93" t="n">
        <v>4.82</v>
      </c>
      <c r="I87" s="93" t="n">
        <v>5.289</v>
      </c>
      <c r="J87" s="93" t="n">
        <v>20</v>
      </c>
      <c r="K87" s="93" t="n">
        <v>0.02</v>
      </c>
      <c r="L87" s="93" t="n">
        <v>0.58</v>
      </c>
      <c r="M87" s="93" t="s">
        <v>254</v>
      </c>
    </row>
    <row r="88" customFormat="false" ht="14.25" hidden="false" customHeight="true" outlineLevel="0" collapsed="false">
      <c r="A88" s="93" t="n">
        <v>13040</v>
      </c>
      <c r="B88" s="95" t="n">
        <v>45759</v>
      </c>
      <c r="C88" s="96" t="n">
        <v>0.683865740740741</v>
      </c>
      <c r="D88" s="93" t="s">
        <v>392</v>
      </c>
      <c r="E88" s="93" t="s">
        <v>253</v>
      </c>
      <c r="F88" s="93" t="s">
        <v>289</v>
      </c>
      <c r="G88" s="93" t="s">
        <v>289</v>
      </c>
      <c r="H88" s="93" t="s">
        <v>289</v>
      </c>
      <c r="I88" s="93" t="s">
        <v>289</v>
      </c>
      <c r="J88" s="93" t="s">
        <v>289</v>
      </c>
      <c r="K88" s="93" t="s">
        <v>289</v>
      </c>
      <c r="L88" s="93" t="s">
        <v>289</v>
      </c>
      <c r="M88" s="93" t="s">
        <v>254</v>
      </c>
    </row>
    <row r="89" customFormat="false" ht="14.25" hidden="false" customHeight="true" outlineLevel="0" collapsed="false">
      <c r="A89" s="93" t="n">
        <v>13041</v>
      </c>
      <c r="B89" s="95" t="n">
        <v>45759</v>
      </c>
      <c r="C89" s="96" t="n">
        <v>0.651585648148148</v>
      </c>
      <c r="D89" s="93" t="s">
        <v>392</v>
      </c>
      <c r="E89" s="93" t="s">
        <v>253</v>
      </c>
      <c r="F89" s="93" t="n">
        <v>0.91135</v>
      </c>
      <c r="G89" s="93" t="n">
        <v>20</v>
      </c>
      <c r="H89" s="93" t="n">
        <v>4.817</v>
      </c>
      <c r="I89" s="93" t="n">
        <v>5.286</v>
      </c>
      <c r="J89" s="93" t="n">
        <v>20</v>
      </c>
      <c r="K89" s="93" t="n">
        <v>0.01</v>
      </c>
      <c r="L89" s="93" t="n">
        <v>0.61</v>
      </c>
      <c r="M89" s="93" t="s">
        <v>254</v>
      </c>
    </row>
    <row r="90" customFormat="false" ht="14.25" hidden="false" customHeight="true" outlineLevel="0" collapsed="false">
      <c r="A90" s="93" t="n">
        <v>13042</v>
      </c>
      <c r="B90" s="95" t="n">
        <v>45759</v>
      </c>
      <c r="C90" s="96" t="n">
        <v>0.65724537037037</v>
      </c>
      <c r="D90" s="93" t="s">
        <v>392</v>
      </c>
      <c r="E90" s="93" t="s">
        <v>253</v>
      </c>
      <c r="F90" s="93" t="n">
        <v>0.90334</v>
      </c>
      <c r="G90" s="93" t="n">
        <v>29.97</v>
      </c>
      <c r="H90" s="93" t="n">
        <v>3.528</v>
      </c>
      <c r="I90" s="93" t="n">
        <v>3.905</v>
      </c>
      <c r="J90" s="93" t="n">
        <v>30</v>
      </c>
      <c r="K90" s="93" t="n">
        <v>0.04</v>
      </c>
      <c r="L90" s="93" t="n">
        <v>0.55</v>
      </c>
      <c r="M90" s="93" t="s">
        <v>254</v>
      </c>
    </row>
    <row r="91" customFormat="false" ht="14.25" hidden="false" customHeight="true" outlineLevel="0" collapsed="false">
      <c r="A91" s="93" t="n">
        <v>13043</v>
      </c>
      <c r="B91" s="95" t="n">
        <v>45759</v>
      </c>
      <c r="C91" s="96" t="n">
        <v>0.663298611111111</v>
      </c>
      <c r="D91" s="93" t="s">
        <v>392</v>
      </c>
      <c r="E91" s="93" t="s">
        <v>253</v>
      </c>
      <c r="F91" s="93" t="n">
        <v>0.89525</v>
      </c>
      <c r="G91" s="93" t="n">
        <v>39.97</v>
      </c>
      <c r="H91" s="93" t="n">
        <v>2.69</v>
      </c>
      <c r="I91" s="93" t="n">
        <v>3.004</v>
      </c>
      <c r="J91" s="93" t="n">
        <v>40</v>
      </c>
      <c r="K91" s="93" t="n">
        <v>0.05</v>
      </c>
      <c r="L91" s="93" t="n">
        <v>0.79</v>
      </c>
      <c r="M91" s="93" t="s">
        <v>254</v>
      </c>
    </row>
    <row r="92" customFormat="false" ht="14.25" hidden="false" customHeight="true" outlineLevel="0" collapsed="false">
      <c r="A92" s="93" t="n">
        <v>13044</v>
      </c>
      <c r="B92" s="95" t="n">
        <v>45759</v>
      </c>
      <c r="C92" s="96" t="n">
        <v>0.673125</v>
      </c>
      <c r="D92" s="93" t="s">
        <v>392</v>
      </c>
      <c r="E92" s="93" t="s">
        <v>253</v>
      </c>
      <c r="F92" s="93" t="n">
        <v>0.8871</v>
      </c>
      <c r="G92" s="93" t="n">
        <v>49.98</v>
      </c>
      <c r="H92" s="93" t="n">
        <v>2.119</v>
      </c>
      <c r="I92" s="93" t="n">
        <v>2.389</v>
      </c>
      <c r="J92" s="93" t="n">
        <v>50</v>
      </c>
      <c r="K92" s="93" t="n">
        <v>0.01</v>
      </c>
      <c r="L92" s="93" t="n">
        <v>0.81</v>
      </c>
      <c r="M92" s="93" t="s">
        <v>254</v>
      </c>
    </row>
    <row r="93" customFormat="false" ht="14.25" hidden="false" customHeight="true" outlineLevel="0" collapsed="false">
      <c r="A93" s="93" t="n">
        <v>13045</v>
      </c>
      <c r="B93" s="95" t="n">
        <v>45759</v>
      </c>
      <c r="C93" s="96" t="n">
        <v>0.683831018518519</v>
      </c>
      <c r="D93" s="93" t="s">
        <v>392</v>
      </c>
      <c r="E93" s="93" t="s">
        <v>253</v>
      </c>
      <c r="F93" s="93" t="n">
        <v>0.8789</v>
      </c>
      <c r="G93" s="93" t="n">
        <v>59.98</v>
      </c>
      <c r="H93" s="93" t="n">
        <v>1.713</v>
      </c>
      <c r="I93" s="93" t="n">
        <v>1.949</v>
      </c>
      <c r="J93" s="93" t="n">
        <v>60</v>
      </c>
      <c r="K93" s="93" t="n">
        <v>0.11</v>
      </c>
      <c r="L93" s="93" t="n">
        <v>0.8</v>
      </c>
      <c r="M93" s="93" t="s">
        <v>254</v>
      </c>
    </row>
    <row r="94" customFormat="false" ht="14.25" hidden="false" customHeight="true" outlineLevel="0" collapsed="false">
      <c r="A94" s="93" t="n">
        <v>13046</v>
      </c>
      <c r="B94" s="95" t="n">
        <v>45759</v>
      </c>
      <c r="C94" s="96" t="n">
        <v>0.764907407407407</v>
      </c>
      <c r="D94" s="93" t="s">
        <v>401</v>
      </c>
      <c r="E94" s="93" t="s">
        <v>253</v>
      </c>
      <c r="F94" s="93" t="s">
        <v>289</v>
      </c>
      <c r="G94" s="93" t="s">
        <v>289</v>
      </c>
      <c r="H94" s="93" t="s">
        <v>289</v>
      </c>
      <c r="I94" s="93" t="s">
        <v>289</v>
      </c>
      <c r="J94" s="93" t="s">
        <v>289</v>
      </c>
      <c r="K94" s="93" t="s">
        <v>289</v>
      </c>
      <c r="L94" s="93" t="s">
        <v>289</v>
      </c>
      <c r="M94" s="93" t="s">
        <v>254</v>
      </c>
    </row>
    <row r="95" customFormat="false" ht="14.25" hidden="false" customHeight="true" outlineLevel="0" collapsed="false">
      <c r="A95" s="93" t="n">
        <v>13047</v>
      </c>
      <c r="B95" s="95" t="n">
        <v>45759</v>
      </c>
      <c r="C95" s="96" t="n">
        <v>0.733958333333333</v>
      </c>
      <c r="D95" s="93" t="s">
        <v>401</v>
      </c>
      <c r="E95" s="93" t="s">
        <v>253</v>
      </c>
      <c r="F95" s="93" t="n">
        <v>0.92216</v>
      </c>
      <c r="G95" s="93" t="n">
        <v>20.04</v>
      </c>
      <c r="H95" s="93" t="n">
        <v>5.128</v>
      </c>
      <c r="I95" s="93" t="n">
        <v>5.561</v>
      </c>
      <c r="J95" s="93" t="n">
        <v>20</v>
      </c>
      <c r="K95" s="93" t="n">
        <v>0.1</v>
      </c>
      <c r="L95" s="93" t="n">
        <v>0.26</v>
      </c>
      <c r="M95" s="93" t="s">
        <v>254</v>
      </c>
    </row>
    <row r="96" customFormat="false" ht="14.25" hidden="false" customHeight="true" outlineLevel="0" collapsed="false">
      <c r="A96" s="93" t="n">
        <v>13048</v>
      </c>
      <c r="B96" s="95" t="n">
        <v>45759</v>
      </c>
      <c r="C96" s="96" t="n">
        <v>0.73974537037037</v>
      </c>
      <c r="D96" s="93" t="s">
        <v>401</v>
      </c>
      <c r="E96" s="93" t="s">
        <v>253</v>
      </c>
      <c r="F96" s="93" t="n">
        <v>0.91439</v>
      </c>
      <c r="G96" s="93" t="n">
        <v>29.97</v>
      </c>
      <c r="H96" s="93" t="n">
        <v>3.771</v>
      </c>
      <c r="I96" s="93" t="n">
        <v>4.124</v>
      </c>
      <c r="J96" s="93" t="n">
        <v>30</v>
      </c>
      <c r="K96" s="93" t="n">
        <v>0.11</v>
      </c>
      <c r="L96" s="93" t="n">
        <v>0.54</v>
      </c>
      <c r="M96" s="93" t="s">
        <v>254</v>
      </c>
    </row>
    <row r="97" customFormat="false" ht="14.25" hidden="false" customHeight="true" outlineLevel="0" collapsed="false">
      <c r="A97" s="93" t="n">
        <v>13049</v>
      </c>
      <c r="B97" s="95" t="n">
        <v>45759</v>
      </c>
      <c r="C97" s="96" t="n">
        <v>0.745185185185185</v>
      </c>
      <c r="D97" s="93" t="s">
        <v>401</v>
      </c>
      <c r="E97" s="93" t="s">
        <v>253</v>
      </c>
      <c r="F97" s="93" t="n">
        <v>0.90645</v>
      </c>
      <c r="G97" s="93" t="n">
        <v>39.97</v>
      </c>
      <c r="H97" s="93" t="n">
        <v>2.888</v>
      </c>
      <c r="I97" s="93" t="n">
        <v>3.186</v>
      </c>
      <c r="J97" s="93" t="n">
        <v>40</v>
      </c>
      <c r="K97" s="93" t="n">
        <v>0.06</v>
      </c>
      <c r="L97" s="93" t="n">
        <v>0.4</v>
      </c>
      <c r="M97" s="93" t="s">
        <v>254</v>
      </c>
    </row>
    <row r="98" customFormat="false" ht="14.25" hidden="false" customHeight="true" outlineLevel="0" collapsed="false">
      <c r="A98" s="93" t="n">
        <v>13050</v>
      </c>
      <c r="B98" s="95" t="n">
        <v>45759</v>
      </c>
      <c r="C98" s="96" t="n">
        <v>0.754386574074074</v>
      </c>
      <c r="D98" s="93" t="s">
        <v>401</v>
      </c>
      <c r="E98" s="93" t="s">
        <v>253</v>
      </c>
      <c r="F98" s="93" t="n">
        <v>0.89849</v>
      </c>
      <c r="G98" s="93" t="n">
        <v>49.97</v>
      </c>
      <c r="H98" s="93" t="n">
        <v>2.284</v>
      </c>
      <c r="I98" s="93" t="n">
        <v>2.542</v>
      </c>
      <c r="J98" s="93" t="n">
        <v>50</v>
      </c>
      <c r="K98" s="93" t="n">
        <v>0.21</v>
      </c>
      <c r="L98" s="93" t="n">
        <v>0.93</v>
      </c>
      <c r="M98" s="93" t="s">
        <v>254</v>
      </c>
    </row>
    <row r="99" customFormat="false" ht="14.25" hidden="false" customHeight="true" outlineLevel="0" collapsed="false">
      <c r="A99" s="93" t="n">
        <v>13051</v>
      </c>
      <c r="B99" s="95" t="n">
        <v>45759</v>
      </c>
      <c r="C99" s="96" t="n">
        <v>0.764872685185185</v>
      </c>
      <c r="D99" s="93" t="s">
        <v>401</v>
      </c>
      <c r="E99" s="93" t="s">
        <v>253</v>
      </c>
      <c r="F99" s="93" t="n">
        <v>0.89048</v>
      </c>
      <c r="G99" s="93" t="n">
        <v>59.98</v>
      </c>
      <c r="H99" s="93" t="n">
        <v>1.857</v>
      </c>
      <c r="I99" s="93" t="n">
        <v>2.085</v>
      </c>
      <c r="J99" s="93" t="n">
        <v>60</v>
      </c>
      <c r="K99" s="93" t="n">
        <v>0.08</v>
      </c>
      <c r="L99" s="93" t="n">
        <v>1.28</v>
      </c>
      <c r="M99" s="93" t="s">
        <v>254</v>
      </c>
    </row>
    <row r="100" customFormat="false" ht="14.25" hidden="false" customHeight="true" outlineLevel="0" collapsed="false">
      <c r="A100" s="93" t="n">
        <v>13052</v>
      </c>
      <c r="B100" s="95" t="n">
        <v>45759</v>
      </c>
      <c r="C100" s="96" t="n">
        <v>0.819594907407407</v>
      </c>
      <c r="D100" s="93" t="s">
        <v>402</v>
      </c>
      <c r="E100" s="93" t="s">
        <v>253</v>
      </c>
      <c r="F100" s="93" t="s">
        <v>289</v>
      </c>
      <c r="G100" s="93" t="s">
        <v>289</v>
      </c>
      <c r="H100" s="93" t="s">
        <v>289</v>
      </c>
      <c r="I100" s="93" t="s">
        <v>289</v>
      </c>
      <c r="J100" s="93" t="s">
        <v>289</v>
      </c>
      <c r="K100" s="93" t="s">
        <v>289</v>
      </c>
      <c r="L100" s="93" t="s">
        <v>289</v>
      </c>
      <c r="M100" s="93" t="s">
        <v>254</v>
      </c>
    </row>
    <row r="101" customFormat="false" ht="14.25" hidden="false" customHeight="true" outlineLevel="0" collapsed="false">
      <c r="A101" s="93" t="n">
        <v>13053</v>
      </c>
      <c r="B101" s="95" t="n">
        <v>45759</v>
      </c>
      <c r="C101" s="96" t="n">
        <v>0.790428240740741</v>
      </c>
      <c r="D101" s="93" t="s">
        <v>402</v>
      </c>
      <c r="E101" s="93" t="s">
        <v>253</v>
      </c>
      <c r="F101" s="93" t="n">
        <v>0.93366</v>
      </c>
      <c r="G101" s="93" t="n">
        <v>20.03</v>
      </c>
      <c r="H101" s="93" t="n">
        <v>5.522</v>
      </c>
      <c r="I101" s="93" t="n">
        <v>5.914</v>
      </c>
      <c r="J101" s="93" t="n">
        <v>20</v>
      </c>
      <c r="K101" s="93" t="n">
        <v>0.01</v>
      </c>
      <c r="L101" s="93" t="n">
        <v>0.5</v>
      </c>
      <c r="M101" s="93" t="s">
        <v>254</v>
      </c>
    </row>
    <row r="102" customFormat="false" ht="14.25" hidden="false" customHeight="true" outlineLevel="0" collapsed="false">
      <c r="A102" s="93" t="n">
        <v>13054</v>
      </c>
      <c r="B102" s="95" t="n">
        <v>45759</v>
      </c>
      <c r="C102" s="96" t="n">
        <v>0.796423611111111</v>
      </c>
      <c r="D102" s="93" t="s">
        <v>402</v>
      </c>
      <c r="E102" s="93" t="s">
        <v>253</v>
      </c>
      <c r="F102" s="93" t="n">
        <v>0.92593</v>
      </c>
      <c r="G102" s="93" t="n">
        <v>29.98</v>
      </c>
      <c r="H102" s="93" t="n">
        <v>4.072</v>
      </c>
      <c r="I102" s="93" t="n">
        <v>4.398</v>
      </c>
      <c r="J102" s="93" t="n">
        <v>30</v>
      </c>
      <c r="K102" s="93" t="n">
        <v>0.11</v>
      </c>
      <c r="L102" s="93" t="n">
        <v>0.46</v>
      </c>
      <c r="M102" s="93" t="s">
        <v>254</v>
      </c>
    </row>
    <row r="103" customFormat="false" ht="14.25" hidden="false" customHeight="true" outlineLevel="0" collapsed="false">
      <c r="A103" s="93" t="n">
        <v>13055</v>
      </c>
      <c r="B103" s="95" t="n">
        <v>45759</v>
      </c>
      <c r="C103" s="96" t="n">
        <v>0.801770833333333</v>
      </c>
      <c r="D103" s="93" t="s">
        <v>402</v>
      </c>
      <c r="E103" s="93" t="s">
        <v>253</v>
      </c>
      <c r="F103" s="93" t="n">
        <v>0.91813</v>
      </c>
      <c r="G103" s="93" t="n">
        <v>39.97</v>
      </c>
      <c r="H103" s="93" t="n">
        <v>3.125</v>
      </c>
      <c r="I103" s="93" t="n">
        <v>3.404</v>
      </c>
      <c r="J103" s="93" t="n">
        <v>40</v>
      </c>
      <c r="K103" s="93" t="n">
        <v>0.03</v>
      </c>
      <c r="L103" s="93" t="n">
        <v>0.78</v>
      </c>
      <c r="M103" s="93" t="s">
        <v>254</v>
      </c>
    </row>
    <row r="104" customFormat="false" ht="14.25" hidden="false" customHeight="true" outlineLevel="0" collapsed="false">
      <c r="A104" s="93" t="n">
        <v>13056</v>
      </c>
      <c r="B104" s="95" t="n">
        <v>45759</v>
      </c>
      <c r="C104" s="96" t="n">
        <v>0.809224537037037</v>
      </c>
      <c r="D104" s="93" t="s">
        <v>402</v>
      </c>
      <c r="E104" s="93" t="s">
        <v>253</v>
      </c>
      <c r="F104" s="93" t="n">
        <v>0.91032</v>
      </c>
      <c r="G104" s="93" t="n">
        <v>49.97</v>
      </c>
      <c r="H104" s="93" t="n">
        <v>2.477</v>
      </c>
      <c r="I104" s="93" t="n">
        <v>2.721</v>
      </c>
      <c r="J104" s="93" t="n">
        <v>50</v>
      </c>
      <c r="K104" s="93" t="n">
        <v>0.07</v>
      </c>
      <c r="L104" s="93" t="n">
        <v>0.66</v>
      </c>
      <c r="M104" s="93" t="s">
        <v>254</v>
      </c>
    </row>
    <row r="105" customFormat="false" ht="14.25" hidden="false" customHeight="true" outlineLevel="0" collapsed="false">
      <c r="A105" s="93" t="n">
        <v>13057</v>
      </c>
      <c r="B105" s="95" t="n">
        <v>45759</v>
      </c>
      <c r="C105" s="96" t="n">
        <v>0.819560185185185</v>
      </c>
      <c r="D105" s="93" t="s">
        <v>402</v>
      </c>
      <c r="E105" s="93" t="s">
        <v>253</v>
      </c>
      <c r="F105" s="93" t="n">
        <v>0.90249</v>
      </c>
      <c r="G105" s="93" t="n">
        <v>59.98</v>
      </c>
      <c r="H105" s="93" t="n">
        <v>2.015</v>
      </c>
      <c r="I105" s="93" t="n">
        <v>2.233</v>
      </c>
      <c r="J105" s="93" t="n">
        <v>60</v>
      </c>
      <c r="K105" s="93" t="n">
        <v>0.01</v>
      </c>
      <c r="L105" s="93" t="n">
        <v>1.02</v>
      </c>
      <c r="M105" s="93" t="s">
        <v>254</v>
      </c>
    </row>
    <row r="106" customFormat="false" ht="14.25" hidden="false" customHeight="true" outlineLevel="0" collapsed="false">
      <c r="A106" s="93" t="n">
        <v>13058</v>
      </c>
      <c r="B106" s="95" t="n">
        <v>45759</v>
      </c>
      <c r="C106" s="96" t="n">
        <v>0.866944444444444</v>
      </c>
      <c r="D106" s="93" t="s">
        <v>403</v>
      </c>
      <c r="E106" s="93" t="s">
        <v>253</v>
      </c>
      <c r="F106" s="93" t="s">
        <v>289</v>
      </c>
      <c r="G106" s="93" t="s">
        <v>289</v>
      </c>
      <c r="H106" s="93" t="s">
        <v>289</v>
      </c>
      <c r="I106" s="93" t="s">
        <v>289</v>
      </c>
      <c r="J106" s="93" t="s">
        <v>289</v>
      </c>
      <c r="K106" s="93" t="s">
        <v>289</v>
      </c>
      <c r="L106" s="93" t="s">
        <v>289</v>
      </c>
      <c r="M106" s="93" t="s">
        <v>254</v>
      </c>
    </row>
    <row r="107" customFormat="false" ht="14.25" hidden="false" customHeight="true" outlineLevel="0" collapsed="false">
      <c r="A107" s="93" t="n">
        <v>13059</v>
      </c>
      <c r="B107" s="95" t="n">
        <v>45759</v>
      </c>
      <c r="C107" s="96" t="n">
        <v>0.837268518518519</v>
      </c>
      <c r="D107" s="93" t="s">
        <v>403</v>
      </c>
      <c r="E107" s="93" t="s">
        <v>253</v>
      </c>
      <c r="F107" s="93" t="n">
        <v>0.94314</v>
      </c>
      <c r="G107" s="93" t="n">
        <v>20.03</v>
      </c>
      <c r="H107" s="93" t="n">
        <v>5.977</v>
      </c>
      <c r="I107" s="93" t="n">
        <v>6.337</v>
      </c>
      <c r="J107" s="93" t="n">
        <v>20</v>
      </c>
      <c r="K107" s="93" t="n">
        <v>0.04</v>
      </c>
      <c r="L107" s="93" t="n">
        <v>0.36</v>
      </c>
      <c r="M107" s="93" t="s">
        <v>254</v>
      </c>
    </row>
    <row r="108" customFormat="false" ht="14.25" hidden="false" customHeight="true" outlineLevel="0" collapsed="false">
      <c r="A108" s="93" t="n">
        <v>13060</v>
      </c>
      <c r="B108" s="95" t="n">
        <v>45759</v>
      </c>
      <c r="C108" s="96" t="n">
        <v>0.843506944444444</v>
      </c>
      <c r="D108" s="93" t="s">
        <v>403</v>
      </c>
      <c r="E108" s="93" t="s">
        <v>253</v>
      </c>
      <c r="F108" s="93" t="n">
        <v>0.9355</v>
      </c>
      <c r="G108" s="93" t="n">
        <v>29.98</v>
      </c>
      <c r="H108" s="93" t="n">
        <v>4.404</v>
      </c>
      <c r="I108" s="93" t="n">
        <v>4.708</v>
      </c>
      <c r="J108" s="93" t="n">
        <v>30</v>
      </c>
      <c r="K108" s="93" t="n">
        <v>0.05</v>
      </c>
      <c r="L108" s="93" t="n">
        <v>0.72</v>
      </c>
      <c r="M108" s="93" t="s">
        <v>254</v>
      </c>
    </row>
    <row r="109" customFormat="false" ht="14.25" hidden="false" customHeight="true" outlineLevel="0" collapsed="false">
      <c r="A109" s="93" t="n">
        <v>13061</v>
      </c>
      <c r="B109" s="95" t="n">
        <v>45759</v>
      </c>
      <c r="C109" s="96" t="n">
        <v>0.849039351851852</v>
      </c>
      <c r="D109" s="93" t="s">
        <v>403</v>
      </c>
      <c r="E109" s="93" t="s">
        <v>253</v>
      </c>
      <c r="F109" s="93" t="n">
        <v>0.92781</v>
      </c>
      <c r="G109" s="93" t="n">
        <v>39.97</v>
      </c>
      <c r="H109" s="93" t="n">
        <v>3.375</v>
      </c>
      <c r="I109" s="93" t="n">
        <v>3.637</v>
      </c>
      <c r="J109" s="93" t="n">
        <v>40</v>
      </c>
      <c r="K109" s="93" t="n">
        <v>0.18</v>
      </c>
      <c r="L109" s="93" t="n">
        <v>0.74</v>
      </c>
      <c r="M109" s="93" t="s">
        <v>254</v>
      </c>
    </row>
    <row r="110" customFormat="false" ht="14.25" hidden="false" customHeight="true" outlineLevel="0" collapsed="false">
      <c r="A110" s="93" t="n">
        <v>13062</v>
      </c>
      <c r="B110" s="95" t="n">
        <v>45759</v>
      </c>
      <c r="C110" s="96" t="n">
        <v>0.856585648148148</v>
      </c>
      <c r="D110" s="93" t="s">
        <v>403</v>
      </c>
      <c r="E110" s="93" t="s">
        <v>253</v>
      </c>
      <c r="F110" s="93" t="n">
        <v>0.9201</v>
      </c>
      <c r="G110" s="93" t="n">
        <v>49.97</v>
      </c>
      <c r="H110" s="93" t="n">
        <v>2.677</v>
      </c>
      <c r="I110" s="93" t="n">
        <v>2.91</v>
      </c>
      <c r="J110" s="93" t="n">
        <v>50</v>
      </c>
      <c r="K110" s="93" t="n">
        <v>0.08</v>
      </c>
      <c r="L110" s="93" t="n">
        <v>0.78</v>
      </c>
      <c r="M110" s="93" t="s">
        <v>254</v>
      </c>
    </row>
    <row r="111" customFormat="false" ht="14.25" hidden="false" customHeight="true" outlineLevel="0" collapsed="false">
      <c r="A111" s="93" t="n">
        <v>13063</v>
      </c>
      <c r="B111" s="95" t="n">
        <v>45759</v>
      </c>
      <c r="C111" s="96" t="n">
        <v>0.866909722222222</v>
      </c>
      <c r="D111" s="93" t="s">
        <v>403</v>
      </c>
      <c r="E111" s="93" t="s">
        <v>253</v>
      </c>
      <c r="F111" s="93" t="n">
        <v>0.91237</v>
      </c>
      <c r="G111" s="93" t="n">
        <v>59.98</v>
      </c>
      <c r="H111" s="93" t="n">
        <v>2.176</v>
      </c>
      <c r="I111" s="93" t="n">
        <v>2.385</v>
      </c>
      <c r="J111" s="93" t="n">
        <v>60</v>
      </c>
      <c r="K111" s="93" t="n">
        <v>0.02</v>
      </c>
      <c r="L111" s="93" t="n">
        <v>0.57</v>
      </c>
      <c r="M111" s="93" t="s">
        <v>254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C12" activeCellId="1" sqref="B39:F39 C12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4" min="4" style="1" width="38.25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40</v>
      </c>
      <c r="B2" s="1" t="n">
        <v>1</v>
      </c>
      <c r="C2" s="1" t="n">
        <v>170.25</v>
      </c>
    </row>
    <row r="3" customFormat="false" ht="14.25" hidden="false" customHeight="true" outlineLevel="0" collapsed="false">
      <c r="A3" s="1" t="s">
        <v>20</v>
      </c>
      <c r="B3" s="1" t="n">
        <v>2</v>
      </c>
      <c r="C3" s="1" t="n">
        <v>102.17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396</v>
      </c>
      <c r="C7" s="1" t="s">
        <v>314</v>
      </c>
      <c r="D7" s="1" t="s">
        <v>397</v>
      </c>
      <c r="E7" s="1" t="s">
        <v>398</v>
      </c>
      <c r="F7" s="1" t="s">
        <v>315</v>
      </c>
      <c r="G7" s="1" t="s">
        <v>399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1" t="n">
        <v>0</v>
      </c>
      <c r="F8" s="1" t="n">
        <v>1</v>
      </c>
      <c r="G8" s="1" t="n">
        <f aca="false">IF(AND(E8=0,F8&gt;0),0,"")</f>
        <v>0</v>
      </c>
      <c r="J8" s="5"/>
      <c r="K8" s="5"/>
    </row>
    <row r="9" customFormat="false" ht="14.25" hidden="false" customHeight="true" outlineLevel="0" collapsed="false">
      <c r="A9" s="1" t="n">
        <v>5</v>
      </c>
      <c r="B9" s="1" t="n">
        <f aca="false">IF(D9=0, 0, IF(D9=1, A9, (D9*A9*$C$2)/($C$3*(1-D9)+$C$2*D9)))</f>
        <v>0.781120960193801</v>
      </c>
      <c r="C9" s="1" t="n">
        <f aca="false">A9-B9</f>
        <v>4.2188790398062</v>
      </c>
      <c r="D9" s="1" t="n">
        <v>0.1</v>
      </c>
      <c r="E9" s="1" t="n">
        <v>0.7653</v>
      </c>
      <c r="F9" s="1" t="n">
        <v>4.0759</v>
      </c>
      <c r="G9" s="1" t="n">
        <f aca="false">IFERROR((E9*purity_gamma/MW_gamma)/((E9*purity_gamma/MW_gamma)+(F9*purity_hexoh/MW_hexoh)),"")</f>
        <v>0.100264238516477</v>
      </c>
      <c r="J9" s="3"/>
      <c r="K9" s="5"/>
    </row>
    <row r="10" customFormat="false" ht="14.25" hidden="false" customHeight="true" outlineLevel="0" collapsed="false">
      <c r="A10" s="1" t="n">
        <v>5</v>
      </c>
      <c r="B10" s="1" t="n">
        <f aca="false">IF(D10=0, 0, IF(D10=1, A10, (D10*A10*$C$2)/($C$3*(1-D10)+$C$2*D10)))</f>
        <v>1.47038502064153</v>
      </c>
      <c r="C10" s="1" t="n">
        <f aca="false">A10-B10</f>
        <v>3.52961497935847</v>
      </c>
      <c r="D10" s="1" t="n">
        <v>0.2</v>
      </c>
      <c r="E10" s="1" t="n">
        <v>1.4751</v>
      </c>
      <c r="F10" s="1" t="n">
        <v>3.4658</v>
      </c>
      <c r="G10" s="1" t="n">
        <f aca="false">IFERROR((E10*purity_gamma/MW_gamma)/((E10*purity_gamma/MW_gamma)+(F10*purity_hexoh/MW_hexoh)),"")</f>
        <v>0.201663327667688</v>
      </c>
      <c r="J10" s="3"/>
      <c r="K10" s="5"/>
    </row>
    <row r="11" customFormat="false" ht="14.25" hidden="false" customHeight="true" outlineLevel="0" collapsed="false">
      <c r="A11" s="1" t="n">
        <v>5</v>
      </c>
      <c r="B11" s="1" t="n">
        <f aca="false">IF(D11=0, 0, IF(D11=1, A11, (D11*A11*$C$2)/($C$3*(1-D11)+$C$2*D11)))</f>
        <v>2.0830954206568</v>
      </c>
      <c r="C11" s="1" t="n">
        <f aca="false">A11-B11</f>
        <v>2.9169045793432</v>
      </c>
      <c r="D11" s="1" t="n">
        <v>0.3</v>
      </c>
      <c r="E11" s="1" t="n">
        <v>2.0474</v>
      </c>
      <c r="F11" s="1" t="n">
        <v>2.9079</v>
      </c>
      <c r="G11" s="1" t="n">
        <f aca="false">IFERROR((E11*purity_gamma/MW_gamma)/((E11*purity_gamma/MW_gamma)+(F11*purity_hexoh/MW_hexoh)),"")</f>
        <v>0.294719078979337</v>
      </c>
      <c r="J11" s="3"/>
      <c r="K11" s="5"/>
    </row>
    <row r="12" customFormat="false" ht="14.25" hidden="false" customHeight="true" outlineLevel="0" collapsed="false">
      <c r="A12" s="1" t="n">
        <v>5</v>
      </c>
      <c r="B12" s="1" t="n">
        <f aca="false">IF(D12=0, 0, IF(D12=1, A12, (D12*A12*$C$2)/($C$3*(1-D12)+$C$2*D12)))</f>
        <v>2.63133490981592</v>
      </c>
      <c r="C12" s="1" t="n">
        <f aca="false">A12-B12</f>
        <v>2.36866509018408</v>
      </c>
      <c r="D12" s="1" t="n">
        <v>0.4</v>
      </c>
      <c r="E12" s="1" t="n">
        <v>2.6038</v>
      </c>
      <c r="F12" s="1" t="n">
        <v>2.3407</v>
      </c>
      <c r="G12" s="1" t="n">
        <f aca="false">IFERROR((E12*purity_gamma/MW_gamma)/((E12*purity_gamma/MW_gamma)+(F12*purity_hexoh/MW_hexoh)),"")</f>
        <v>0.397668023769591</v>
      </c>
      <c r="J12" s="3"/>
      <c r="K12" s="5"/>
    </row>
    <row r="13" customFormat="false" ht="14.25" hidden="false" customHeight="true" outlineLevel="0" collapsed="false">
      <c r="A13" s="1" t="n">
        <v>5</v>
      </c>
      <c r="B13" s="1" t="n">
        <f aca="false">IF(D13=0, 0, IF(D13=1, A13, (D13*A13*$C$2)/($C$3*(1-D13)+$C$2*D13)))</f>
        <v>3.12477057484766</v>
      </c>
      <c r="C13" s="1" t="n">
        <f aca="false">A13-B13</f>
        <v>1.87522942515234</v>
      </c>
      <c r="D13" s="1" t="n">
        <v>0.5</v>
      </c>
      <c r="E13" s="1" t="n">
        <v>3.0736</v>
      </c>
      <c r="F13" s="1" t="n">
        <v>1.845</v>
      </c>
      <c r="G13" s="1" t="n">
        <f aca="false">IFERROR((E13*purity_gamma/MW_gamma)/((E13*purity_gamma/MW_gamma)+(F13*purity_hexoh/MW_hexoh)),"")</f>
        <v>0.49716431696211</v>
      </c>
      <c r="J13" s="3"/>
      <c r="K13" s="5"/>
    </row>
    <row r="14" customFormat="false" ht="14.25" hidden="false" customHeight="true" outlineLevel="0" collapsed="false">
      <c r="A14" s="1" t="n">
        <v>5</v>
      </c>
      <c r="B14" s="1" t="n">
        <f aca="false">IF(D14=0, 0, IF(D14=1, A14, (D14*A14*$C$2)/($C$3*(1-D14)+$C$2*D14)))</f>
        <v>3.57122879637528</v>
      </c>
      <c r="C14" s="1" t="n">
        <f aca="false">A14-B14</f>
        <v>1.42877120362472</v>
      </c>
      <c r="D14" s="1" t="n">
        <v>0.6</v>
      </c>
      <c r="E14" s="1" t="n">
        <v>3.5311</v>
      </c>
      <c r="F14" s="1" t="n">
        <v>1.4147</v>
      </c>
      <c r="G14" s="1" t="n">
        <f aca="false">IFERROR((E14*purity_gamma/MW_gamma)/((E14*purity_gamma/MW_gamma)+(F14*purity_hexoh/MW_hexoh)),"")</f>
        <v>0.596999591452682</v>
      </c>
      <c r="J14" s="5"/>
      <c r="K14" s="5"/>
    </row>
    <row r="15" customFormat="false" ht="14.25" hidden="false" customHeight="true" outlineLevel="0" collapsed="false">
      <c r="A15" s="1" t="n">
        <v>5</v>
      </c>
      <c r="B15" s="1" t="n">
        <f aca="false">IF(D15=0, 0, IF(D15=1, A15, (D15*A15*$C$2)/($C$3*(1-D15)+$C$2*D15)))</f>
        <v>3.97711345160386</v>
      </c>
      <c r="C15" s="1" t="n">
        <f aca="false">A15-B15</f>
        <v>1.02288654839614</v>
      </c>
      <c r="D15" s="1" t="n">
        <v>0.7</v>
      </c>
      <c r="E15" s="1" t="n">
        <v>3.9068</v>
      </c>
      <c r="F15" s="1" t="n">
        <v>0.985999999999999</v>
      </c>
      <c r="G15" s="1" t="n">
        <f aca="false">IFERROR((E15*purity_gamma/MW_gamma)/((E15*purity_gamma/MW_gamma)+(F15*purity_hexoh/MW_hexoh)),"")</f>
        <v>0.701636821933322</v>
      </c>
      <c r="J15" s="5"/>
      <c r="K15" s="5"/>
    </row>
    <row r="16" customFormat="false" ht="14.25" hidden="false" customHeight="true" outlineLevel="0" collapsed="false">
      <c r="A16" s="1" t="n">
        <v>5</v>
      </c>
      <c r="B16" s="1" t="n">
        <f aca="false">IF(D16=0, 0, IF(D16=1, A16, (D16*A16*$C$2)/($C$3*(1-D16)+$C$2*D16)))</f>
        <v>4.34771505547965</v>
      </c>
      <c r="C16" s="1" t="n">
        <f aca="false">A16-B16</f>
        <v>0.652284944520347</v>
      </c>
      <c r="D16" s="1" t="n">
        <v>0.8</v>
      </c>
      <c r="E16" s="1" t="n">
        <v>4.6249</v>
      </c>
      <c r="F16" s="1" t="n">
        <v>0.302099999999999</v>
      </c>
      <c r="G16" s="1" t="n">
        <f aca="false">IFERROR((E16*purity_gamma/MW_gamma)/((E16*purity_gamma/MW_gamma)+(F16*purity_hexoh/MW_hexoh)),"")</f>
        <v>0.900853031749634</v>
      </c>
      <c r="J16" s="5"/>
      <c r="K16" s="5"/>
    </row>
    <row r="17" customFormat="false" ht="14.25" hidden="false" customHeight="true" outlineLevel="0" collapsed="false">
      <c r="A17" s="1" t="n">
        <v>5</v>
      </c>
      <c r="B17" s="1" t="n">
        <f aca="false">IF(D17=0, 0, IF(D17=1, A17, (D17*A17*$C$2)/($C$3*(1-D17)+$C$2*D17)))</f>
        <v>4.68744264020264</v>
      </c>
      <c r="C17" s="1" t="n">
        <f aca="false">A17-B17</f>
        <v>0.31255735979736</v>
      </c>
      <c r="D17" s="1" t="n">
        <v>0.9</v>
      </c>
      <c r="E17" s="1" t="n">
        <v>4.2767</v>
      </c>
      <c r="F17" s="1" t="n">
        <v>0.6188</v>
      </c>
      <c r="G17" s="1" t="n">
        <f aca="false">IFERROR((E17*purity_gamma/MW_gamma)/((E17*purity_gamma/MW_gamma)+(F17*purity_hexoh/MW_hexoh)),"")</f>
        <v>0.80399324667993</v>
      </c>
      <c r="J17" s="5"/>
      <c r="K17" s="5"/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1" t="n">
        <v>1</v>
      </c>
      <c r="F18" s="1" t="n">
        <v>0</v>
      </c>
      <c r="G18" s="1" t="n">
        <f aca="false">IF(AND(E18&gt;0,F18=0),1,IFERROR((E18/MW_gamma)/((E18/MW_gamma)+(F18/MW_hexoh)),""))</f>
        <v>1</v>
      </c>
      <c r="J18" s="5"/>
      <c r="K18" s="5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4.25" hidden="false" customHeight="true" outlineLevel="0" collapsed="false">
      <c r="A21" s="78"/>
      <c r="B21" s="1" t="s">
        <v>212</v>
      </c>
      <c r="G21" s="1" t="s">
        <v>284</v>
      </c>
    </row>
    <row r="22" customFormat="false" ht="14.25" hidden="false" customHeight="true" outlineLevel="0" collapsed="false">
      <c r="A22" s="78" t="s">
        <v>285</v>
      </c>
      <c r="B22" s="1" t="n">
        <v>20</v>
      </c>
      <c r="C22" s="1" t="n">
        <v>30</v>
      </c>
      <c r="D22" s="1" t="n">
        <v>40</v>
      </c>
      <c r="E22" s="1" t="n">
        <v>50</v>
      </c>
      <c r="F22" s="1" t="n">
        <v>60</v>
      </c>
      <c r="G22" s="1" t="n">
        <v>20</v>
      </c>
      <c r="H22" s="1" t="n">
        <v>30</v>
      </c>
      <c r="I22" s="1" t="n">
        <v>40</v>
      </c>
      <c r="J22" s="1" t="n">
        <v>50</v>
      </c>
      <c r="K22" s="1" t="n">
        <v>60</v>
      </c>
    </row>
    <row r="23" customFormat="false" ht="13.5" hidden="false" customHeight="true" outlineLevel="0" collapsed="false">
      <c r="A23" s="1" t="n">
        <f aca="false">G8</f>
        <v>0</v>
      </c>
      <c r="B23" s="1" t="n">
        <f aca="false">densidad_viscosidad_puros!G25</f>
        <v>0.81883</v>
      </c>
      <c r="C23" s="1" t="n">
        <f aca="false">densidad_viscosidad_puros!G26</f>
        <v>0.81174</v>
      </c>
      <c r="D23" s="1" t="n">
        <f aca="false">densidad_viscosidad_puros!G27</f>
        <v>0.80455</v>
      </c>
      <c r="E23" s="1" t="n">
        <f aca="false">densidad_viscosidad_puros!G28</f>
        <v>0.79722</v>
      </c>
      <c r="F23" s="1" t="n">
        <f aca="false">densidad_viscosidad_puros!G29</f>
        <v>0.78971</v>
      </c>
      <c r="G23" s="1" t="n">
        <f aca="false">IFERROR((($A23*MW_gamma)+((1-$A23)*MW_hexoh))/B23-(($A23*MW_gamma/B$33)+((1-$A23)*MW_hexoh/B$23)),"")</f>
        <v>0</v>
      </c>
      <c r="H23" s="1" t="n">
        <f aca="false">IFERROR((($A23*MW_gamma)+((1-$A23)*MW_hexoh))/C23-(($A23*MW_gamma/C$33)+((1-$A23)*MW_hexoh/C$23)),"")</f>
        <v>0</v>
      </c>
      <c r="I23" s="1" t="n">
        <f aca="false">IFERROR((($A23*MW_gamma)+((1-$A23)*MW_hexoh))/D23-(($A23*MW_gamma/D$33)+((1-$A23)*MW_hexoh/D$23)),"")</f>
        <v>0</v>
      </c>
      <c r="J23" s="1" t="n">
        <f aca="false">IFERROR((($A23*MW_gamma)+((1-$A23)*MW_hexoh))/E23-(($A23*MW_gamma/E$33)+((1-$A23)*MW_hexoh/E$23)),"")</f>
        <v>0</v>
      </c>
      <c r="K23" s="1" t="n">
        <f aca="false">IFERROR((($A23*MW_gamma)+((1-$A23)*MW_hexoh))/F23-(($A23*MW_gamma/F$33)+((1-$A23)*MW_hexoh/F$23)),"")</f>
        <v>0</v>
      </c>
    </row>
    <row r="24" customFormat="false" ht="13.5" hidden="false" customHeight="true" outlineLevel="0" collapsed="false">
      <c r="A24" s="1" t="n">
        <f aca="false">G9</f>
        <v>0.100264238516477</v>
      </c>
      <c r="G24" s="1" t="str">
        <f aca="false">IFERROR((($A24*MW_gamma)+((1-$A24)*MW_hexoh))/'dens_visc_gamma+1octoh'!B24-(($A24*MW_gamma/B$33)+((1-$A24)*MW_hexoh/B$23)),"")</f>
        <v/>
      </c>
      <c r="H24" s="1" t="str">
        <f aca="false">IFERROR((($A24*MW_gamma)+((1-$A24)*MW_hexoh))/'dens_visc_gamma+1octoh'!C24-(($A24*MW_gamma/C$33)+((1-$A24)*MW_hexoh/C$23)),"")</f>
        <v/>
      </c>
      <c r="I24" s="1" t="str">
        <f aca="false">IFERROR((($A24*MW_gamma)+((1-$A24)*MW_hexoh))/'dens_visc_gamma+1octoh'!D24-(($A24*MW_gamma/D$33)+((1-$A24)*MW_hexoh/D$23)),"")</f>
        <v/>
      </c>
      <c r="J24" s="1" t="str">
        <f aca="false">IFERROR((($A24*MW_gamma)+((1-$A24)*MW_hexoh))/'dens_visc_gamma+1octoh'!E24-(($A24*MW_gamma/E$33)+((1-$A24)*MW_hexoh/E$23)),"")</f>
        <v/>
      </c>
      <c r="K24" s="1" t="str">
        <f aca="false">IFERROR((($A24*MW_gamma)+((1-$A24)*MW_hexoh))/'dens_visc_gamma+1octoh'!F24-(($A24*MW_gamma/F$33)+((1-$A24)*MW_hexoh/F$23)),"")</f>
        <v/>
      </c>
    </row>
    <row r="25" customFormat="false" ht="13.5" hidden="false" customHeight="true" outlineLevel="0" collapsed="false">
      <c r="A25" s="1" t="n">
        <f aca="false">G10</f>
        <v>0.201663327667688</v>
      </c>
      <c r="G25" s="1" t="str">
        <f aca="false">IFERROR((($A25*MW_gamma)+((1-$A25)*MW_hexoh))/'dens_visc_gamma+1octoh'!B25-(($A25*MW_gamma/B$33)+((1-$A25)*MW_hexoh/B$23)),"")</f>
        <v/>
      </c>
      <c r="H25" s="1" t="str">
        <f aca="false">IFERROR((($A25*MW_gamma)+((1-$A25)*MW_hexoh))/'dens_visc_gamma+1octoh'!C25-(($A25*MW_gamma/C$33)+((1-$A25)*MW_hexoh/C$23)),"")</f>
        <v/>
      </c>
      <c r="I25" s="1" t="str">
        <f aca="false">IFERROR((($A25*MW_gamma)+((1-$A25)*MW_hexoh))/'dens_visc_gamma+1octoh'!D25-(($A25*MW_gamma/D$33)+((1-$A25)*MW_hexoh/D$23)),"")</f>
        <v/>
      </c>
      <c r="J25" s="1" t="str">
        <f aca="false">IFERROR((($A25*MW_gamma)+((1-$A25)*MW_hexoh))/'dens_visc_gamma+1octoh'!E25-(($A25*MW_gamma/E$33)+((1-$A25)*MW_hexoh/E$23)),"")</f>
        <v/>
      </c>
      <c r="K25" s="1" t="str">
        <f aca="false">IFERROR((($A25*MW_gamma)+((1-$A25)*MW_hexoh))/'dens_visc_gamma+1octoh'!F25-(($A25*MW_gamma/F$33)+((1-$A25)*MW_hexoh/F$23)),"")</f>
        <v/>
      </c>
    </row>
    <row r="26" customFormat="false" ht="13.5" hidden="false" customHeight="true" outlineLevel="0" collapsed="false">
      <c r="A26" s="1" t="n">
        <f aca="false">G11</f>
        <v>0.294719078979337</v>
      </c>
      <c r="G26" s="1" t="str">
        <f aca="false">IFERROR((($A26*MW_gamma)+((1-$A26)*MW_hexoh))/'dens_visc_gamma+1octoh'!B26-(($A26*MW_gamma/B$33)+((1-$A26)*MW_hexoh/B$23)),"")</f>
        <v/>
      </c>
      <c r="H26" s="1" t="str">
        <f aca="false">IFERROR((($A26*MW_gamma)+((1-$A26)*MW_hexoh))/'dens_visc_gamma+1octoh'!C26-(($A26*MW_gamma/C$33)+((1-$A26)*MW_hexoh/C$23)),"")</f>
        <v/>
      </c>
      <c r="I26" s="1" t="str">
        <f aca="false">IFERROR((($A26*MW_gamma)+((1-$A26)*MW_hexoh))/'dens_visc_gamma+1octoh'!D26-(($A26*MW_gamma/D$33)+((1-$A26)*MW_hexoh/D$23)),"")</f>
        <v/>
      </c>
      <c r="J26" s="1" t="str">
        <f aca="false">IFERROR((($A26*MW_gamma)+((1-$A26)*MW_hexoh))/'dens_visc_gamma+1octoh'!E26-(($A26*MW_gamma/E$33)+((1-$A26)*MW_hexoh/E$23)),"")</f>
        <v/>
      </c>
      <c r="K26" s="1" t="str">
        <f aca="false">IFERROR((($A26*MW_gamma)+((1-$A26)*MW_hexoh))/'dens_visc_gamma+1octoh'!F26-(($A26*MW_gamma/F$33)+((1-$A26)*MW_hexoh/F$23)),"")</f>
        <v/>
      </c>
    </row>
    <row r="27" customFormat="false" ht="13.5" hidden="false" customHeight="true" outlineLevel="0" collapsed="false">
      <c r="A27" s="1" t="n">
        <f aca="false">G12</f>
        <v>0.397668023769591</v>
      </c>
      <c r="G27" s="1" t="str">
        <f aca="false">IFERROR((($A27*MW_gamma)+((1-$A27)*MW_hexoh))/'dens_visc_gamma+1octoh'!B27-(($A27*MW_gamma/B$33)+((1-$A27)*MW_hexoh/B$23)),"")</f>
        <v/>
      </c>
      <c r="H27" s="1" t="str">
        <f aca="false">IFERROR((($A27*MW_gamma)+((1-$A27)*MW_hexoh))/'dens_visc_gamma+1octoh'!C27-(($A27*MW_gamma/C$33)+((1-$A27)*MW_hexoh/C$23)),"")</f>
        <v/>
      </c>
      <c r="I27" s="1" t="str">
        <f aca="false">IFERROR((($A27*MW_gamma)+((1-$A27)*MW_hexoh))/'dens_visc_gamma+1octoh'!D27-(($A27*MW_gamma/D$33)+((1-$A27)*MW_hexoh/D$23)),"")</f>
        <v/>
      </c>
      <c r="J27" s="1" t="str">
        <f aca="false">IFERROR((($A27*MW_gamma)+((1-$A27)*MW_hexoh))/'dens_visc_gamma+1octoh'!E27-(($A27*MW_gamma/E$33)+((1-$A27)*MW_hexoh/E$23)),"")</f>
        <v/>
      </c>
      <c r="K27" s="1" t="str">
        <f aca="false">IFERROR((($A27*MW_gamma)+((1-$A27)*MW_hexoh))/'dens_visc_gamma+1octoh'!F27-(($A27*MW_gamma/F$33)+((1-$A27)*MW_hexoh/F$23)),"")</f>
        <v/>
      </c>
    </row>
    <row r="28" customFormat="false" ht="13.5" hidden="false" customHeight="true" outlineLevel="0" collapsed="false">
      <c r="A28" s="1" t="n">
        <f aca="false">G13</f>
        <v>0.49716431696211</v>
      </c>
      <c r="G28" s="1" t="str">
        <f aca="false">IFERROR((($A28*MW_gamma)+((1-$A28)*MW_hexoh))/'dens_visc_gamma+1octoh'!B28-(($A28*MW_gamma/B$33)+((1-$A28)*MW_hexoh/B$23)),"")</f>
        <v/>
      </c>
      <c r="H28" s="1" t="str">
        <f aca="false">IFERROR((($A28*MW_gamma)+((1-$A28)*MW_hexoh))/'dens_visc_gamma+1octoh'!C28-(($A28*MW_gamma/C$33)+((1-$A28)*MW_hexoh/C$23)),"")</f>
        <v/>
      </c>
      <c r="I28" s="1" t="str">
        <f aca="false">IFERROR((($A28*MW_gamma)+((1-$A28)*MW_hexoh))/'dens_visc_gamma+1octoh'!D28-(($A28*MW_gamma/D$33)+((1-$A28)*MW_hexoh/D$23)),"")</f>
        <v/>
      </c>
      <c r="J28" s="1" t="str">
        <f aca="false">IFERROR((($A28*MW_gamma)+((1-$A28)*MW_hexoh))/'dens_visc_gamma+1octoh'!E28-(($A28*MW_gamma/E$33)+((1-$A28)*MW_hexoh/E$23)),"")</f>
        <v/>
      </c>
      <c r="K28" s="1" t="str">
        <f aca="false">IFERROR((($A28*MW_gamma)+((1-$A28)*MW_hexoh))/'dens_visc_gamma+1octoh'!F28-(($A28*MW_gamma/F$33)+((1-$A28)*MW_hexoh/F$23)),"")</f>
        <v/>
      </c>
    </row>
    <row r="29" customFormat="false" ht="13.5" hidden="false" customHeight="true" outlineLevel="0" collapsed="false">
      <c r="A29" s="1" t="n">
        <f aca="false">G14</f>
        <v>0.596999591452682</v>
      </c>
      <c r="G29" s="1" t="str">
        <f aca="false">IFERROR((($A29*MW_gamma)+((1-$A29)*MW_hexoh))/B29-(($A29*MW_gamma/B$33)+((1-$A29)*MW_hexoh/B$23)),"")</f>
        <v/>
      </c>
      <c r="H29" s="1" t="str">
        <f aca="false">IFERROR((($A29*MW_gamma)+((1-$A29)*MW_hexoh))/C29-(($A29*MW_gamma/C$33)+((1-$A29)*MW_hexoh/C$23)),"")</f>
        <v/>
      </c>
      <c r="I29" s="1" t="str">
        <f aca="false">IFERROR((($A29*MW_gamma)+((1-$A29)*MW_hexoh))/D29-(($A29*MW_gamma/D$33)+((1-$A29)*MW_hexoh/D$23)),"")</f>
        <v/>
      </c>
      <c r="J29" s="1" t="str">
        <f aca="false">IFERROR((($A29*MW_gamma)+((1-$A29)*MW_hexoh))/E29-(($A29*MW_gamma/E$33)+((1-$A29)*MW_hexoh/E$23)),"")</f>
        <v/>
      </c>
      <c r="K29" s="1" t="str">
        <f aca="false">IFERROR((($A29*MW_gamma)+((1-$A29)*MW_hexoh))/F29-(($A29*MW_gamma/F$33)+((1-$A29)*MW_hexoh/F$23)),"")</f>
        <v/>
      </c>
    </row>
    <row r="30" customFormat="false" ht="13.5" hidden="false" customHeight="true" outlineLevel="0" collapsed="false">
      <c r="A30" s="1" t="n">
        <f aca="false">G15</f>
        <v>0.701636821933322</v>
      </c>
      <c r="G30" s="1" t="str">
        <f aca="false">IFERROR((($A30*MW_gamma)+((1-$A30)*MW_hexoh))/B30-(($A30*MW_gamma/B$33)+((1-$A30)*MW_hexoh/B$23)),"")</f>
        <v/>
      </c>
      <c r="H30" s="1" t="str">
        <f aca="false">IFERROR((($A30*MW_gamma)+((1-$A30)*MW_hexoh))/C30-(($A30*MW_gamma/C$33)+((1-$A30)*MW_hexoh/C$23)),"")</f>
        <v/>
      </c>
      <c r="I30" s="1" t="str">
        <f aca="false">IFERROR((($A30*MW_gamma)+((1-$A30)*MW_hexoh))/D30-(($A30*MW_gamma/D$33)+((1-$A30)*MW_hexoh/D$23)),"")</f>
        <v/>
      </c>
      <c r="J30" s="1" t="str">
        <f aca="false">IFERROR((($A30*MW_gamma)+((1-$A30)*MW_hexoh))/E30-(($A30*MW_gamma/E$33)+((1-$A30)*MW_hexoh/E$23)),"")</f>
        <v/>
      </c>
      <c r="K30" s="1" t="str">
        <f aca="false">IFERROR((($A30*MW_gamma)+((1-$A30)*MW_hexoh))/F30-(($A30*MW_gamma/F$33)+((1-$A30)*MW_hexoh/F$23)),"")</f>
        <v/>
      </c>
    </row>
    <row r="31" customFormat="false" ht="13.5" hidden="false" customHeight="true" outlineLevel="0" collapsed="false">
      <c r="A31" s="1" t="n">
        <f aca="false">G16</f>
        <v>0.900853031749634</v>
      </c>
      <c r="G31" s="1" t="str">
        <f aca="false">IFERROR((($A31*MW_gamma)+((1-$A31)*MW_hexoh))/B31-(($A31*MW_gamma/B$33)+((1-$A31)*MW_hexoh/B$23)),"")</f>
        <v/>
      </c>
      <c r="H31" s="1" t="str">
        <f aca="false">IFERROR((($A31*MW_gamma)+((1-$A31)*MW_hexoh))/C31-(($A31*MW_gamma/C$33)+((1-$A31)*MW_hexoh/C$23)),"")</f>
        <v/>
      </c>
      <c r="I31" s="1" t="str">
        <f aca="false">IFERROR((($A31*MW_gamma)+((1-$A31)*MW_hexoh))/D31-(($A31*MW_gamma/D$33)+((1-$A31)*MW_hexoh/D$23)),"")</f>
        <v/>
      </c>
      <c r="J31" s="1" t="str">
        <f aca="false">IFERROR((($A31*MW_gamma)+((1-$A31)*MW_hexoh))/E31-(($A31*MW_gamma/E$33)+((1-$A31)*MW_hexoh/E$23)),"")</f>
        <v/>
      </c>
      <c r="K31" s="1" t="str">
        <f aca="false">IFERROR((($A31*MW_gamma)+((1-$A31)*MW_hexoh))/F31-(($A31*MW_gamma/F$33)+((1-$A31)*MW_hexoh/F$23)),"")</f>
        <v/>
      </c>
    </row>
    <row r="32" customFormat="false" ht="13.5" hidden="false" customHeight="true" outlineLevel="0" collapsed="false">
      <c r="A32" s="1" t="n">
        <f aca="false">G17</f>
        <v>0.80399324667993</v>
      </c>
      <c r="G32" s="1" t="str">
        <f aca="false">IFERROR((($A32*MW_gamma)+((1-$A32)*MW_hexoh))/B32-(($A32*MW_gamma/B$33)+((1-$A32)*MW_hexoh/B$23)),"")</f>
        <v/>
      </c>
      <c r="H32" s="1" t="str">
        <f aca="false">IFERROR((($A32*MW_gamma)+((1-$A32)*MW_hexoh))/C32-(($A32*MW_gamma/C$33)+((1-$A32)*MW_hexoh/C$23)),"")</f>
        <v/>
      </c>
      <c r="I32" s="1" t="str">
        <f aca="false">IFERROR((($A32*MW_gamma)+((1-$A32)*MW_hexoh))/D32-(($A32*MW_gamma/D$33)+((1-$A32)*MW_hexoh/D$23)),"")</f>
        <v/>
      </c>
      <c r="J32" s="1" t="str">
        <f aca="false">IFERROR((($A32*MW_gamma)+((1-$A32)*MW_hexoh))/E32-(($A32*MW_gamma/E$33)+((1-$A32)*MW_hexoh/E$23)),"")</f>
        <v/>
      </c>
      <c r="K32" s="1" t="str">
        <f aca="false">IFERROR((($A32*MW_gamma)+((1-$A32)*MW_hexoh))/F32-(($A32*MW_gamma/F$33)+((1-$A32)*MW_hexoh/F$23)),"")</f>
        <v/>
      </c>
    </row>
    <row r="33" customFormat="false" ht="13.5" hidden="false" customHeight="true" outlineLevel="0" collapsed="false">
      <c r="A33" s="1" t="n">
        <f aca="false">G18</f>
        <v>1</v>
      </c>
      <c r="B33" s="1" t="n">
        <f aca="false">densidad_viscosidad_puros!G85</f>
        <v>0.95292</v>
      </c>
      <c r="C33" s="1" t="n">
        <f aca="false">densidad_viscosidad_puros!G86</f>
        <v>0.94536</v>
      </c>
      <c r="D33" s="1" t="n">
        <f aca="false">densidad_viscosidad_puros!G87</f>
        <v>0.93774</v>
      </c>
      <c r="E33" s="1" t="n">
        <f aca="false">densidad_viscosidad_puros!G88</f>
        <v>0.93013</v>
      </c>
      <c r="F33" s="1" t="n">
        <f aca="false">densidad_viscosidad_puros!G89</f>
        <v>0.9225</v>
      </c>
      <c r="G33" s="1" t="n">
        <f aca="false">IFERROR((($A33*MW_gamma)+((1-$A33)*MW_hexoh))/B33-(($A33*MW_gamma/B$33)+((1-$A33)*MW_hexoh/B$23)),"")</f>
        <v>0</v>
      </c>
      <c r="H33" s="1" t="n">
        <f aca="false">IFERROR((($A33*MW_gamma)+((1-$A33)*MW_hexoh))/C33-(($A33*MW_gamma/C$33)+((1-$A33)*MW_hexoh/C$23)),"")</f>
        <v>0</v>
      </c>
      <c r="I33" s="1" t="n">
        <f aca="false">IFERROR((($A33*MW_gamma)+((1-$A33)*MW_hexoh))/D33-(($A33*MW_gamma/D$33)+((1-$A33)*MW_hexoh/D$23)),"")</f>
        <v>0</v>
      </c>
      <c r="J33" s="1" t="n">
        <f aca="false">IFERROR((($A33*MW_gamma)+((1-$A33)*MW_hexoh))/E33-(($A33*MW_gamma/E$33)+((1-$A33)*MW_hexoh/E$23)),"")</f>
        <v>0</v>
      </c>
      <c r="K33" s="1" t="n">
        <f aca="false">IFERROR((($A33*MW_gamma)+((1-$A33)*MW_hexoh))/F33-(($A33*MW_gamma/F$33)+((1-$A33)*MW_hexoh/F$23)),"")</f>
        <v>0</v>
      </c>
    </row>
    <row r="34" customFormat="false" ht="13.5" hidden="false" customHeight="true" outlineLevel="0" collapsed="false"/>
    <row r="35" customFormat="false" ht="13.5" hidden="false" customHeight="true" outlineLevel="0" collapsed="false">
      <c r="B35" s="1" t="s">
        <v>214</v>
      </c>
    </row>
    <row r="36" customFormat="false" ht="13.5" hidden="false" customHeight="true" outlineLevel="0" collapsed="false">
      <c r="A36" s="1" t="s">
        <v>285</v>
      </c>
      <c r="B36" s="1" t="n">
        <v>20</v>
      </c>
      <c r="C36" s="1" t="n">
        <v>30</v>
      </c>
      <c r="D36" s="1" t="n">
        <v>40</v>
      </c>
      <c r="E36" s="1" t="n">
        <v>50</v>
      </c>
      <c r="F36" s="1" t="n">
        <v>60</v>
      </c>
    </row>
    <row r="37" customFormat="false" ht="13.5" hidden="false" customHeight="true" outlineLevel="0" collapsed="false">
      <c r="A37" s="1" t="n">
        <f aca="false">G8</f>
        <v>0</v>
      </c>
      <c r="B37" s="1" t="n">
        <f aca="false">densidad_viscosidad_puros!I25</f>
        <v>5.278</v>
      </c>
      <c r="C37" s="1" t="n">
        <f aca="false">densidad_viscosidad_puros!I26</f>
        <v>3.881</v>
      </c>
      <c r="D37" s="1" t="n">
        <f aca="false">densidad_viscosidad_puros!I27</f>
        <v>2.919</v>
      </c>
      <c r="E37" s="1" t="n">
        <f aca="false">densidad_viscosidad_puros!I28</f>
        <v>2.24</v>
      </c>
      <c r="F37" s="1" t="n">
        <f aca="false">densidad_viscosidad_puros!I29</f>
        <v>1.75</v>
      </c>
    </row>
    <row r="38" customFormat="false" ht="13.5" hidden="false" customHeight="true" outlineLevel="0" collapsed="false">
      <c r="A38" s="1" t="n">
        <f aca="false">G9</f>
        <v>0.100264238516477</v>
      </c>
    </row>
    <row r="39" customFormat="false" ht="13.5" hidden="false" customHeight="true" outlineLevel="0" collapsed="false">
      <c r="A39" s="1" t="n">
        <f aca="false">G10</f>
        <v>0.201663327667688</v>
      </c>
    </row>
    <row r="40" customFormat="false" ht="13.5" hidden="false" customHeight="true" outlineLevel="0" collapsed="false">
      <c r="A40" s="1" t="n">
        <f aca="false">G11</f>
        <v>0.294719078979337</v>
      </c>
    </row>
    <row r="41" customFormat="false" ht="13.5" hidden="false" customHeight="true" outlineLevel="0" collapsed="false">
      <c r="A41" s="1" t="n">
        <f aca="false">G12</f>
        <v>0.397668023769591</v>
      </c>
    </row>
    <row r="42" customFormat="false" ht="13.5" hidden="false" customHeight="true" outlineLevel="0" collapsed="false">
      <c r="A42" s="1" t="n">
        <f aca="false">G13</f>
        <v>0.49716431696211</v>
      </c>
    </row>
    <row r="43" customFormat="false" ht="13.5" hidden="false" customHeight="true" outlineLevel="0" collapsed="false">
      <c r="A43" s="1" t="n">
        <f aca="false">G14</f>
        <v>0.596999591452682</v>
      </c>
    </row>
    <row r="44" customFormat="false" ht="13.5" hidden="false" customHeight="true" outlineLevel="0" collapsed="false">
      <c r="A44" s="1" t="n">
        <f aca="false">G15</f>
        <v>0.701636821933322</v>
      </c>
    </row>
    <row r="45" customFormat="false" ht="13.5" hidden="false" customHeight="true" outlineLevel="0" collapsed="false">
      <c r="A45" s="1" t="n">
        <f aca="false">G16</f>
        <v>0.900853031749634</v>
      </c>
    </row>
    <row r="46" customFormat="false" ht="13.5" hidden="false" customHeight="true" outlineLevel="0" collapsed="false">
      <c r="A46" s="1" t="n">
        <f aca="false">G17</f>
        <v>0.80399324667993</v>
      </c>
    </row>
    <row r="47" customFormat="false" ht="13.5" hidden="false" customHeight="true" outlineLevel="0" collapsed="false">
      <c r="A47" s="1" t="n">
        <f aca="false">G18</f>
        <v>1</v>
      </c>
      <c r="B47" s="1" t="n">
        <f aca="false">densidad_viscosidad_puros!I85</f>
        <v>6.574</v>
      </c>
      <c r="C47" s="1" t="n">
        <f aca="false">densidad_viscosidad_puros!I86</f>
        <v>4.821</v>
      </c>
      <c r="D47" s="1" t="n">
        <f aca="false">densidad_viscosidad_puros!I87</f>
        <v>3.691</v>
      </c>
      <c r="E47" s="1" t="n">
        <f aca="false">densidad_viscosidad_puros!I88</f>
        <v>2.914</v>
      </c>
      <c r="F47" s="1" t="n">
        <f aca="false">densidad_viscosidad_puros!I89</f>
        <v>2.362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A1:M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1" sqref="B39:F39 B10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4" min="4" style="1" width="30.13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40</v>
      </c>
      <c r="B2" s="1" t="n">
        <v>1</v>
      </c>
      <c r="C2" s="1" t="n">
        <v>170.25</v>
      </c>
    </row>
    <row r="3" customFormat="false" ht="14.25" hidden="false" customHeight="true" outlineLevel="0" collapsed="false">
      <c r="A3" s="1" t="s">
        <v>23</v>
      </c>
      <c r="B3" s="1" t="n">
        <v>2</v>
      </c>
      <c r="C3" s="1" t="n">
        <v>130.23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396</v>
      </c>
      <c r="C7" s="1" t="s">
        <v>320</v>
      </c>
      <c r="D7" s="1" t="s">
        <v>397</v>
      </c>
      <c r="E7" s="1" t="s">
        <v>398</v>
      </c>
      <c r="F7" s="1" t="s">
        <v>321</v>
      </c>
      <c r="G7" s="1" t="s">
        <v>399</v>
      </c>
    </row>
    <row r="8" customFormat="false" ht="14.25" hidden="false" customHeight="true" outlineLevel="0" collapsed="false">
      <c r="A8" s="1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1" t="n">
        <v>0</v>
      </c>
      <c r="F8" s="1" t="n">
        <v>1</v>
      </c>
      <c r="G8" s="1" t="n">
        <f aca="false">IF(AND(E8=0,F8&gt;0),0,"")</f>
        <v>0</v>
      </c>
      <c r="K8" s="5"/>
    </row>
    <row r="9" customFormat="false" ht="14.25" hidden="false" customHeight="true" outlineLevel="0" collapsed="false">
      <c r="A9" s="1" t="n">
        <v>5</v>
      </c>
      <c r="B9" s="5" t="n">
        <f aca="false">IF(D9=0, 0, IF(D9=1, A9, (D9*A9*$C$2)/($C$3*(1-D9)+$C$2*D9)))</f>
        <v>0.634163239763991</v>
      </c>
      <c r="C9" s="5" t="n">
        <f aca="false">A9-B9</f>
        <v>4.36583676023601</v>
      </c>
      <c r="D9" s="1" t="n">
        <v>0.1</v>
      </c>
      <c r="G9" s="1" t="str">
        <f aca="false">IFERROR((E9*purity_gamma/MW_gamma)/((E9*purity_gamma/MW_gamma)+(F9*purity_octoh/MW_octoh)),"")</f>
        <v/>
      </c>
      <c r="J9" s="3"/>
      <c r="K9" s="5"/>
    </row>
    <row r="10" customFormat="false" ht="14.25" hidden="false" customHeight="true" outlineLevel="0" collapsed="false">
      <c r="A10" s="1" t="n">
        <v>5</v>
      </c>
      <c r="B10" s="5" t="n">
        <f aca="false">IF(D10=0, 0, IF(D10=1, A10, (D10*A10*$C$2)/($C$3*(1-D10)+$C$2*D10)))</f>
        <v>1.23160727462129</v>
      </c>
      <c r="C10" s="5" t="n">
        <f aca="false">A10-B10</f>
        <v>3.76839272537871</v>
      </c>
      <c r="D10" s="1" t="n">
        <v>0.2</v>
      </c>
      <c r="G10" s="1" t="str">
        <f aca="false">IFERROR((E10*purity_gamma/MW_gamma)/((E10*purity_gamma/MW_gamma)+(F10*purity_octoh/MW_octoh)),"")</f>
        <v/>
      </c>
      <c r="J10" s="3"/>
      <c r="K10" s="5"/>
    </row>
    <row r="11" customFormat="false" ht="14.25" hidden="false" customHeight="true" outlineLevel="0" collapsed="false">
      <c r="A11" s="1" t="n">
        <v>5</v>
      </c>
      <c r="B11" s="5" t="n">
        <f aca="false">IF(D11=0, 0, IF(D11=1, A11, (D11*A11*$C$2)/($C$3*(1-D11)+$C$2*D11)))</f>
        <v>1.79543153631992</v>
      </c>
      <c r="C11" s="5" t="n">
        <f aca="false">A11-B11</f>
        <v>3.20456846368008</v>
      </c>
      <c r="D11" s="1" t="n">
        <v>0.3</v>
      </c>
      <c r="G11" s="1" t="str">
        <f aca="false">IFERROR((E11*purity_gamma/MW_gamma)/((E11*purity_gamma/MW_gamma)+(F11*purity_octoh/MW_octoh)),"")</f>
        <v/>
      </c>
      <c r="J11" s="3"/>
      <c r="K11" s="5"/>
    </row>
    <row r="12" customFormat="false" ht="14.25" hidden="false" customHeight="true" outlineLevel="0" collapsed="false">
      <c r="A12" s="1" t="n">
        <v>5</v>
      </c>
      <c r="B12" s="5" t="n">
        <f aca="false">IF(D12=0, 0, IF(D12=1, A12, (D12*A12*$C$2)/($C$3*(1-D12)+$C$2*D12)))</f>
        <v>2.3283961760965</v>
      </c>
      <c r="C12" s="5" t="n">
        <f aca="false">A12-B12</f>
        <v>2.6716038239035</v>
      </c>
      <c r="D12" s="1" t="n">
        <v>0.4</v>
      </c>
      <c r="G12" s="1" t="str">
        <f aca="false">IFERROR((E12*purity_gamma/MW_gamma)/((E12*purity_gamma/MW_gamma)+(F12*purity_octoh/MW_octoh)),"")</f>
        <v/>
      </c>
      <c r="J12" s="3"/>
      <c r="K12" s="5"/>
    </row>
    <row r="13" customFormat="false" ht="14.25" hidden="false" customHeight="true" outlineLevel="0" collapsed="false">
      <c r="A13" s="1" t="n">
        <v>5</v>
      </c>
      <c r="B13" s="5" t="n">
        <f aca="false">IF(D13=0, 0, IF(D13=1, A13, (D13*A13*$C$2)/($C$3*(1-D13)+$C$2*D13)))</f>
        <v>2.83296725239617</v>
      </c>
      <c r="C13" s="5" t="n">
        <f aca="false">A13-B13</f>
        <v>2.16703274760383</v>
      </c>
      <c r="D13" s="1" t="n">
        <v>0.5</v>
      </c>
      <c r="G13" s="1" t="str">
        <f aca="false">IFERROR((E13*purity_gamma/MW_gamma)/((E13*purity_gamma/MW_gamma)+(F13*purity_octoh/MW_octoh)),"")</f>
        <v/>
      </c>
      <c r="J13" s="3"/>
      <c r="K13" s="5"/>
    </row>
    <row r="14" customFormat="false" ht="14.25" hidden="false" customHeight="true" outlineLevel="0" collapsed="false">
      <c r="A14" s="1" t="n">
        <v>5</v>
      </c>
      <c r="B14" s="5" t="n">
        <f aca="false">IF(D14=0, 0, IF(D14=1, A14, (D14*A14*$C$2)/($C$3*(1-D14)+$C$2*D14)))</f>
        <v>3.31135488388377</v>
      </c>
      <c r="C14" s="5" t="n">
        <f aca="false">A14-B14</f>
        <v>1.68864511611623</v>
      </c>
      <c r="D14" s="1" t="n">
        <v>0.6</v>
      </c>
      <c r="G14" s="1" t="str">
        <f aca="false">IFERROR((E14*purity_gamma/MW_gamma)/((E14*purity_gamma/MW_gamma)+(F14*purity_octoh/MW_octoh)),"")</f>
        <v/>
      </c>
      <c r="J14" s="3"/>
      <c r="K14" s="5"/>
    </row>
    <row r="15" customFormat="false" ht="14.25" hidden="false" customHeight="true" outlineLevel="0" collapsed="false">
      <c r="A15" s="1" t="n">
        <v>5</v>
      </c>
      <c r="B15" s="5" t="n">
        <f aca="false">IF(D15=0, 0, IF(D15=1, A15, (D15*A15*$C$2)/($C$3*(1-D15)+$C$2*D15)))</f>
        <v>3.76554561310381</v>
      </c>
      <c r="C15" s="5" t="n">
        <f aca="false">A15-B15</f>
        <v>1.23445438689619</v>
      </c>
      <c r="D15" s="1" t="n">
        <v>0.7</v>
      </c>
      <c r="G15" s="1" t="str">
        <f aca="false">IFERROR((E15*purity_gamma/MW_gamma)/((E15*purity_gamma/MW_gamma)+(F15*purity_octoh/MW_octoh)),"")</f>
        <v/>
      </c>
      <c r="J15" s="3"/>
      <c r="K15" s="5"/>
    </row>
    <row r="16" customFormat="false" ht="14.25" hidden="false" customHeight="true" outlineLevel="0" collapsed="false">
      <c r="A16" s="1" t="n">
        <v>5</v>
      </c>
      <c r="B16" s="5" t="n">
        <f aca="false">IF(D16=0, 0, IF(D16=1, A16, (D16*A16*$C$2)/($C$3*(1-D16)+$C$2*D16)))</f>
        <v>4.19732998040013</v>
      </c>
      <c r="C16" s="5" t="n">
        <f aca="false">A16-B16</f>
        <v>0.802670019599868</v>
      </c>
      <c r="D16" s="1" t="n">
        <v>0.8</v>
      </c>
      <c r="G16" s="1" t="str">
        <f aca="false">IFERROR((E16*purity_gamma/MW_gamma)/((E16*purity_gamma/MW_gamma)+(F16*purity_octoh/MW_octoh)),"")</f>
        <v/>
      </c>
      <c r="J16" s="3"/>
      <c r="K16" s="5"/>
    </row>
    <row r="17" customFormat="false" ht="14.25" hidden="false" customHeight="true" outlineLevel="0" collapsed="false">
      <c r="A17" s="1" t="n">
        <v>5</v>
      </c>
      <c r="B17" s="5" t="n">
        <f aca="false">IF(D17=0, 0, IF(D17=1, A17, (D17*A17*$C$2)/($C$3*(1-D17)+$C$2*D17)))</f>
        <v>4.60832611520139</v>
      </c>
      <c r="C17" s="5" t="n">
        <f aca="false">A17-B17</f>
        <v>0.391673884798614</v>
      </c>
      <c r="D17" s="1" t="n">
        <v>0.9</v>
      </c>
      <c r="G17" s="1" t="str">
        <f aca="false">IFERROR((E17*purity_gamma/MW_gamma)/((E17*purity_gamma/MW_gamma)+(F17*purity_octoh/MW_octoh)),"")</f>
        <v/>
      </c>
      <c r="J17" s="3"/>
      <c r="K17" s="5"/>
    </row>
    <row r="18" customFormat="false" ht="14.25" hidden="false" customHeight="true" outlineLevel="0" collapsed="false">
      <c r="A18" s="1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1" t="n">
        <v>1</v>
      </c>
      <c r="F18" s="1" t="n">
        <v>0</v>
      </c>
      <c r="G18" s="1" t="n">
        <f aca="false">IF(AND(E18&gt;0,F18=0),1,IFERROR((E18/MW_gamma)/((E18/MW_gamma)+(F18/MW_octoh)),""))</f>
        <v>1</v>
      </c>
      <c r="J18" s="5"/>
      <c r="K18" s="5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4.25" hidden="false" customHeight="true" outlineLevel="0" collapsed="false">
      <c r="A21" s="80"/>
      <c r="B21" s="1" t="s">
        <v>212</v>
      </c>
      <c r="G21" s="1" t="s">
        <v>284</v>
      </c>
    </row>
    <row r="22" customFormat="false" ht="14.25" hidden="false" customHeight="true" outlineLevel="0" collapsed="false">
      <c r="A22" s="78" t="s">
        <v>285</v>
      </c>
      <c r="B22" s="1" t="n">
        <v>20</v>
      </c>
      <c r="C22" s="1" t="n">
        <v>30</v>
      </c>
      <c r="D22" s="1" t="n">
        <v>40</v>
      </c>
      <c r="E22" s="1" t="n">
        <v>50</v>
      </c>
      <c r="F22" s="1" t="n">
        <v>60</v>
      </c>
      <c r="G22" s="1" t="n">
        <v>20</v>
      </c>
      <c r="H22" s="1" t="n">
        <v>30</v>
      </c>
      <c r="I22" s="1" t="n">
        <v>40</v>
      </c>
      <c r="J22" s="1" t="n">
        <v>50</v>
      </c>
      <c r="K22" s="1" t="n">
        <v>60</v>
      </c>
    </row>
    <row r="23" customFormat="false" ht="13.5" hidden="false" customHeight="true" outlineLevel="0" collapsed="false">
      <c r="A23" s="1" t="n">
        <f aca="false">G8</f>
        <v>0</v>
      </c>
      <c r="B23" s="1" t="n">
        <f aca="false">densidad_viscosidad_puros!G35</f>
        <v>0.82518</v>
      </c>
      <c r="C23" s="1" t="n">
        <f aca="false">densidad_viscosidad_puros!G36</f>
        <v>0.81835</v>
      </c>
      <c r="D23" s="1" t="n">
        <f aca="false">densidad_viscosidad_puros!G37</f>
        <v>0.81141</v>
      </c>
      <c r="E23" s="1" t="n">
        <f aca="false">densidad_viscosidad_puros!G38</f>
        <v>0.80433</v>
      </c>
      <c r="F23" s="1" t="n">
        <f aca="false">densidad_viscosidad_puros!G39</f>
        <v>0.79719</v>
      </c>
      <c r="G23" s="1" t="n">
        <f aca="false">IFERROR((($A23*MW_gamma)+((1-$A23)*MW_octoh))/B23-(($A23*MW_gamma/B$33)+((1-$A23)*MW_octoh/B$23)),"")</f>
        <v>0</v>
      </c>
      <c r="H23" s="1" t="n">
        <f aca="false">IFERROR((($A23*MW_gamma)+((1-$A23)*MW_octoh))/C23-(($A23*MW_gamma/C$33)+((1-$A23)*MW_octoh/C$23)),"")</f>
        <v>0</v>
      </c>
      <c r="I23" s="1" t="n">
        <f aca="false">IFERROR((($A23*MW_gamma)+((1-$A23)*MW_octoh))/D23-(($A23*MW_gamma/D$33)+((1-$A23)*MW_octoh/D$23)),"")</f>
        <v>0</v>
      </c>
      <c r="J23" s="1" t="n">
        <f aca="false">IFERROR((($A23*MW_gamma)+((1-$A23)*MW_octoh))/E23-(($A23*MW_gamma/E$33)+((1-$A23)*MW_octoh/E$23)),"")</f>
        <v>0</v>
      </c>
      <c r="K23" s="1" t="n">
        <f aca="false">IFERROR((($A23*MW_gamma)+((1-$A23)*MW_octoh))/F23-(($A23*MW_gamma/F$33)+((1-$A23)*MW_octoh/F$23)),"")</f>
        <v>0</v>
      </c>
    </row>
    <row r="24" customFormat="false" ht="13.5" hidden="false" customHeight="true" outlineLevel="0" collapsed="false">
      <c r="A24" s="1" t="str">
        <f aca="false">G9</f>
        <v/>
      </c>
      <c r="B24" s="93"/>
      <c r="C24" s="93"/>
      <c r="D24" s="93"/>
      <c r="E24" s="93"/>
      <c r="F24" s="93"/>
      <c r="G24" s="1" t="str">
        <f aca="false">IFERROR((($A24*MW_gamma)+((1-$A24)*MW_octoh))/B24-(($A24*MW_gamma/B$33)+((1-$A24)*MW_octoh/B$23)),"")</f>
        <v/>
      </c>
      <c r="H24" s="1" t="str">
        <f aca="false">IFERROR((($A24*MW_gamma)+((1-$A24)*MW_octoh))/C24-(($A24*MW_gamma/C$33)+((1-$A24)*MW_octoh/C$23)),"")</f>
        <v/>
      </c>
      <c r="I24" s="1" t="str">
        <f aca="false">IFERROR((($A24*MW_gamma)+((1-$A24)*MW_octoh))/D24-(($A24*MW_gamma/D$33)+((1-$A24)*MW_octoh/D$23)),"")</f>
        <v/>
      </c>
      <c r="J24" s="1" t="str">
        <f aca="false">IFERROR((($A24*MW_gamma)+((1-$A24)*MW_octoh))/E24-(($A24*MW_gamma/E$33)+((1-$A24)*MW_octoh/E$23)),"")</f>
        <v/>
      </c>
      <c r="K24" s="1" t="str">
        <f aca="false">IFERROR((($A24*MW_gamma)+((1-$A24)*MW_octoh))/F24-(($A24*MW_gamma/F$33)+((1-$A24)*MW_octoh/F$23)),"")</f>
        <v/>
      </c>
    </row>
    <row r="25" customFormat="false" ht="13.5" hidden="false" customHeight="true" outlineLevel="0" collapsed="false">
      <c r="A25" s="1" t="str">
        <f aca="false">G10</f>
        <v/>
      </c>
      <c r="B25" s="93"/>
      <c r="C25" s="93"/>
      <c r="D25" s="93"/>
      <c r="E25" s="93"/>
      <c r="F25" s="93"/>
      <c r="G25" s="1" t="str">
        <f aca="false">IFERROR((($A25*MW_gamma)+((1-$A25)*MW_octoh))/B25-(($A25*MW_gamma/B$33)+((1-$A25)*MW_octoh/B$23)),"")</f>
        <v/>
      </c>
      <c r="H25" s="1" t="str">
        <f aca="false">IFERROR((($A25*MW_gamma)+((1-$A25)*MW_octoh))/C25-(($A25*MW_gamma/C$33)+((1-$A25)*MW_octoh/C$23)),"")</f>
        <v/>
      </c>
      <c r="I25" s="1" t="str">
        <f aca="false">IFERROR((($A25*MW_gamma)+((1-$A25)*MW_octoh))/D25-(($A25*MW_gamma/D$33)+((1-$A25)*MW_octoh/D$23)),"")</f>
        <v/>
      </c>
      <c r="J25" s="1" t="str">
        <f aca="false">IFERROR((($A25*MW_gamma)+((1-$A25)*MW_octoh))/E25-(($A25*MW_gamma/E$33)+((1-$A25)*MW_octoh/E$23)),"")</f>
        <v/>
      </c>
      <c r="K25" s="1" t="str">
        <f aca="false">IFERROR((($A25*MW_gamma)+((1-$A25)*MW_octoh))/F25-(($A25*MW_gamma/F$33)+((1-$A25)*MW_octoh/F$23)),"")</f>
        <v/>
      </c>
    </row>
    <row r="26" customFormat="false" ht="13.5" hidden="false" customHeight="true" outlineLevel="0" collapsed="false">
      <c r="A26" s="1" t="str">
        <f aca="false">G11</f>
        <v/>
      </c>
      <c r="B26" s="93"/>
      <c r="C26" s="93"/>
      <c r="D26" s="93"/>
      <c r="E26" s="93"/>
      <c r="F26" s="93"/>
      <c r="G26" s="1" t="str">
        <f aca="false">IFERROR((($A26*MW_gamma)+((1-$A26)*MW_octoh))/B26-(($A26*MW_gamma/B$33)+((1-$A26)*MW_octoh/B$23)),"")</f>
        <v/>
      </c>
      <c r="H26" s="1" t="str">
        <f aca="false">IFERROR((($A26*MW_gamma)+((1-$A26)*MW_octoh))/C26-(($A26*MW_gamma/C$33)+((1-$A26)*MW_octoh/C$23)),"")</f>
        <v/>
      </c>
      <c r="I26" s="1" t="str">
        <f aca="false">IFERROR((($A26*MW_gamma)+((1-$A26)*MW_octoh))/D26-(($A26*MW_gamma/D$33)+((1-$A26)*MW_octoh/D$23)),"")</f>
        <v/>
      </c>
      <c r="J26" s="1" t="str">
        <f aca="false">IFERROR((($A26*MW_gamma)+((1-$A26)*MW_octoh))/E26-(($A26*MW_gamma/E$33)+((1-$A26)*MW_octoh/E$23)),"")</f>
        <v/>
      </c>
      <c r="K26" s="1" t="str">
        <f aca="false">IFERROR((($A26*MW_gamma)+((1-$A26)*MW_octoh))/F26-(($A26*MW_gamma/F$33)+((1-$A26)*MW_octoh/F$23)),"")</f>
        <v/>
      </c>
    </row>
    <row r="27" customFormat="false" ht="13.5" hidden="false" customHeight="true" outlineLevel="0" collapsed="false">
      <c r="A27" s="1" t="str">
        <f aca="false">G12</f>
        <v/>
      </c>
      <c r="B27" s="93"/>
      <c r="C27" s="93"/>
      <c r="D27" s="93"/>
      <c r="E27" s="93"/>
      <c r="F27" s="93"/>
      <c r="G27" s="1" t="str">
        <f aca="false">IFERROR((($A27*MW_gamma)+((1-$A27)*MW_octoh))/B27-(($A27*MW_gamma/B$33)+((1-$A27)*MW_octoh/B$23)),"")</f>
        <v/>
      </c>
      <c r="H27" s="1" t="str">
        <f aca="false">IFERROR((($A27*MW_gamma)+((1-$A27)*MW_octoh))/C27-(($A27*MW_gamma/C$33)+((1-$A27)*MW_octoh/C$23)),"")</f>
        <v/>
      </c>
      <c r="I27" s="1" t="str">
        <f aca="false">IFERROR((($A27*MW_gamma)+((1-$A27)*MW_octoh))/D27-(($A27*MW_gamma/D$33)+((1-$A27)*MW_octoh/D$23)),"")</f>
        <v/>
      </c>
      <c r="J27" s="1" t="str">
        <f aca="false">IFERROR((($A27*MW_gamma)+((1-$A27)*MW_octoh))/E27-(($A27*MW_gamma/E$33)+((1-$A27)*MW_octoh/E$23)),"")</f>
        <v/>
      </c>
      <c r="K27" s="1" t="str">
        <f aca="false">IFERROR((($A27*MW_gamma)+((1-$A27)*MW_octoh))/F27-(($A27*MW_gamma/F$33)+((1-$A27)*MW_octoh/F$23)),"")</f>
        <v/>
      </c>
    </row>
    <row r="28" customFormat="false" ht="13.5" hidden="false" customHeight="true" outlineLevel="0" collapsed="false">
      <c r="A28" s="1" t="str">
        <f aca="false">G13</f>
        <v/>
      </c>
      <c r="B28" s="93"/>
      <c r="C28" s="93"/>
      <c r="D28" s="93"/>
      <c r="E28" s="93"/>
      <c r="F28" s="93"/>
      <c r="G28" s="1" t="str">
        <f aca="false">IFERROR((($A28*MW_gamma)+((1-$A28)*MW_octoh))/B28-(($A28*MW_gamma/B$33)+((1-$A28)*MW_octoh/B$23)),"")</f>
        <v/>
      </c>
      <c r="H28" s="1" t="str">
        <f aca="false">IFERROR((($A28*MW_gamma)+((1-$A28)*MW_octoh))/C28-(($A28*MW_gamma/C$33)+((1-$A28)*MW_octoh/C$23)),"")</f>
        <v/>
      </c>
      <c r="I28" s="1" t="str">
        <f aca="false">IFERROR((($A28*MW_gamma)+((1-$A28)*MW_octoh))/D28-(($A28*MW_gamma/D$33)+((1-$A28)*MW_octoh/D$23)),"")</f>
        <v/>
      </c>
      <c r="J28" s="1" t="str">
        <f aca="false">IFERROR((($A28*MW_gamma)+((1-$A28)*MW_octoh))/E28-(($A28*MW_gamma/E$33)+((1-$A28)*MW_octoh/E$23)),"")</f>
        <v/>
      </c>
      <c r="K28" s="1" t="str">
        <f aca="false">IFERROR((($A28*MW_gamma)+((1-$A28)*MW_octoh))/F28-(($A28*MW_gamma/F$33)+((1-$A28)*MW_octoh/F$23)),"")</f>
        <v/>
      </c>
    </row>
    <row r="29" customFormat="false" ht="13.5" hidden="false" customHeight="true" outlineLevel="0" collapsed="false">
      <c r="A29" s="1" t="str">
        <f aca="false">G14</f>
        <v/>
      </c>
      <c r="G29" s="1" t="str">
        <f aca="false">IFERROR((($A29*MW_gamma)+((1-$A29)*MW_octoh))/B29-(($A29*MW_gamma/B$33)+((1-$A29)*MW_octoh/B$23)),"")</f>
        <v/>
      </c>
      <c r="H29" s="1" t="str">
        <f aca="false">IFERROR((($A29*MW_gamma)+((1-$A29)*MW_octoh))/C29-(($A29*MW_gamma/C$33)+((1-$A29)*MW_octoh/C$23)),"")</f>
        <v/>
      </c>
      <c r="I29" s="1" t="str">
        <f aca="false">IFERROR((($A29*MW_gamma)+((1-$A29)*MW_octoh))/D29-(($A29*MW_gamma/D$33)+((1-$A29)*MW_octoh/D$23)),"")</f>
        <v/>
      </c>
      <c r="J29" s="1" t="str">
        <f aca="false">IFERROR((($A29*MW_gamma)+((1-$A29)*MW_octoh))/E29-(($A29*MW_gamma/E$33)+((1-$A29)*MW_octoh/E$23)),"")</f>
        <v/>
      </c>
      <c r="K29" s="1" t="str">
        <f aca="false">IFERROR((($A29*MW_gamma)+((1-$A29)*MW_octoh))/F29-(($A29*MW_gamma/F$33)+((1-$A29)*MW_octoh/F$23)),"")</f>
        <v/>
      </c>
    </row>
    <row r="30" customFormat="false" ht="13.5" hidden="false" customHeight="true" outlineLevel="0" collapsed="false">
      <c r="A30" s="1" t="str">
        <f aca="false">G15</f>
        <v/>
      </c>
      <c r="G30" s="1" t="str">
        <f aca="false">IFERROR((($A30*MW_gamma)+((1-$A30)*MW_octoh))/B30-(($A30*MW_gamma/B$33)+((1-$A30)*MW_octoh/B$23)),"")</f>
        <v/>
      </c>
      <c r="H30" s="1" t="str">
        <f aca="false">IFERROR((($A30*MW_gamma)+((1-$A30)*MW_octoh))/C30-(($A30*MW_gamma/C$33)+((1-$A30)*MW_octoh/C$23)),"")</f>
        <v/>
      </c>
      <c r="I30" s="1" t="str">
        <f aca="false">IFERROR((($A30*MW_gamma)+((1-$A30)*MW_octoh))/D30-(($A30*MW_gamma/D$33)+((1-$A30)*MW_octoh/D$23)),"")</f>
        <v/>
      </c>
      <c r="J30" s="1" t="str">
        <f aca="false">IFERROR((($A30*MW_gamma)+((1-$A30)*MW_octoh))/E30-(($A30*MW_gamma/E$33)+((1-$A30)*MW_octoh/E$23)),"")</f>
        <v/>
      </c>
      <c r="K30" s="1" t="str">
        <f aca="false">IFERROR((($A30*MW_gamma)+((1-$A30)*MW_octoh))/F30-(($A30*MW_gamma/F$33)+((1-$A30)*MW_octoh/F$23)),"")</f>
        <v/>
      </c>
    </row>
    <row r="31" customFormat="false" ht="13.5" hidden="false" customHeight="true" outlineLevel="0" collapsed="false">
      <c r="A31" s="1" t="str">
        <f aca="false">G16</f>
        <v/>
      </c>
      <c r="G31" s="1" t="str">
        <f aca="false">IFERROR((($A31*MW_gamma)+((1-$A31)*MW_octoh))/B31-(($A31*MW_gamma/B$33)+((1-$A31)*MW_octoh/B$23)),"")</f>
        <v/>
      </c>
      <c r="H31" s="1" t="str">
        <f aca="false">IFERROR((($A31*MW_gamma)+((1-$A31)*MW_octoh))/C31-(($A31*MW_gamma/C$33)+((1-$A31)*MW_octoh/C$23)),"")</f>
        <v/>
      </c>
      <c r="I31" s="1" t="str">
        <f aca="false">IFERROR((($A31*MW_gamma)+((1-$A31)*MW_octoh))/D31-(($A31*MW_gamma/D$33)+((1-$A31)*MW_octoh/D$23)),"")</f>
        <v/>
      </c>
      <c r="J31" s="1" t="str">
        <f aca="false">IFERROR((($A31*MW_gamma)+((1-$A31)*MW_octoh))/E31-(($A31*MW_gamma/E$33)+((1-$A31)*MW_octoh/E$23)),"")</f>
        <v/>
      </c>
      <c r="K31" s="1" t="str">
        <f aca="false">IFERROR((($A31*MW_gamma)+((1-$A31)*MW_octoh))/F31-(($A31*MW_gamma/F$33)+((1-$A31)*MW_octoh/F$23)),"")</f>
        <v/>
      </c>
    </row>
    <row r="32" customFormat="false" ht="13.5" hidden="false" customHeight="true" outlineLevel="0" collapsed="false">
      <c r="A32" s="1" t="str">
        <f aca="false">G17</f>
        <v/>
      </c>
      <c r="G32" s="1" t="str">
        <f aca="false">IFERROR((($A32*MW_gamma)+((1-$A32)*MW_octoh))/B32-(($A32*MW_gamma/B$33)+((1-$A32)*MW_octoh/B$23)),"")</f>
        <v/>
      </c>
      <c r="H32" s="1" t="str">
        <f aca="false">IFERROR((($A32*MW_gamma)+((1-$A32)*MW_octoh))/C32-(($A32*MW_gamma/C$33)+((1-$A32)*MW_octoh/C$23)),"")</f>
        <v/>
      </c>
      <c r="I32" s="1" t="str">
        <f aca="false">IFERROR((($A32*MW_gamma)+((1-$A32)*MW_octoh))/D32-(($A32*MW_gamma/D$33)+((1-$A32)*MW_octoh/D$23)),"")</f>
        <v/>
      </c>
      <c r="J32" s="1" t="str">
        <f aca="false">IFERROR((($A32*MW_gamma)+((1-$A32)*MW_octoh))/E32-(($A32*MW_gamma/E$33)+((1-$A32)*MW_octoh/E$23)),"")</f>
        <v/>
      </c>
      <c r="K32" s="1" t="str">
        <f aca="false">IFERROR((($A32*MW_gamma)+((1-$A32)*MW_octoh))/F32-(($A32*MW_gamma/F$33)+((1-$A32)*MW_octoh/F$23)),"")</f>
        <v/>
      </c>
    </row>
    <row r="33" customFormat="false" ht="13.5" hidden="false" customHeight="true" outlineLevel="0" collapsed="false">
      <c r="A33" s="1" t="n">
        <f aca="false">G18</f>
        <v>1</v>
      </c>
      <c r="B33" s="1" t="n">
        <f aca="false">densidad_viscosidad_puros!G85</f>
        <v>0.95292</v>
      </c>
      <c r="C33" s="1" t="n">
        <f aca="false">densidad_viscosidad_puros!G86</f>
        <v>0.94536</v>
      </c>
      <c r="D33" s="1" t="n">
        <f aca="false">densidad_viscosidad_puros!G87</f>
        <v>0.93774</v>
      </c>
      <c r="E33" s="1" t="n">
        <f aca="false">densidad_viscosidad_puros!G88</f>
        <v>0.93013</v>
      </c>
      <c r="F33" s="1" t="n">
        <f aca="false">densidad_viscosidad_puros!G89</f>
        <v>0.9225</v>
      </c>
      <c r="G33" s="1" t="n">
        <f aca="false">IFERROR((($A33*MW_gamma)+((1-$A33)*MW_octoh))/B33-(($A33*MW_gamma/B$33)+((1-$A33)*MW_octoh/B$23)),"")</f>
        <v>0</v>
      </c>
      <c r="H33" s="1" t="n">
        <f aca="false">IFERROR((($A33*MW_gamma)+((1-$A33)*MW_octoh))/C33-(($A33*MW_gamma/C$33)+((1-$A33)*MW_octoh/C$23)),"")</f>
        <v>0</v>
      </c>
      <c r="I33" s="1" t="n">
        <f aca="false">IFERROR((($A33*MW_gamma)+((1-$A33)*MW_octoh))/D33-(($A33*MW_gamma/D$33)+((1-$A33)*MW_octoh/D$23)),"")</f>
        <v>0</v>
      </c>
      <c r="J33" s="1" t="n">
        <f aca="false">IFERROR((($A33*MW_gamma)+((1-$A33)*MW_octoh))/E33-(($A33*MW_gamma/E$33)+((1-$A33)*MW_octoh/E$23)),"")</f>
        <v>0</v>
      </c>
      <c r="K33" s="1" t="n">
        <f aca="false">IFERROR((($A33*MW_gamma)+((1-$A33)*MW_octoh))/F33-(($A33*MW_gamma/F$33)+((1-$A33)*MW_octoh/F$23)),"")</f>
        <v>0</v>
      </c>
    </row>
    <row r="34" customFormat="false" ht="13.5" hidden="false" customHeight="true" outlineLevel="0" collapsed="false"/>
    <row r="35" customFormat="false" ht="13.5" hidden="false" customHeight="true" outlineLevel="0" collapsed="false">
      <c r="B35" s="1" t="s">
        <v>214</v>
      </c>
    </row>
    <row r="36" customFormat="false" ht="13.5" hidden="false" customHeight="true" outlineLevel="0" collapsed="false">
      <c r="A36" s="1" t="s">
        <v>285</v>
      </c>
      <c r="B36" s="1" t="n">
        <v>20</v>
      </c>
      <c r="C36" s="1" t="n">
        <v>30</v>
      </c>
      <c r="D36" s="1" t="n">
        <v>40</v>
      </c>
      <c r="E36" s="1" t="n">
        <v>50</v>
      </c>
      <c r="F36" s="1" t="n">
        <v>60</v>
      </c>
    </row>
    <row r="37" customFormat="false" ht="13.5" hidden="false" customHeight="true" outlineLevel="0" collapsed="false">
      <c r="A37" s="1" t="n">
        <f aca="false">G8</f>
        <v>0</v>
      </c>
      <c r="B37" s="1" t="n">
        <f aca="false">densidad_viscosidad_puros!I35</f>
        <v>8.801</v>
      </c>
      <c r="C37" s="1" t="n">
        <f aca="false">densidad_viscosidad_puros!I36</f>
        <v>6.146</v>
      </c>
      <c r="D37" s="1" t="n">
        <f aca="false">densidad_viscosidad_puros!I37</f>
        <v>4.454</v>
      </c>
      <c r="E37" s="1" t="n">
        <f aca="false">densidad_viscosidad_puros!I38</f>
        <v>3.292</v>
      </c>
      <c r="F37" s="1" t="n">
        <f aca="false">densidad_viscosidad_puros!I39</f>
        <v>2.511</v>
      </c>
    </row>
    <row r="38" customFormat="false" ht="13.5" hidden="false" customHeight="true" outlineLevel="0" collapsed="false">
      <c r="A38" s="1" t="str">
        <f aca="false">G9</f>
        <v/>
      </c>
      <c r="B38" s="93"/>
      <c r="C38" s="93"/>
      <c r="D38" s="93"/>
      <c r="E38" s="93"/>
      <c r="F38" s="93"/>
    </row>
    <row r="39" customFormat="false" ht="13.5" hidden="false" customHeight="true" outlineLevel="0" collapsed="false">
      <c r="A39" s="1" t="str">
        <f aca="false">G10</f>
        <v/>
      </c>
      <c r="B39" s="93"/>
      <c r="C39" s="93"/>
      <c r="D39" s="93"/>
      <c r="E39" s="93"/>
      <c r="F39" s="93"/>
    </row>
    <row r="40" customFormat="false" ht="13.5" hidden="false" customHeight="true" outlineLevel="0" collapsed="false">
      <c r="A40" s="1" t="str">
        <f aca="false">G11</f>
        <v/>
      </c>
      <c r="B40" s="93"/>
      <c r="C40" s="93"/>
      <c r="D40" s="93"/>
      <c r="E40" s="93"/>
      <c r="F40" s="93"/>
    </row>
    <row r="41" customFormat="false" ht="13.5" hidden="false" customHeight="true" outlineLevel="0" collapsed="false">
      <c r="A41" s="1" t="str">
        <f aca="false">G12</f>
        <v/>
      </c>
      <c r="B41" s="93"/>
      <c r="C41" s="93"/>
      <c r="D41" s="93"/>
      <c r="E41" s="93"/>
      <c r="F41" s="93"/>
    </row>
    <row r="42" customFormat="false" ht="13.5" hidden="false" customHeight="true" outlineLevel="0" collapsed="false">
      <c r="A42" s="1" t="str">
        <f aca="false">G13</f>
        <v/>
      </c>
      <c r="B42" s="93"/>
      <c r="C42" s="93"/>
      <c r="D42" s="93"/>
      <c r="E42" s="93"/>
      <c r="F42" s="93"/>
    </row>
    <row r="43" customFormat="false" ht="13.5" hidden="false" customHeight="true" outlineLevel="0" collapsed="false">
      <c r="A43" s="1" t="str">
        <f aca="false">G14</f>
        <v/>
      </c>
    </row>
    <row r="44" customFormat="false" ht="13.5" hidden="false" customHeight="true" outlineLevel="0" collapsed="false">
      <c r="A44" s="1" t="str">
        <f aca="false">G15</f>
        <v/>
      </c>
    </row>
    <row r="45" customFormat="false" ht="13.5" hidden="false" customHeight="true" outlineLevel="0" collapsed="false">
      <c r="A45" s="1" t="str">
        <f aca="false">G16</f>
        <v/>
      </c>
    </row>
    <row r="46" customFormat="false" ht="13.5" hidden="false" customHeight="true" outlineLevel="0" collapsed="false">
      <c r="A46" s="1" t="str">
        <f aca="false">G17</f>
        <v/>
      </c>
    </row>
    <row r="47" customFormat="false" ht="13.5" hidden="false" customHeight="true" outlineLevel="0" collapsed="false">
      <c r="A47" s="1" t="n">
        <f aca="false">G18</f>
        <v>1</v>
      </c>
      <c r="B47" s="1" t="n">
        <f aca="false">densidad_viscosidad_puros!I85</f>
        <v>6.574</v>
      </c>
      <c r="C47" s="1" t="n">
        <f aca="false">densidad_viscosidad_puros!I86</f>
        <v>4.821</v>
      </c>
      <c r="D47" s="1" t="n">
        <f aca="false">densidad_viscosidad_puros!I87</f>
        <v>3.691</v>
      </c>
      <c r="E47" s="1" t="n">
        <f aca="false">densidad_viscosidad_puros!I88</f>
        <v>2.914</v>
      </c>
      <c r="F47" s="1" t="n">
        <f aca="false">densidad_viscosidad_puros!I89</f>
        <v>2.362</v>
      </c>
    </row>
    <row r="48" customFormat="false" ht="13.5" hidden="false" customHeight="true" outlineLevel="0" collapsed="false"/>
    <row r="49" customFormat="false" ht="13.5" hidden="false" customHeight="true" outlineLevel="0" collapsed="false">
      <c r="A49" s="75" t="s">
        <v>237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</row>
    <row r="50" customFormat="false" ht="13.5" hidden="false" customHeight="true" outlineLevel="0" collapsed="false">
      <c r="A50" s="94" t="s">
        <v>238</v>
      </c>
      <c r="B50" s="94" t="s">
        <v>239</v>
      </c>
      <c r="C50" s="94" t="s">
        <v>240</v>
      </c>
      <c r="D50" s="94" t="s">
        <v>241</v>
      </c>
      <c r="E50" s="94" t="s">
        <v>242</v>
      </c>
      <c r="F50" s="94" t="s">
        <v>243</v>
      </c>
      <c r="G50" s="94" t="s">
        <v>244</v>
      </c>
      <c r="H50" s="94" t="s">
        <v>245</v>
      </c>
      <c r="I50" s="94" t="s">
        <v>246</v>
      </c>
      <c r="J50" s="94" t="s">
        <v>247</v>
      </c>
      <c r="K50" s="94" t="s">
        <v>248</v>
      </c>
      <c r="L50" s="94" t="s">
        <v>249</v>
      </c>
    </row>
    <row r="51" customFormat="false" ht="13.5" hidden="false" customHeight="true" outlineLevel="0" collapsed="false">
      <c r="A51" s="93"/>
      <c r="B51" s="93"/>
      <c r="C51" s="93"/>
      <c r="D51" s="94" t="s">
        <v>102</v>
      </c>
      <c r="E51" s="94" t="s">
        <v>102</v>
      </c>
      <c r="F51" s="94" t="s">
        <v>93</v>
      </c>
      <c r="G51" s="94" t="s">
        <v>92</v>
      </c>
      <c r="H51" s="94" t="s">
        <v>94</v>
      </c>
      <c r="I51" s="94" t="s">
        <v>286</v>
      </c>
      <c r="J51" s="94" t="s">
        <v>92</v>
      </c>
      <c r="K51" s="94" t="s">
        <v>287</v>
      </c>
      <c r="L51" s="94" t="s">
        <v>287</v>
      </c>
    </row>
    <row r="52" customFormat="false" ht="13.5" hidden="false" customHeight="true" outlineLevel="0" collapsed="false">
      <c r="A52" s="93"/>
      <c r="B52" s="95"/>
      <c r="C52" s="96"/>
      <c r="D52" s="93"/>
      <c r="E52" s="93"/>
      <c r="F52" s="93"/>
      <c r="G52" s="93"/>
      <c r="H52" s="93"/>
      <c r="I52" s="93"/>
      <c r="J52" s="93"/>
      <c r="K52" s="93"/>
      <c r="L52" s="93"/>
      <c r="M52" s="93"/>
    </row>
    <row r="53" customFormat="false" ht="13.5" hidden="false" customHeight="true" outlineLevel="0" collapsed="false">
      <c r="A53" s="93"/>
      <c r="B53" s="95"/>
      <c r="C53" s="96"/>
      <c r="D53" s="93"/>
      <c r="E53" s="93"/>
      <c r="F53" s="93"/>
      <c r="G53" s="93"/>
      <c r="H53" s="93"/>
      <c r="I53" s="93"/>
      <c r="J53" s="93"/>
      <c r="K53" s="93"/>
      <c r="L53" s="93"/>
      <c r="M53" s="93"/>
    </row>
    <row r="54" customFormat="false" ht="13.5" hidden="false" customHeight="true" outlineLevel="0" collapsed="false">
      <c r="A54" s="93"/>
      <c r="B54" s="95"/>
      <c r="C54" s="96"/>
      <c r="D54" s="93"/>
      <c r="E54" s="93"/>
      <c r="F54" s="93"/>
      <c r="G54" s="93"/>
      <c r="H54" s="93"/>
      <c r="I54" s="93"/>
      <c r="J54" s="93"/>
      <c r="K54" s="93"/>
      <c r="L54" s="93"/>
      <c r="M54" s="93"/>
    </row>
    <row r="55" customFormat="false" ht="13.5" hidden="false" customHeight="true" outlineLevel="0" collapsed="false">
      <c r="A55" s="93"/>
      <c r="B55" s="95"/>
      <c r="C55" s="96"/>
      <c r="D55" s="93"/>
      <c r="E55" s="93"/>
      <c r="F55" s="93"/>
      <c r="G55" s="93"/>
      <c r="H55" s="93"/>
      <c r="I55" s="93"/>
      <c r="J55" s="93"/>
      <c r="K55" s="93"/>
      <c r="L55" s="93"/>
      <c r="M55" s="93"/>
    </row>
    <row r="56" customFormat="false" ht="13.5" hidden="false" customHeight="true" outlineLevel="0" collapsed="false">
      <c r="A56" s="93"/>
      <c r="B56" s="95"/>
      <c r="C56" s="96"/>
      <c r="D56" s="93"/>
      <c r="E56" s="93"/>
      <c r="F56" s="93"/>
      <c r="G56" s="93"/>
      <c r="H56" s="93"/>
      <c r="I56" s="93"/>
      <c r="J56" s="93"/>
      <c r="K56" s="93"/>
      <c r="L56" s="93"/>
      <c r="M56" s="93"/>
    </row>
    <row r="57" customFormat="false" ht="13.5" hidden="false" customHeight="true" outlineLevel="0" collapsed="false">
      <c r="A57" s="93"/>
      <c r="B57" s="95"/>
      <c r="C57" s="96"/>
      <c r="D57" s="93"/>
      <c r="E57" s="93"/>
      <c r="F57" s="93"/>
      <c r="G57" s="93"/>
      <c r="H57" s="93"/>
      <c r="I57" s="93"/>
      <c r="J57" s="93"/>
      <c r="K57" s="93"/>
      <c r="L57" s="93"/>
      <c r="M57" s="93"/>
    </row>
    <row r="58" customFormat="false" ht="13.5" hidden="false" customHeight="true" outlineLevel="0" collapsed="false">
      <c r="A58" s="93"/>
      <c r="B58" s="95"/>
      <c r="C58" s="96"/>
      <c r="D58" s="93"/>
      <c r="E58" s="93"/>
      <c r="F58" s="93"/>
      <c r="G58" s="93"/>
      <c r="H58" s="93"/>
      <c r="I58" s="93"/>
      <c r="J58" s="93"/>
      <c r="K58" s="93"/>
      <c r="L58" s="93"/>
      <c r="M58" s="93"/>
    </row>
    <row r="59" customFormat="false" ht="13.5" hidden="false" customHeight="true" outlineLevel="0" collapsed="false">
      <c r="A59" s="93"/>
      <c r="B59" s="95"/>
      <c r="C59" s="96"/>
      <c r="D59" s="93"/>
      <c r="E59" s="93"/>
      <c r="F59" s="93"/>
      <c r="G59" s="93"/>
      <c r="H59" s="93"/>
      <c r="I59" s="93"/>
      <c r="J59" s="93"/>
      <c r="K59" s="93"/>
      <c r="L59" s="93"/>
      <c r="M59" s="93"/>
    </row>
    <row r="60" customFormat="false" ht="13.5" hidden="false" customHeight="true" outlineLevel="0" collapsed="false">
      <c r="A60" s="93"/>
      <c r="B60" s="95"/>
      <c r="C60" s="96"/>
      <c r="D60" s="93"/>
      <c r="E60" s="93"/>
      <c r="F60" s="93"/>
      <c r="G60" s="93"/>
      <c r="H60" s="93"/>
      <c r="I60" s="93"/>
      <c r="J60" s="93"/>
      <c r="K60" s="93"/>
      <c r="L60" s="93"/>
      <c r="M60" s="93"/>
    </row>
    <row r="61" customFormat="false" ht="13.5" hidden="false" customHeight="true" outlineLevel="0" collapsed="false">
      <c r="A61" s="93"/>
      <c r="B61" s="95"/>
      <c r="C61" s="96"/>
      <c r="D61" s="93"/>
      <c r="E61" s="93"/>
      <c r="F61" s="93"/>
      <c r="G61" s="93"/>
      <c r="H61" s="93"/>
      <c r="I61" s="93"/>
      <c r="J61" s="93"/>
      <c r="K61" s="93"/>
      <c r="L61" s="93"/>
      <c r="M61" s="93"/>
    </row>
    <row r="62" customFormat="false" ht="13.5" hidden="false" customHeight="true" outlineLevel="0" collapsed="false">
      <c r="A62" s="93"/>
      <c r="B62" s="95"/>
      <c r="C62" s="96"/>
      <c r="D62" s="93"/>
      <c r="E62" s="93"/>
      <c r="F62" s="93"/>
      <c r="G62" s="93"/>
      <c r="H62" s="93"/>
      <c r="I62" s="93"/>
      <c r="J62" s="93"/>
      <c r="K62" s="93"/>
      <c r="L62" s="93"/>
      <c r="M62" s="93"/>
    </row>
    <row r="63" customFormat="false" ht="13.5" hidden="false" customHeight="true" outlineLevel="0" collapsed="false">
      <c r="A63" s="93"/>
      <c r="B63" s="95"/>
      <c r="C63" s="96"/>
      <c r="D63" s="93"/>
      <c r="E63" s="93"/>
      <c r="F63" s="93"/>
      <c r="G63" s="93"/>
      <c r="H63" s="93"/>
      <c r="I63" s="93"/>
      <c r="J63" s="93"/>
      <c r="K63" s="93"/>
      <c r="L63" s="93"/>
      <c r="M63" s="93"/>
    </row>
    <row r="64" customFormat="false" ht="13.5" hidden="false" customHeight="true" outlineLevel="0" collapsed="false">
      <c r="A64" s="93"/>
      <c r="B64" s="95"/>
      <c r="C64" s="96"/>
      <c r="D64" s="93"/>
      <c r="E64" s="93"/>
      <c r="F64" s="93"/>
      <c r="G64" s="93"/>
      <c r="H64" s="93"/>
      <c r="I64" s="93"/>
      <c r="J64" s="93"/>
      <c r="K64" s="93"/>
      <c r="L64" s="93"/>
      <c r="M64" s="93"/>
    </row>
    <row r="65" customFormat="false" ht="13.5" hidden="false" customHeight="true" outlineLevel="0" collapsed="false">
      <c r="A65" s="93"/>
      <c r="B65" s="95"/>
      <c r="C65" s="96"/>
      <c r="D65" s="93"/>
      <c r="E65" s="93"/>
      <c r="F65" s="93"/>
      <c r="G65" s="93"/>
      <c r="H65" s="93"/>
      <c r="I65" s="93"/>
      <c r="J65" s="93"/>
      <c r="K65" s="93"/>
      <c r="L65" s="93"/>
      <c r="M65" s="93"/>
    </row>
    <row r="66" customFormat="false" ht="14.25" hidden="false" customHeight="true" outlineLevel="0" collapsed="false">
      <c r="A66" s="93"/>
      <c r="B66" s="95"/>
      <c r="C66" s="96"/>
      <c r="D66" s="93"/>
      <c r="E66" s="93"/>
      <c r="F66" s="93"/>
      <c r="G66" s="93"/>
      <c r="H66" s="93"/>
      <c r="I66" s="93"/>
      <c r="J66" s="93"/>
      <c r="K66" s="93"/>
      <c r="L66" s="93"/>
      <c r="M66" s="93"/>
    </row>
    <row r="67" customFormat="false" ht="14.25" hidden="false" customHeight="true" outlineLevel="0" collapsed="false">
      <c r="A67" s="93"/>
      <c r="B67" s="95"/>
      <c r="C67" s="96"/>
      <c r="D67" s="93"/>
      <c r="E67" s="93"/>
      <c r="F67" s="93"/>
      <c r="G67" s="93"/>
      <c r="H67" s="93"/>
      <c r="I67" s="93"/>
      <c r="J67" s="93"/>
      <c r="K67" s="93"/>
      <c r="L67" s="93"/>
      <c r="M67" s="93"/>
    </row>
    <row r="68" customFormat="false" ht="14.25" hidden="false" customHeight="true" outlineLevel="0" collapsed="false">
      <c r="A68" s="93"/>
      <c r="B68" s="95"/>
      <c r="C68" s="96"/>
      <c r="D68" s="93"/>
      <c r="E68" s="93"/>
      <c r="F68" s="93"/>
      <c r="G68" s="93"/>
      <c r="H68" s="93"/>
      <c r="I68" s="93"/>
      <c r="J68" s="93"/>
      <c r="K68" s="93"/>
      <c r="L68" s="93"/>
      <c r="M68" s="93"/>
    </row>
    <row r="69" customFormat="false" ht="14.25" hidden="false" customHeight="true" outlineLevel="0" collapsed="false">
      <c r="A69" s="93"/>
      <c r="B69" s="95"/>
      <c r="C69" s="96"/>
      <c r="D69" s="93"/>
      <c r="E69" s="93"/>
      <c r="F69" s="93"/>
      <c r="G69" s="93"/>
      <c r="H69" s="93"/>
      <c r="I69" s="93"/>
      <c r="J69" s="93"/>
      <c r="K69" s="93"/>
      <c r="L69" s="93"/>
      <c r="M69" s="93"/>
    </row>
    <row r="70" customFormat="false" ht="14.25" hidden="false" customHeight="true" outlineLevel="0" collapsed="false">
      <c r="A70" s="93"/>
      <c r="B70" s="95"/>
      <c r="C70" s="96"/>
      <c r="D70" s="93"/>
      <c r="E70" s="93"/>
      <c r="F70" s="93"/>
      <c r="G70" s="93"/>
      <c r="H70" s="93"/>
      <c r="I70" s="93"/>
      <c r="J70" s="93"/>
      <c r="K70" s="93"/>
      <c r="L70" s="93"/>
      <c r="M70" s="93"/>
    </row>
    <row r="71" customFormat="false" ht="14.25" hidden="false" customHeight="true" outlineLevel="0" collapsed="false">
      <c r="A71" s="93"/>
      <c r="B71" s="95"/>
      <c r="C71" s="96"/>
      <c r="D71" s="93"/>
      <c r="E71" s="93"/>
      <c r="F71" s="93"/>
      <c r="G71" s="93"/>
      <c r="H71" s="93"/>
      <c r="I71" s="93"/>
      <c r="J71" s="93"/>
      <c r="K71" s="93"/>
      <c r="L71" s="93"/>
      <c r="M71" s="93"/>
    </row>
    <row r="72" customFormat="false" ht="14.25" hidden="false" customHeight="true" outlineLevel="0" collapsed="false">
      <c r="A72" s="93"/>
      <c r="B72" s="95"/>
      <c r="C72" s="96"/>
      <c r="D72" s="93"/>
      <c r="E72" s="93"/>
      <c r="F72" s="93"/>
      <c r="G72" s="93"/>
      <c r="H72" s="93"/>
      <c r="I72" s="93"/>
      <c r="J72" s="93"/>
      <c r="K72" s="93"/>
      <c r="L72" s="93"/>
      <c r="M72" s="93"/>
    </row>
    <row r="73" customFormat="false" ht="14.25" hidden="false" customHeight="true" outlineLevel="0" collapsed="false">
      <c r="A73" s="93"/>
      <c r="B73" s="95"/>
      <c r="C73" s="96"/>
      <c r="D73" s="93"/>
      <c r="E73" s="93"/>
      <c r="F73" s="93"/>
      <c r="G73" s="93"/>
      <c r="H73" s="93"/>
      <c r="I73" s="93"/>
      <c r="J73" s="93"/>
      <c r="K73" s="93"/>
      <c r="L73" s="93"/>
      <c r="M73" s="93"/>
    </row>
    <row r="74" customFormat="false" ht="14.25" hidden="false" customHeight="true" outlineLevel="0" collapsed="false">
      <c r="A74" s="93"/>
      <c r="B74" s="95"/>
      <c r="C74" s="96"/>
      <c r="D74" s="93"/>
      <c r="E74" s="93"/>
      <c r="F74" s="93"/>
      <c r="G74" s="93"/>
      <c r="H74" s="93"/>
      <c r="I74" s="93"/>
      <c r="J74" s="93"/>
      <c r="K74" s="93"/>
      <c r="L74" s="93"/>
      <c r="M74" s="93"/>
    </row>
    <row r="75" customFormat="false" ht="14.25" hidden="false" customHeight="true" outlineLevel="0" collapsed="false">
      <c r="A75" s="93"/>
      <c r="B75" s="95"/>
      <c r="C75" s="96"/>
      <c r="D75" s="93"/>
      <c r="E75" s="93"/>
      <c r="F75" s="93"/>
      <c r="G75" s="93"/>
      <c r="H75" s="93"/>
      <c r="I75" s="93"/>
      <c r="J75" s="93"/>
      <c r="K75" s="93"/>
      <c r="L75" s="93"/>
      <c r="M75" s="93"/>
    </row>
    <row r="76" customFormat="false" ht="14.25" hidden="false" customHeight="true" outlineLevel="0" collapsed="false">
      <c r="A76" s="93"/>
      <c r="B76" s="95"/>
      <c r="C76" s="96"/>
      <c r="D76" s="93"/>
      <c r="E76" s="93"/>
      <c r="F76" s="93"/>
      <c r="G76" s="93"/>
      <c r="H76" s="93"/>
      <c r="I76" s="93"/>
      <c r="J76" s="93"/>
      <c r="K76" s="93"/>
      <c r="L76" s="93"/>
      <c r="M76" s="93"/>
    </row>
    <row r="77" customFormat="false" ht="14.25" hidden="false" customHeight="true" outlineLevel="0" collapsed="false">
      <c r="A77" s="93"/>
      <c r="B77" s="95"/>
      <c r="C77" s="96"/>
      <c r="D77" s="93"/>
      <c r="E77" s="93"/>
      <c r="F77" s="93"/>
      <c r="G77" s="93"/>
      <c r="H77" s="93"/>
      <c r="I77" s="93"/>
      <c r="J77" s="93"/>
      <c r="K77" s="93"/>
      <c r="L77" s="93"/>
      <c r="M77" s="93"/>
    </row>
    <row r="78" customFormat="false" ht="14.25" hidden="false" customHeight="true" outlineLevel="0" collapsed="false">
      <c r="A78" s="93"/>
      <c r="B78" s="95"/>
      <c r="C78" s="96"/>
      <c r="D78" s="93"/>
      <c r="E78" s="93"/>
      <c r="F78" s="93"/>
      <c r="G78" s="93"/>
      <c r="H78" s="93"/>
      <c r="I78" s="93"/>
      <c r="J78" s="93"/>
      <c r="K78" s="93"/>
      <c r="L78" s="93"/>
      <c r="M78" s="93"/>
    </row>
    <row r="79" customFormat="false" ht="14.25" hidden="false" customHeight="true" outlineLevel="0" collapsed="false">
      <c r="A79" s="93"/>
      <c r="B79" s="95"/>
      <c r="C79" s="96"/>
      <c r="D79" s="93"/>
      <c r="E79" s="93"/>
      <c r="F79" s="93"/>
      <c r="G79" s="93"/>
      <c r="H79" s="93"/>
      <c r="I79" s="93"/>
      <c r="J79" s="93"/>
      <c r="K79" s="93"/>
      <c r="L79" s="93"/>
      <c r="M79" s="93"/>
    </row>
    <row r="80" customFormat="false" ht="14.25" hidden="false" customHeight="true" outlineLevel="0" collapsed="false">
      <c r="A80" s="93"/>
      <c r="B80" s="95"/>
      <c r="C80" s="96"/>
      <c r="D80" s="93"/>
      <c r="E80" s="93"/>
      <c r="F80" s="93"/>
      <c r="G80" s="93"/>
      <c r="H80" s="93"/>
      <c r="I80" s="93"/>
      <c r="J80" s="93"/>
      <c r="K80" s="93"/>
      <c r="L80" s="93"/>
      <c r="M80" s="93"/>
    </row>
    <row r="81" customFormat="false" ht="14.25" hidden="false" customHeight="true" outlineLevel="0" collapsed="false">
      <c r="A81" s="93"/>
      <c r="B81" s="95"/>
      <c r="C81" s="96"/>
      <c r="D81" s="93"/>
      <c r="E81" s="93"/>
      <c r="F81" s="93"/>
      <c r="G81" s="93"/>
      <c r="H81" s="93"/>
      <c r="I81" s="93"/>
      <c r="J81" s="93"/>
      <c r="K81" s="93"/>
      <c r="L81" s="93"/>
      <c r="M81" s="93"/>
    </row>
    <row r="82" customFormat="false" ht="14.25" hidden="false" customHeight="true" outlineLevel="0" collapsed="false">
      <c r="A82" s="93"/>
      <c r="B82" s="95"/>
      <c r="C82" s="96"/>
      <c r="D82" s="93"/>
      <c r="E82" s="93"/>
      <c r="F82" s="93"/>
      <c r="G82" s="93"/>
      <c r="H82" s="93"/>
      <c r="I82" s="93"/>
      <c r="J82" s="93"/>
      <c r="K82" s="93"/>
      <c r="L82" s="93"/>
      <c r="M82" s="93"/>
    </row>
    <row r="83" customFormat="false" ht="14.25" hidden="false" customHeight="true" outlineLevel="0" collapsed="false">
      <c r="A83" s="93"/>
      <c r="B83" s="95"/>
      <c r="C83" s="96"/>
      <c r="D83" s="93"/>
      <c r="E83" s="93"/>
      <c r="F83" s="93"/>
      <c r="G83" s="93"/>
      <c r="H83" s="93"/>
      <c r="I83" s="93"/>
      <c r="J83" s="93"/>
      <c r="K83" s="93"/>
      <c r="L83" s="93"/>
      <c r="M83" s="93"/>
    </row>
    <row r="84" customFormat="false" ht="14.25" hidden="false" customHeight="true" outlineLevel="0" collapsed="false">
      <c r="A84" s="93"/>
      <c r="B84" s="95"/>
      <c r="C84" s="96"/>
      <c r="D84" s="93"/>
      <c r="E84" s="93"/>
      <c r="F84" s="93"/>
      <c r="G84" s="93"/>
      <c r="H84" s="93"/>
      <c r="I84" s="93"/>
      <c r="J84" s="93"/>
      <c r="K84" s="93"/>
      <c r="L84" s="93"/>
      <c r="M84" s="93"/>
    </row>
    <row r="85" customFormat="false" ht="14.25" hidden="false" customHeight="true" outlineLevel="0" collapsed="false">
      <c r="A85" s="93"/>
      <c r="B85" s="95"/>
      <c r="C85" s="96"/>
      <c r="D85" s="93"/>
      <c r="E85" s="93"/>
      <c r="F85" s="93"/>
      <c r="G85" s="93"/>
      <c r="H85" s="93"/>
      <c r="I85" s="93"/>
      <c r="J85" s="93"/>
      <c r="K85" s="93"/>
      <c r="L85" s="93"/>
      <c r="M85" s="93"/>
    </row>
    <row r="86" customFormat="false" ht="14.25" hidden="false" customHeight="true" outlineLevel="0" collapsed="false">
      <c r="A86" s="93"/>
      <c r="B86" s="95"/>
      <c r="C86" s="96"/>
      <c r="D86" s="93"/>
      <c r="E86" s="93"/>
      <c r="F86" s="93"/>
      <c r="G86" s="93"/>
      <c r="H86" s="93"/>
      <c r="I86" s="93"/>
      <c r="J86" s="93"/>
      <c r="K86" s="93"/>
      <c r="L86" s="93"/>
      <c r="M86" s="93"/>
    </row>
    <row r="87" customFormat="false" ht="14.25" hidden="false" customHeight="true" outlineLevel="0" collapsed="false">
      <c r="A87" s="93"/>
      <c r="B87" s="95"/>
      <c r="C87" s="96"/>
      <c r="D87" s="93"/>
      <c r="E87" s="93"/>
      <c r="F87" s="93"/>
      <c r="G87" s="93"/>
      <c r="H87" s="93"/>
      <c r="I87" s="93"/>
      <c r="J87" s="93"/>
      <c r="K87" s="93"/>
      <c r="L87" s="93"/>
      <c r="M87" s="93"/>
    </row>
    <row r="88" customFormat="false" ht="14.25" hidden="false" customHeight="true" outlineLevel="0" collapsed="false">
      <c r="A88" s="93"/>
      <c r="B88" s="95"/>
      <c r="C88" s="96"/>
      <c r="D88" s="93"/>
      <c r="E88" s="93"/>
      <c r="F88" s="93"/>
      <c r="G88" s="93"/>
      <c r="H88" s="93"/>
      <c r="I88" s="93"/>
      <c r="J88" s="93"/>
      <c r="K88" s="93"/>
      <c r="L88" s="93"/>
      <c r="M88" s="93"/>
    </row>
    <row r="89" customFormat="false" ht="14.25" hidden="false" customHeight="true" outlineLevel="0" collapsed="false">
      <c r="A89" s="93"/>
      <c r="B89" s="95"/>
      <c r="C89" s="96"/>
      <c r="D89" s="93"/>
      <c r="E89" s="93"/>
      <c r="F89" s="93"/>
      <c r="G89" s="93"/>
      <c r="H89" s="93"/>
      <c r="I89" s="93"/>
      <c r="J89" s="93"/>
      <c r="K89" s="93"/>
      <c r="L89" s="93"/>
      <c r="M89" s="93"/>
    </row>
    <row r="90" customFormat="false" ht="14.25" hidden="false" customHeight="true" outlineLevel="0" collapsed="false">
      <c r="A90" s="93"/>
      <c r="B90" s="95"/>
      <c r="C90" s="96"/>
      <c r="D90" s="93"/>
      <c r="E90" s="93"/>
      <c r="F90" s="93"/>
      <c r="G90" s="93"/>
      <c r="H90" s="93"/>
      <c r="I90" s="93"/>
      <c r="J90" s="93"/>
      <c r="K90" s="93"/>
      <c r="L90" s="93"/>
      <c r="M90" s="93"/>
    </row>
    <row r="91" customFormat="false" ht="14.25" hidden="false" customHeight="true" outlineLevel="0" collapsed="false">
      <c r="A91" s="93"/>
      <c r="B91" s="95"/>
      <c r="C91" s="96"/>
      <c r="D91" s="93"/>
      <c r="E91" s="93"/>
      <c r="F91" s="93"/>
      <c r="G91" s="93"/>
      <c r="H91" s="93"/>
      <c r="I91" s="93"/>
      <c r="J91" s="93"/>
      <c r="K91" s="93"/>
      <c r="L91" s="93"/>
      <c r="M91" s="93"/>
    </row>
    <row r="92" customFormat="false" ht="14.25" hidden="false" customHeight="true" outlineLevel="0" collapsed="false">
      <c r="A92" s="93"/>
      <c r="B92" s="95"/>
      <c r="C92" s="96"/>
      <c r="D92" s="93"/>
      <c r="E92" s="93"/>
      <c r="F92" s="93"/>
      <c r="G92" s="93"/>
      <c r="H92" s="93"/>
      <c r="I92" s="93"/>
      <c r="J92" s="93"/>
      <c r="K92" s="93"/>
      <c r="L92" s="93"/>
      <c r="M92" s="93"/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D52" activeCellId="1" sqref="B39:F39 D52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40</v>
      </c>
      <c r="B2" s="1" t="n">
        <v>1</v>
      </c>
      <c r="C2" s="1" t="n">
        <v>170.25</v>
      </c>
    </row>
    <row r="3" customFormat="false" ht="14.25" hidden="false" customHeight="true" outlineLevel="0" collapsed="false">
      <c r="A3" s="1" t="s">
        <v>26</v>
      </c>
      <c r="B3" s="1" t="n">
        <v>2</v>
      </c>
      <c r="C3" s="1" t="n">
        <v>100.16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396</v>
      </c>
      <c r="C7" s="1" t="s">
        <v>322</v>
      </c>
      <c r="D7" s="1" t="s">
        <v>397</v>
      </c>
      <c r="E7" s="1" t="s">
        <v>398</v>
      </c>
      <c r="F7" s="1" t="s">
        <v>323</v>
      </c>
      <c r="G7" s="1" t="s">
        <v>399</v>
      </c>
    </row>
    <row r="8" customFormat="false" ht="14.25" hidden="false" customHeight="true" outlineLevel="0" collapsed="false">
      <c r="A8" s="1" t="n">
        <v>6</v>
      </c>
      <c r="B8" s="1" t="n">
        <f aca="false">IF(D8=0, 0, IF(D8=1, A8, (D8*A8*$C$2)/($C$3*(1-D8)+$C$2*D8)))</f>
        <v>0</v>
      </c>
      <c r="C8" s="1" t="n">
        <f aca="false">A8-B8</f>
        <v>6</v>
      </c>
      <c r="D8" s="1" t="n">
        <v>0</v>
      </c>
      <c r="E8" s="78" t="n">
        <v>0</v>
      </c>
      <c r="F8" s="78" t="n">
        <v>1</v>
      </c>
      <c r="G8" s="78" t="n">
        <f aca="false">IF(AND(E8=0,F8&gt;0),0,"")</f>
        <v>0</v>
      </c>
    </row>
    <row r="9" customFormat="false" ht="14.25" hidden="false" customHeight="true" outlineLevel="0" collapsed="false">
      <c r="A9" s="1" t="n">
        <v>6</v>
      </c>
      <c r="B9" s="1" t="n">
        <f aca="false">IF(D9=0, 0, IF(D9=1, A9, (D9*A9*$C$2)/($C$3*(1-D9)+$C$2*D9)))</f>
        <v>0.953167427147776</v>
      </c>
      <c r="C9" s="1" t="n">
        <f aca="false">A9-B9</f>
        <v>5.04683257285222</v>
      </c>
      <c r="D9" s="1" t="n">
        <v>0.1</v>
      </c>
      <c r="E9" s="78" t="n">
        <v>0.9503</v>
      </c>
      <c r="F9" s="78" t="n">
        <v>5.0308</v>
      </c>
      <c r="G9" s="78" t="n">
        <f aca="false">IFERROR((E9*purity_gamma/MW_gamma)/((E9*purity_gamma/MW_gamma)+(F9*purity_mibk/MW_mibk)),"")</f>
        <v>0.0990219951658388</v>
      </c>
    </row>
    <row r="10" customFormat="false" ht="14.25" hidden="false" customHeight="true" outlineLevel="0" collapsed="false">
      <c r="A10" s="1" t="n">
        <v>6</v>
      </c>
      <c r="B10" s="1" t="n">
        <f aca="false">IF(D10=0, 0, IF(D10=1, A10, (D10*A10*$C$2)/($C$3*(1-D10)+$C$2*D10)))</f>
        <v>1.78931142601902</v>
      </c>
      <c r="C10" s="1" t="n">
        <f aca="false">A10-B10</f>
        <v>4.21068857398098</v>
      </c>
      <c r="D10" s="1" t="n">
        <v>0.2</v>
      </c>
      <c r="E10" s="78" t="n">
        <v>1.7463</v>
      </c>
      <c r="F10" s="78" t="n">
        <v>4.1648</v>
      </c>
      <c r="G10" s="78" t="n">
        <f aca="false">IFERROR((E10*purity_gamma/MW_gamma)/((E10*purity_gamma/MW_gamma)+(F10*purity_mibk/MW_mibk)),"")</f>
        <v>0.196115589060213</v>
      </c>
    </row>
    <row r="11" customFormat="false" ht="14.25" hidden="false" customHeight="true" outlineLevel="0" collapsed="false">
      <c r="A11" s="1" t="n">
        <v>6</v>
      </c>
      <c r="B11" s="1" t="n">
        <f aca="false">IF(D11=0, 0, IF(D11=1, A11, (D11*A11*$C$2)/($C$3*(1-D11)+$C$2*D11)))</f>
        <v>2.52873658065634</v>
      </c>
      <c r="C11" s="1" t="n">
        <f aca="false">A11-B11</f>
        <v>3.47126341934366</v>
      </c>
      <c r="D11" s="1" t="n">
        <v>0.3</v>
      </c>
      <c r="E11" s="78" t="n">
        <v>2.339</v>
      </c>
      <c r="F11" s="78" t="n">
        <v>3.4617</v>
      </c>
      <c r="G11" s="78" t="n">
        <f aca="false">IFERROR((E11*purity_gamma/MW_gamma)/((E11*purity_gamma/MW_gamma)+(F11*purity_mibk/MW_mibk)),"")</f>
        <v>0.282191159104411</v>
      </c>
    </row>
    <row r="12" customFormat="false" ht="14.25" hidden="false" customHeight="true" outlineLevel="0" collapsed="false">
      <c r="A12" s="1" t="n">
        <v>6</v>
      </c>
      <c r="B12" s="1" t="n">
        <f aca="false">IF(D12=0, 0, IF(D12=1, A12, (D12*A12*$C$2)/($C$3*(1-D12)+$C$2*D12)))</f>
        <v>3.18730693625386</v>
      </c>
      <c r="C12" s="1" t="n">
        <f aca="false">A12-B12</f>
        <v>2.81269306374614</v>
      </c>
      <c r="D12" s="1" t="n">
        <v>0.4</v>
      </c>
      <c r="E12" s="78" t="n">
        <v>3.1153</v>
      </c>
      <c r="F12" s="78" t="n">
        <v>2.8106</v>
      </c>
      <c r="G12" s="78" t="n">
        <f aca="false">IFERROR((E12*purity_gamma/MW_gamma)/((E12*purity_gamma/MW_gamma)+(F12*purity_mibk/MW_mibk)),"")</f>
        <v>0.392061549539046</v>
      </c>
    </row>
    <row r="13" customFormat="false" ht="14.25" hidden="false" customHeight="true" outlineLevel="0" collapsed="false">
      <c r="A13" s="1" t="n">
        <v>6</v>
      </c>
      <c r="B13" s="1" t="n">
        <f aca="false">IF(D13=0, 0, IF(D13=1, A13, (D13*A13*$C$2)/($C$3*(1-D13)+$C$2*D13)))</f>
        <v>3.77759698236012</v>
      </c>
      <c r="C13" s="1" t="n">
        <f aca="false">A13-B13</f>
        <v>2.22240301763988</v>
      </c>
      <c r="D13" s="1" t="n">
        <v>0.5</v>
      </c>
      <c r="E13" s="78" t="n">
        <v>3.7263</v>
      </c>
      <c r="F13" s="78" t="n">
        <v>2.1925</v>
      </c>
      <c r="G13" s="78" t="n">
        <f aca="false">IFERROR((E13*purity_gamma/MW_gamma)/((E13*purity_gamma/MW_gamma)+(F13*purity_mibk/MW_mibk)),"")</f>
        <v>0.497197795443102</v>
      </c>
    </row>
    <row r="14" customFormat="false" ht="14.25" hidden="false" customHeight="true" outlineLevel="0" collapsed="false">
      <c r="A14" s="1" t="n">
        <v>6</v>
      </c>
      <c r="B14" s="1" t="n">
        <f aca="false">IF(D14=0, 0, IF(D14=1, A14, (D14*A14*$C$2)/($C$3*(1-D14)+$C$2*D14)))</f>
        <v>4.30970227966304</v>
      </c>
      <c r="C14" s="1" t="n">
        <f aca="false">A14-B14</f>
        <v>1.69029772033696</v>
      </c>
      <c r="D14" s="1" t="n">
        <v>0.6</v>
      </c>
      <c r="E14" s="78" t="n">
        <v>4.263</v>
      </c>
      <c r="F14" s="78" t="n">
        <v>1.6764</v>
      </c>
      <c r="G14" s="78" t="n">
        <f aca="false">IFERROR((E14*purity_gamma/MW_gamma)/((E14*purity_gamma/MW_gamma)+(F14*purity_mibk/MW_mibk)),"")</f>
        <v>0.596702034327938</v>
      </c>
    </row>
    <row r="15" customFormat="false" ht="14.25" hidden="false" customHeight="true" outlineLevel="0" collapsed="false">
      <c r="A15" s="1" t="n">
        <v>6</v>
      </c>
      <c r="B15" s="1" t="n">
        <f aca="false">IF(D15=0, 0, IF(D15=1, A15, (D15*A15*$C$2)/($C$3*(1-D15)+$C$2*D15)))</f>
        <v>4.79182163607487</v>
      </c>
      <c r="C15" s="1" t="n">
        <f aca="false">A15-B15</f>
        <v>1.20817836392513</v>
      </c>
      <c r="D15" s="1" t="n">
        <v>0.7</v>
      </c>
      <c r="E15" s="78" t="n">
        <v>4.6839</v>
      </c>
      <c r="F15" s="78" t="n">
        <v>1.219</v>
      </c>
      <c r="G15" s="78" t="n">
        <f aca="false">IFERROR((E15*purity_gamma/MW_gamma)/((E15*purity_gamma/MW_gamma)+(F15*purity_mibk/MW_mibk)),"")</f>
        <v>0.690940088548683</v>
      </c>
    </row>
    <row r="16" customFormat="false" ht="14.25" hidden="false" customHeight="true" outlineLevel="0" collapsed="false">
      <c r="A16" s="1" t="n">
        <v>6</v>
      </c>
      <c r="B16" s="1" t="n">
        <f aca="false">IF(D16=0, 0, IF(D16=1, A16, (D16*A16*$C$2)/($C$3*(1-D16)+$C$2*D16)))</f>
        <v>5.2306825746326</v>
      </c>
      <c r="C16" s="1" t="n">
        <f aca="false">A16-B16</f>
        <v>0.769317425367403</v>
      </c>
      <c r="D16" s="1" t="n">
        <v>0.8</v>
      </c>
      <c r="E16" s="78" t="n">
        <v>5.0672</v>
      </c>
      <c r="F16" s="78" t="n">
        <v>0.7629</v>
      </c>
      <c r="G16" s="78" t="n">
        <f aca="false">IFERROR((E16*purity_gamma/MW_gamma)/((E16*purity_gamma/MW_gamma)+(F16*purity_mibk/MW_mibk)),"")</f>
        <v>0.794429374894137</v>
      </c>
    </row>
    <row r="17" customFormat="false" ht="14.25" hidden="false" customHeight="true" outlineLevel="0" collapsed="false">
      <c r="A17" s="1" t="n">
        <v>6</v>
      </c>
      <c r="B17" s="1" t="n">
        <f aca="false">IF(D17=0, 0, IF(D17=1, A17, (D17*A17*$C$2)/($C$3*(1-D17)+$C$2*D17)))</f>
        <v>5.63185719273957</v>
      </c>
      <c r="C17" s="1" t="n">
        <f aca="false">A17-B17</f>
        <v>0.368142807260431</v>
      </c>
      <c r="D17" s="1" t="n">
        <v>0.9</v>
      </c>
      <c r="E17" s="78" t="n">
        <v>5.5468</v>
      </c>
      <c r="F17" s="78" t="n">
        <v>0.3751</v>
      </c>
      <c r="G17" s="78" t="n">
        <f aca="false">IFERROR((E17*purity_gamma/MW_gamma)/((E17*purity_gamma/MW_gamma)+(F17*purity_mibk/MW_mibk)),"")</f>
        <v>0.895874322615171</v>
      </c>
    </row>
    <row r="18" customFormat="false" ht="14.25" hidden="false" customHeight="true" outlineLevel="0" collapsed="false">
      <c r="A18" s="1" t="n">
        <v>6</v>
      </c>
      <c r="B18" s="1" t="n">
        <f aca="false">IF(D18=0, 0, IF(D18=1, A18, (D18*A18*$C$2)/($C$3*(1-D18)+$C$2*D18)))</f>
        <v>6</v>
      </c>
      <c r="C18" s="1" t="n">
        <f aca="false">A18-B18</f>
        <v>0</v>
      </c>
      <c r="D18" s="1" t="n">
        <v>1</v>
      </c>
      <c r="E18" s="78" t="n">
        <v>1</v>
      </c>
      <c r="F18" s="78" t="n">
        <v>0</v>
      </c>
      <c r="G18" s="78" t="n">
        <f aca="false">IF(AND(E18&gt;0,F18=0),1,IFERROR((E18/MW_gamma)/((E18/MW_gamma)+(F18/MW_mibk)),""))</f>
        <v>1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78" t="s">
        <v>303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4.25" hidden="false" customHeight="true" outlineLevel="0" collapsed="false">
      <c r="A21" s="78"/>
      <c r="B21" s="78" t="s">
        <v>212</v>
      </c>
      <c r="G21" s="78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78" t="n">
        <f aca="false">G8</f>
        <v>0</v>
      </c>
      <c r="B23" s="99" t="n">
        <f aca="false">densidad_viscosidad_puros!G45</f>
        <v>0.80143</v>
      </c>
      <c r="C23" s="99" t="n">
        <f aca="false">densidad_viscosidad_puros!G46</f>
        <v>0.79234</v>
      </c>
      <c r="D23" s="99" t="n">
        <f aca="false">densidad_viscosidad_puros!G47</f>
        <v>0.78314</v>
      </c>
      <c r="E23" s="99" t="n">
        <f aca="false">densidad_viscosidad_puros!G48</f>
        <v>0.77383</v>
      </c>
      <c r="F23" s="99" t="n">
        <f aca="false">densidad_viscosidad_puros!G49</f>
        <v>0.76444</v>
      </c>
      <c r="G23" s="78" t="n">
        <f aca="false">IFERROR((($A23*MW_gamma)+((1-$A23)*MW_mibk))/B23-(($A23*MW_gamma/B$33)+((1-$A23)*MW_mibk/B$23)),"")</f>
        <v>0</v>
      </c>
      <c r="H23" s="78" t="n">
        <f aca="false">IFERROR((($A23*MW_gamma)+((1-$A23)*MW_mibk))/C23-(($A23*MW_gamma/C$33)+((1-$A23)*MW_mibk/C$23)),"")</f>
        <v>0</v>
      </c>
      <c r="I23" s="78" t="n">
        <f aca="false">IFERROR((($A23*MW_gamma)+((1-$A23)*MW_mibk))/D23-(($A23*MW_gamma/D$33)+((1-$A23)*MW_mibk/D$23)),"")</f>
        <v>0</v>
      </c>
      <c r="J23" s="78" t="n">
        <f aca="false">IFERROR((($A23*MW_gamma)+((1-$A23)*MW_mibk))/E23-(($A23*MW_gamma/E$33)+((1-$A23)*MW_mibk/E$23)),"")</f>
        <v>0</v>
      </c>
      <c r="K23" s="78" t="n">
        <f aca="false">IFERROR((($A23*MW_gamma)+((1-$A23)*MW_mibk))/F23-(($A23*MW_gamma/F$33)+((1-$A23)*MW_mibk/F$23)),"")</f>
        <v>0</v>
      </c>
    </row>
    <row r="24" customFormat="false" ht="14.25" hidden="false" customHeight="true" outlineLevel="0" collapsed="false">
      <c r="A24" s="78" t="n">
        <f aca="false">G9</f>
        <v>0.0990219951658388</v>
      </c>
      <c r="B24" s="78" t="n">
        <v>0.82279</v>
      </c>
      <c r="C24" s="78" t="n">
        <v>0.81399</v>
      </c>
      <c r="D24" s="78" t="n">
        <v>0.80508</v>
      </c>
      <c r="E24" s="78" t="n">
        <v>0.79604</v>
      </c>
      <c r="F24" s="78" t="n">
        <v>0.78701</v>
      </c>
      <c r="G24" s="78" t="n">
        <f aca="false">IFERROR((($A24*MW_gamma)+((1-$A24)*MW_mibk))/B24-(($A24*MW_gamma/B$33)+((1-$A24)*MW_mibk/B$23)),"")</f>
        <v>-0.125157516585659</v>
      </c>
      <c r="H24" s="78" t="n">
        <f aca="false">IFERROR((($A24*MW_gamma)+((1-$A24)*MW_mibk))/C24-(($A24*MW_gamma/C$33)+((1-$A24)*MW_mibk/C$23)),"")</f>
        <v>-0.151202023469864</v>
      </c>
      <c r="I24" s="78" t="n">
        <f aca="false">IFERROR((($A24*MW_gamma)+((1-$A24)*MW_mibk))/D24-(($A24*MW_gamma/D$33)+((1-$A24)*MW_mibk/D$23)),"")</f>
        <v>-0.177911384004602</v>
      </c>
      <c r="J24" s="78" t="n">
        <f aca="false">IFERROR((($A24*MW_gamma)+((1-$A24)*MW_mibk))/E24-(($A24*MW_gamma/E$33)+((1-$A24)*MW_mibk/E$23)),"")</f>
        <v>-0.200624126411157</v>
      </c>
      <c r="K24" s="78" t="n">
        <f aca="false">IFERROR((($A24*MW_gamma)+((1-$A24)*MW_mibk))/F24-(($A24*MW_gamma/F$33)+((1-$A24)*MW_mibk/F$23)),"")</f>
        <v>-0.239300145186178</v>
      </c>
    </row>
    <row r="25" customFormat="false" ht="14.25" hidden="false" customHeight="true" outlineLevel="0" collapsed="false">
      <c r="A25" s="78" t="n">
        <f aca="false">G10</f>
        <v>0.196115589060213</v>
      </c>
      <c r="B25" s="78" t="n">
        <v>0.84231</v>
      </c>
      <c r="C25" s="78" t="n">
        <v>0.83373</v>
      </c>
      <c r="D25" s="78" t="n">
        <v>0.82505</v>
      </c>
      <c r="E25" s="78" t="n">
        <v>0.81631</v>
      </c>
      <c r="F25" s="78" t="n">
        <v>0.80749</v>
      </c>
      <c r="G25" s="78" t="n">
        <f aca="false">IFERROR((($A25*MW_gamma)+((1-$A25)*MW_mibk))/B25-(($A25*MW_gamma/B$33)+((1-$A25)*MW_mibk/B$23)),"")</f>
        <v>-0.274834912826748</v>
      </c>
      <c r="H25" s="78" t="n">
        <f aca="false">IFERROR((($A25*MW_gamma)+((1-$A25)*MW_mibk))/C25-(($A25*MW_gamma/C$33)+((1-$A25)*MW_mibk/C$23)),"")</f>
        <v>-0.315956236415161</v>
      </c>
      <c r="I25" s="78" t="n">
        <f aca="false">IFERROR((($A25*MW_gamma)+((1-$A25)*MW_mibk))/D25-(($A25*MW_gamma/D$33)+((1-$A25)*MW_mibk/D$23)),"")</f>
        <v>-0.359392215460417</v>
      </c>
      <c r="J25" s="78" t="n">
        <f aca="false">IFERROR((($A25*MW_gamma)+((1-$A25)*MW_mibk))/E25-(($A25*MW_gamma/E$33)+((1-$A25)*MW_mibk/E$23)),"")</f>
        <v>-0.409494483841115</v>
      </c>
      <c r="K25" s="78" t="n">
        <f aca="false">IFERROR((($A25*MW_gamma)+((1-$A25)*MW_mibk))/F25-(($A25*MW_gamma/F$33)+((1-$A25)*MW_mibk/F$23)),"")</f>
        <v>-0.460366348904785</v>
      </c>
    </row>
    <row r="26" customFormat="false" ht="14.25" hidden="false" customHeight="true" outlineLevel="0" collapsed="false">
      <c r="A26" s="78" t="n">
        <f aca="false">G11</f>
        <v>0.282191159104411</v>
      </c>
      <c r="B26" s="78" t="n">
        <v>0.85817</v>
      </c>
      <c r="C26" s="78" t="n">
        <v>0.84972</v>
      </c>
      <c r="D26" s="78" t="n">
        <v>0.84122</v>
      </c>
      <c r="E26" s="78" t="n">
        <v>0.83267</v>
      </c>
      <c r="F26" s="78" t="n">
        <v>0.82404</v>
      </c>
      <c r="G26" s="78" t="n">
        <f aca="false">IFERROR((($A26*MW_gamma)+((1-$A26)*MW_mibk))/B26-(($A26*MW_gamma/B$33)+((1-$A26)*MW_mibk/B$23)),"")</f>
        <v>-0.36487838114985</v>
      </c>
      <c r="H26" s="78" t="n">
        <f aca="false">IFERROR((($A26*MW_gamma)+((1-$A26)*MW_mibk))/C26-(($A26*MW_gamma/C$33)+((1-$A26)*MW_mibk/C$23)),"")</f>
        <v>-0.407386959994625</v>
      </c>
      <c r="I26" s="78" t="n">
        <f aca="false">IFERROR((($A26*MW_gamma)+((1-$A26)*MW_mibk))/D26-(($A26*MW_gamma/D$33)+((1-$A26)*MW_mibk/D$23)),"")</f>
        <v>-0.460060922485013</v>
      </c>
      <c r="J26" s="78" t="n">
        <f aca="false">IFERROR((($A26*MW_gamma)+((1-$A26)*MW_mibk))/E26-(($A26*MW_gamma/E$33)+((1-$A26)*MW_mibk/E$23)),"")</f>
        <v>-0.519727969641281</v>
      </c>
      <c r="K26" s="78" t="n">
        <f aca="false">IFERROR((($A26*MW_gamma)+((1-$A26)*MW_mibk))/F26-(($A26*MW_gamma/F$33)+((1-$A26)*MW_mibk/F$23)),"")</f>
        <v>-0.579675272903927</v>
      </c>
    </row>
    <row r="27" customFormat="false" ht="14.25" hidden="false" customHeight="true" outlineLevel="0" collapsed="false">
      <c r="A27" s="78" t="n">
        <f aca="false">G12</f>
        <v>0.392061549539046</v>
      </c>
      <c r="B27" s="78" t="n">
        <v>0.87652</v>
      </c>
      <c r="C27" s="78" t="n">
        <v>0.86829</v>
      </c>
      <c r="D27" s="78" t="n">
        <v>0.85999</v>
      </c>
      <c r="E27" s="78" t="n">
        <v>0.85164</v>
      </c>
      <c r="F27" s="78" t="n">
        <v>0.84324</v>
      </c>
      <c r="G27" s="78" t="n">
        <f aca="false">IFERROR((($A27*MW_gamma)+((1-$A27)*MW_mibk))/B27-(($A27*MW_gamma/B$33)+((1-$A27)*MW_mibk/B$23)),"")</f>
        <v>-0.403482252228969</v>
      </c>
      <c r="H27" s="78" t="n">
        <f aca="false">IFERROR((($A27*MW_gamma)+((1-$A27)*MW_mibk))/C27-(($A27*MW_gamma/C$33)+((1-$A27)*MW_mibk/C$23)),"")</f>
        <v>-0.455033155388833</v>
      </c>
      <c r="I27" s="78" t="n">
        <f aca="false">IFERROR((($A27*MW_gamma)+((1-$A27)*MW_mibk))/D27-(($A27*MW_gamma/D$33)+((1-$A27)*MW_mibk/D$23)),"")</f>
        <v>-0.512825434351953</v>
      </c>
      <c r="J27" s="78" t="n">
        <f aca="false">IFERROR((($A27*MW_gamma)+((1-$A27)*MW_mibk))/E27-(($A27*MW_gamma/E$33)+((1-$A27)*MW_mibk/E$23)),"")</f>
        <v>-0.57544335268534</v>
      </c>
      <c r="K27" s="78" t="n">
        <f aca="false">IFERROR((($A27*MW_gamma)+((1-$A27)*MW_mibk))/F27-(($A27*MW_gamma/F$33)+((1-$A27)*MW_mibk/F$23)),"")</f>
        <v>-0.642563374466874</v>
      </c>
    </row>
    <row r="28" customFormat="false" ht="14.25" hidden="false" customHeight="true" outlineLevel="0" collapsed="false">
      <c r="A28" s="78" t="n">
        <f aca="false">G13</f>
        <v>0.497197795443102</v>
      </c>
      <c r="B28" s="78" t="n">
        <v>0.89253</v>
      </c>
      <c r="C28" s="78" t="n">
        <v>0.88445</v>
      </c>
      <c r="D28" s="78" t="n">
        <v>0.87632</v>
      </c>
      <c r="E28" s="78" t="n">
        <v>0.86814</v>
      </c>
      <c r="F28" s="78" t="n">
        <v>0.85992</v>
      </c>
      <c r="G28" s="78" t="n">
        <f aca="false">IFERROR((($A28*MW_gamma)+((1-$A28)*MW_mibk))/B28-(($A28*MW_gamma/B$33)+((1-$A28)*MW_mibk/B$23)),"")</f>
        <v>-0.403507059335141</v>
      </c>
      <c r="H28" s="78" t="n">
        <f aca="false">IFERROR((($A28*MW_gamma)+((1-$A28)*MW_mibk))/C28-(($A28*MW_gamma/C$33)+((1-$A28)*MW_mibk/C$23)),"")</f>
        <v>-0.452881897391734</v>
      </c>
      <c r="I28" s="78" t="n">
        <f aca="false">IFERROR((($A28*MW_gamma)+((1-$A28)*MW_mibk))/D28-(($A28*MW_gamma/D$33)+((1-$A28)*MW_mibk/D$23)),"")</f>
        <v>-0.510977643872963</v>
      </c>
      <c r="J28" s="78" t="n">
        <f aca="false">IFERROR((($A28*MW_gamma)+((1-$A28)*MW_mibk))/E28-(($A28*MW_gamma/E$33)+((1-$A28)*MW_mibk/E$23)),"")</f>
        <v>-0.571538862517116</v>
      </c>
      <c r="K28" s="78" t="n">
        <f aca="false">IFERROR((($A28*MW_gamma)+((1-$A28)*MW_mibk))/F28-(($A28*MW_gamma/F$33)+((1-$A28)*MW_mibk/F$23)),"")</f>
        <v>-0.637091445752816</v>
      </c>
    </row>
    <row r="29" customFormat="false" ht="14.25" hidden="false" customHeight="true" outlineLevel="0" collapsed="false">
      <c r="A29" s="78" t="n">
        <f aca="false">G14</f>
        <v>0.596702034327938</v>
      </c>
      <c r="B29" s="78" t="n">
        <v>0.90641</v>
      </c>
      <c r="C29" s="78" t="n">
        <v>0.89847</v>
      </c>
      <c r="D29" s="78" t="n">
        <v>0.89046</v>
      </c>
      <c r="E29" s="78" t="n">
        <v>0.88243</v>
      </c>
      <c r="F29" s="78" t="n">
        <v>0.87436</v>
      </c>
      <c r="G29" s="78" t="n">
        <f aca="false">IFERROR((($A29*MW_gamma)+((1-$A29)*MW_mibk))/B29-(($A29*MW_gamma/B$33)+((1-$A29)*MW_mibk/B$23)),"")</f>
        <v>-0.367347224738325</v>
      </c>
      <c r="H29" s="78" t="n">
        <f aca="false">IFERROR((($A29*MW_gamma)+((1-$A29)*MW_mibk))/C29-(($A29*MW_gamma/C$33)+((1-$A29)*MW_mibk/C$23)),"")</f>
        <v>-0.413828598575833</v>
      </c>
      <c r="I29" s="78" t="n">
        <f aca="false">IFERROR((($A29*MW_gamma)+((1-$A29)*MW_mibk))/D29-(($A29*MW_gamma/D$33)+((1-$A29)*MW_mibk/D$23)),"")</f>
        <v>-0.464433505318226</v>
      </c>
      <c r="J29" s="78" t="n">
        <f aca="false">IFERROR((($A29*MW_gamma)+((1-$A29)*MW_mibk))/E29-(($A29*MW_gamma/E$33)+((1-$A29)*MW_mibk/E$23)),"")</f>
        <v>-0.520376809657819</v>
      </c>
      <c r="K29" s="78" t="n">
        <f aca="false">IFERROR((($A29*MW_gamma)+((1-$A29)*MW_mibk))/F29-(($A29*MW_gamma/F$33)+((1-$A29)*MW_mibk/F$23)),"")</f>
        <v>-0.579895929045819</v>
      </c>
    </row>
    <row r="30" customFormat="false" ht="14.25" hidden="false" customHeight="true" outlineLevel="0" collapsed="false">
      <c r="A30" s="78" t="n">
        <f aca="false">G15</f>
        <v>0.690940088548683</v>
      </c>
      <c r="B30" s="78" t="n">
        <v>0.91853</v>
      </c>
      <c r="C30" s="78" t="n">
        <v>0.91068</v>
      </c>
      <c r="D30" s="78" t="n">
        <v>0.90279</v>
      </c>
      <c r="E30" s="78" t="n">
        <v>0.89487</v>
      </c>
      <c r="F30" s="78" t="n">
        <v>0.88692</v>
      </c>
      <c r="G30" s="78" t="n">
        <f aca="false">IFERROR((($A30*MW_gamma)+((1-$A30)*MW_mibk))/B30-(($A30*MW_gamma/B$33)+((1-$A30)*MW_mibk/B$23)),"")</f>
        <v>-0.302404915673009</v>
      </c>
      <c r="H30" s="78" t="n">
        <f aca="false">IFERROR((($A30*MW_gamma)+((1-$A30)*MW_mibk))/C30-(($A30*MW_gamma/C$33)+((1-$A30)*MW_mibk/C$23)),"")</f>
        <v>-0.338283716991469</v>
      </c>
      <c r="I30" s="78" t="n">
        <f aca="false">IFERROR((($A30*MW_gamma)+((1-$A30)*MW_mibk))/D30-(($A30*MW_gamma/D$33)+((1-$A30)*MW_mibk/D$23)),"")</f>
        <v>-0.382400199275025</v>
      </c>
      <c r="J30" s="78" t="n">
        <f aca="false">IFERROR((($A30*MW_gamma)+((1-$A30)*MW_mibk))/E30-(($A30*MW_gamma/E$33)+((1-$A30)*MW_mibk/E$23)),"")</f>
        <v>-0.427610553895704</v>
      </c>
      <c r="K30" s="78" t="n">
        <f aca="false">IFERROR((($A30*MW_gamma)+((1-$A30)*MW_mibk))/F30-(($A30*MW_gamma/F$33)+((1-$A30)*MW_mibk/F$23)),"")</f>
        <v>-0.476656393806366</v>
      </c>
    </row>
    <row r="31" customFormat="false" ht="14.25" hidden="false" customHeight="true" outlineLevel="0" collapsed="false">
      <c r="A31" s="78" t="n">
        <f aca="false">G16</f>
        <v>0.794429374894137</v>
      </c>
      <c r="B31" s="78" t="n">
        <v>0.93089</v>
      </c>
      <c r="C31" s="78" t="n">
        <v>0.92314</v>
      </c>
      <c r="D31" s="78" t="n">
        <v>0.91534</v>
      </c>
      <c r="E31" s="78" t="n">
        <v>0.9075</v>
      </c>
      <c r="F31" s="78" t="n">
        <v>0.89968</v>
      </c>
      <c r="G31" s="78" t="n">
        <f aca="false">IFERROR((($A31*MW_gamma)+((1-$A31)*MW_mibk))/B31-(($A31*MW_gamma/B$33)+((1-$A31)*MW_mibk/B$23)),"")</f>
        <v>-0.21401171727976</v>
      </c>
      <c r="H31" s="78" t="n">
        <f aca="false">IFERROR((($A31*MW_gamma)+((1-$A31)*MW_mibk))/C31-(($A31*MW_gamma/C$33)+((1-$A31)*MW_mibk/C$23)),"")</f>
        <v>-0.238330347763167</v>
      </c>
      <c r="I31" s="78" t="n">
        <f aca="false">IFERROR((($A31*MW_gamma)+((1-$A31)*MW_mibk))/D31-(($A31*MW_gamma/D$33)+((1-$A31)*MW_mibk/D$23)),"")</f>
        <v>-0.267612694281468</v>
      </c>
      <c r="J31" s="78" t="n">
        <f aca="false">IFERROR((($A31*MW_gamma)+((1-$A31)*MW_mibk))/E31-(($A31*MW_gamma/E$33)+((1-$A31)*MW_mibk/E$23)),"")</f>
        <v>-0.29312310389858</v>
      </c>
      <c r="K31" s="78" t="n">
        <f aca="false">IFERROR((($A31*MW_gamma)+((1-$A31)*MW_mibk))/F31-(($A31*MW_gamma/F$33)+((1-$A31)*MW_mibk/F$23)),"")</f>
        <v>-0.330018766865379</v>
      </c>
    </row>
    <row r="32" customFormat="false" ht="14.25" hidden="false" customHeight="true" outlineLevel="0" collapsed="false">
      <c r="A32" s="78" t="n">
        <f aca="false">G17</f>
        <v>0.895874322615171</v>
      </c>
      <c r="B32" s="78" t="n">
        <v>0.94204</v>
      </c>
      <c r="C32" s="78" t="n">
        <v>0.93439</v>
      </c>
      <c r="D32" s="78" t="n">
        <v>0.9267</v>
      </c>
      <c r="E32" s="78" t="n">
        <v>0.91899</v>
      </c>
      <c r="F32" s="78" t="n">
        <v>0.91126</v>
      </c>
      <c r="G32" s="78" t="n">
        <f aca="false">IFERROR((($A32*MW_gamma)+((1-$A32)*MW_mibk))/B32-(($A32*MW_gamma/B$33)+((1-$A32)*MW_mibk/B$23)),"")</f>
        <v>-0.0938005049441699</v>
      </c>
      <c r="H32" s="78" t="n">
        <f aca="false">IFERROR((($A32*MW_gamma)+((1-$A32)*MW_mibk))/C32-(($A32*MW_gamma/C$33)+((1-$A32)*MW_mibk/C$23)),"")</f>
        <v>-0.106875499332943</v>
      </c>
      <c r="I32" s="78" t="n">
        <f aca="false">IFERROR((($A32*MW_gamma)+((1-$A32)*MW_mibk))/D32-(($A32*MW_gamma/D$33)+((1-$A32)*MW_mibk/D$23)),"")</f>
        <v>-0.125358774981066</v>
      </c>
      <c r="J32" s="78" t="n">
        <f aca="false">IFERROR((($A32*MW_gamma)+((1-$A32)*MW_mibk))/E32-(($A32*MW_gamma/E$33)+((1-$A32)*MW_mibk/E$23)),"")</f>
        <v>-0.141074101408123</v>
      </c>
      <c r="K32" s="78" t="n">
        <f aca="false">IFERROR((($A32*MW_gamma)+((1-$A32)*MW_mibk))/F32-(($A32*MW_gamma/F$33)+((1-$A32)*MW_mibk/F$23)),"")</f>
        <v>-0.158771012380186</v>
      </c>
    </row>
    <row r="33" customFormat="false" ht="14.25" hidden="false" customHeight="true" outlineLevel="0" collapsed="false">
      <c r="A33" s="78" t="n">
        <f aca="false">G18</f>
        <v>1</v>
      </c>
      <c r="B33" s="78" t="n">
        <f aca="false">densidad_viscosidad_puros!G85</f>
        <v>0.95292</v>
      </c>
      <c r="C33" s="78" t="n">
        <f aca="false">densidad_viscosidad_puros!G86</f>
        <v>0.94536</v>
      </c>
      <c r="D33" s="78" t="n">
        <f aca="false">densidad_viscosidad_puros!G87</f>
        <v>0.93774</v>
      </c>
      <c r="E33" s="78" t="n">
        <f aca="false">densidad_viscosidad_puros!G88</f>
        <v>0.93013</v>
      </c>
      <c r="F33" s="78" t="n">
        <f aca="false">densidad_viscosidad_puros!G89</f>
        <v>0.9225</v>
      </c>
      <c r="G33" s="78" t="n">
        <f aca="false">IFERROR((($A33*MW_gamma)+((1-$A33)*MW_mibk))/B33-(($A33*MW_gamma/B$33)+((1-$A33)*MW_mibk/B$23)),"")</f>
        <v>0</v>
      </c>
      <c r="H33" s="78" t="n">
        <f aca="false">IFERROR((($A33*MW_gamma)+((1-$A33)*MW_mibk))/C33-(($A33*MW_gamma/C$33)+((1-$A33)*MW_mibk/C$23)),"")</f>
        <v>0</v>
      </c>
      <c r="I33" s="78" t="n">
        <f aca="false">IFERROR((($A33*MW_gamma)+((1-$A33)*MW_mibk))/D33-(($A33*MW_gamma/D$33)+((1-$A33)*MW_mibk/D$23)),"")</f>
        <v>0</v>
      </c>
      <c r="J33" s="78" t="n">
        <f aca="false">IFERROR((($A33*MW_gamma)+((1-$A33)*MW_mibk))/E33-(($A33*MW_gamma/E$33)+((1-$A33)*MW_mibk/E$23)),"")</f>
        <v>0</v>
      </c>
      <c r="K33" s="78" t="n">
        <f aca="false">IFERROR((($A33*MW_gamma)+((1-$A33)*MW_mibk))/F33-(($A33*MW_gamma/F$33)+((1-$A33)*MW_mibk/F$23)),"")</f>
        <v>0</v>
      </c>
    </row>
    <row r="34" customFormat="false" ht="14.25" hidden="false" customHeight="true" outlineLevel="0" collapsed="false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  <c r="G35" s="78"/>
      <c r="H35" s="78"/>
      <c r="I35" s="78"/>
      <c r="J35" s="78"/>
      <c r="K35" s="78"/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78"/>
      <c r="H36" s="92"/>
      <c r="I36" s="78"/>
      <c r="J36" s="92"/>
      <c r="K36" s="78"/>
    </row>
    <row r="37" customFormat="false" ht="14.25" hidden="false" customHeight="true" outlineLevel="0" collapsed="false">
      <c r="A37" s="78" t="n">
        <f aca="false">G8</f>
        <v>0</v>
      </c>
      <c r="B37" s="100" t="n">
        <f aca="false">densidad_viscosidad_puros!I45</f>
        <v>0.58507</v>
      </c>
      <c r="C37" s="100" t="n">
        <f aca="false">densidad_viscosidad_puros!I46</f>
        <v>0.5218</v>
      </c>
      <c r="D37" s="100" t="n">
        <f aca="false">densidad_viscosidad_puros!I47</f>
        <v>0.46729</v>
      </c>
      <c r="E37" s="100" t="n">
        <f aca="false">densidad_viscosidad_puros!I48</f>
        <v>0.42305</v>
      </c>
      <c r="F37" s="100" t="n">
        <f aca="false">densidad_viscosidad_puros!I49</f>
        <v>0.38771</v>
      </c>
      <c r="G37" s="78"/>
      <c r="H37" s="78"/>
      <c r="I37" s="78"/>
      <c r="J37" s="78"/>
      <c r="K37" s="78"/>
    </row>
    <row r="38" customFormat="false" ht="14.25" hidden="false" customHeight="true" outlineLevel="0" collapsed="false">
      <c r="A38" s="78" t="n">
        <f aca="false">G9</f>
        <v>0.0990219951658388</v>
      </c>
      <c r="B38" s="78" t="n">
        <v>0.751</v>
      </c>
      <c r="C38" s="78" t="n">
        <v>0.66</v>
      </c>
      <c r="D38" s="78" t="n">
        <v>0.586</v>
      </c>
      <c r="E38" s="78" t="n">
        <v>0.517</v>
      </c>
      <c r="F38" s="78" t="n">
        <v>0.465</v>
      </c>
      <c r="G38" s="78"/>
      <c r="H38" s="78"/>
      <c r="I38" s="78"/>
      <c r="J38" s="78"/>
      <c r="K38" s="78"/>
    </row>
    <row r="39" customFormat="false" ht="14.25" hidden="false" customHeight="true" outlineLevel="0" collapsed="false">
      <c r="A39" s="78" t="n">
        <f aca="false">G10</f>
        <v>0.196115589060213</v>
      </c>
      <c r="B39" s="78" t="n">
        <v>0.953</v>
      </c>
      <c r="C39" s="78" t="n">
        <v>0.824</v>
      </c>
      <c r="D39" s="78" t="n">
        <v>0.721</v>
      </c>
      <c r="E39" s="78" t="n">
        <v>0.639</v>
      </c>
      <c r="F39" s="78" t="n">
        <v>0.571</v>
      </c>
      <c r="G39" s="78"/>
      <c r="H39" s="78"/>
      <c r="I39" s="78"/>
      <c r="J39" s="78"/>
      <c r="K39" s="78"/>
    </row>
    <row r="40" customFormat="false" ht="14.25" hidden="false" customHeight="true" outlineLevel="0" collapsed="false">
      <c r="A40" s="78" t="n">
        <f aca="false">G11</f>
        <v>0.282191159104411</v>
      </c>
      <c r="B40" s="78" t="n">
        <v>1.178</v>
      </c>
      <c r="C40" s="78" t="n">
        <v>1.005</v>
      </c>
      <c r="D40" s="78" t="n">
        <v>0.869</v>
      </c>
      <c r="E40" s="78" t="n">
        <v>0.762</v>
      </c>
      <c r="F40" s="78" t="n">
        <v>0.674</v>
      </c>
      <c r="G40" s="78"/>
      <c r="H40" s="78"/>
      <c r="I40" s="78"/>
      <c r="J40" s="78"/>
      <c r="K40" s="78"/>
    </row>
    <row r="41" customFormat="false" ht="14.25" hidden="false" customHeight="true" outlineLevel="0" collapsed="false">
      <c r="A41" s="78" t="n">
        <f aca="false">G12</f>
        <v>0.392061549539046</v>
      </c>
      <c r="B41" s="78" t="n">
        <v>1.535</v>
      </c>
      <c r="C41" s="78" t="n">
        <v>1.287</v>
      </c>
      <c r="D41" s="78" t="n">
        <v>1.097</v>
      </c>
      <c r="E41" s="78" t="n">
        <v>0.951</v>
      </c>
      <c r="F41" s="78" t="n">
        <v>0.833</v>
      </c>
      <c r="G41" s="78"/>
      <c r="H41" s="78"/>
      <c r="I41" s="78"/>
      <c r="J41" s="78"/>
      <c r="K41" s="78"/>
    </row>
    <row r="42" customFormat="false" ht="14.25" hidden="false" customHeight="true" outlineLevel="0" collapsed="false">
      <c r="A42" s="78" t="n">
        <f aca="false">G13</f>
        <v>0.497197795443102</v>
      </c>
      <c r="B42" s="78" t="n">
        <v>1.978</v>
      </c>
      <c r="C42" s="78" t="n">
        <v>1.626</v>
      </c>
      <c r="D42" s="78" t="n">
        <v>1.364</v>
      </c>
      <c r="E42" s="78" t="n">
        <v>1.165</v>
      </c>
      <c r="F42" s="78" t="n">
        <v>1.01</v>
      </c>
      <c r="G42" s="78"/>
      <c r="H42" s="78"/>
      <c r="I42" s="78"/>
      <c r="J42" s="78"/>
      <c r="K42" s="78"/>
    </row>
    <row r="43" customFormat="false" ht="14.25" hidden="false" customHeight="true" outlineLevel="0" collapsed="false">
      <c r="A43" s="78" t="n">
        <f aca="false">G14</f>
        <v>0.596702034327938</v>
      </c>
      <c r="B43" s="78" t="n">
        <v>2.513</v>
      </c>
      <c r="C43" s="78" t="n">
        <v>2.024</v>
      </c>
      <c r="D43" s="78" t="n">
        <v>1.671</v>
      </c>
      <c r="E43" s="78" t="n">
        <v>1.407</v>
      </c>
      <c r="F43" s="78" t="n">
        <v>1.205</v>
      </c>
      <c r="G43" s="78"/>
      <c r="H43" s="78"/>
      <c r="I43" s="78"/>
      <c r="J43" s="78"/>
      <c r="K43" s="78"/>
    </row>
    <row r="44" customFormat="false" ht="14.25" hidden="false" customHeight="true" outlineLevel="0" collapsed="false">
      <c r="A44" s="78" t="n">
        <f aca="false">G15</f>
        <v>0.690940088548683</v>
      </c>
      <c r="B44" s="78" t="n">
        <v>3.15</v>
      </c>
      <c r="C44" s="78" t="n">
        <v>2.487</v>
      </c>
      <c r="D44" s="78" t="n">
        <v>2.02</v>
      </c>
      <c r="E44" s="78" t="n">
        <v>1.677</v>
      </c>
      <c r="F44" s="78" t="n">
        <v>1.419</v>
      </c>
      <c r="G44" s="78"/>
      <c r="H44" s="78"/>
      <c r="I44" s="78"/>
      <c r="J44" s="78"/>
      <c r="K44" s="78"/>
    </row>
    <row r="45" customFormat="false" ht="14.25" hidden="false" customHeight="true" outlineLevel="0" collapsed="false">
      <c r="A45" s="78" t="n">
        <f aca="false">G16</f>
        <v>0.794429374894137</v>
      </c>
      <c r="B45" s="78" t="n">
        <v>4.043</v>
      </c>
      <c r="C45" s="78" t="n">
        <v>3.12</v>
      </c>
      <c r="D45" s="78" t="n">
        <v>2.484</v>
      </c>
      <c r="E45" s="78" t="n">
        <v>2.03</v>
      </c>
      <c r="F45" s="78" t="n">
        <v>1.694</v>
      </c>
      <c r="G45" s="78"/>
      <c r="H45" s="78"/>
      <c r="I45" s="78"/>
      <c r="J45" s="78"/>
      <c r="K45" s="78"/>
    </row>
    <row r="46" customFormat="false" ht="14.25" hidden="false" customHeight="true" outlineLevel="0" collapsed="false">
      <c r="A46" s="78" t="n">
        <f aca="false">G17</f>
        <v>0.895874322615171</v>
      </c>
      <c r="B46" s="78" t="n">
        <v>5.156</v>
      </c>
      <c r="C46" s="78" t="n">
        <v>3.882</v>
      </c>
      <c r="D46" s="78" t="n">
        <v>3.03</v>
      </c>
      <c r="E46" s="78" t="n">
        <v>2.436</v>
      </c>
      <c r="F46" s="78" t="n">
        <v>2.006</v>
      </c>
      <c r="G46" s="78"/>
      <c r="H46" s="78"/>
      <c r="I46" s="78"/>
      <c r="J46" s="78"/>
      <c r="K46" s="78"/>
    </row>
    <row r="47" customFormat="false" ht="14.25" hidden="false" customHeight="true" outlineLevel="0" collapsed="false">
      <c r="A47" s="78" t="n">
        <f aca="false">G18</f>
        <v>1</v>
      </c>
      <c r="B47" s="78" t="n">
        <f aca="false">densidad_viscosidad_puros!I85</f>
        <v>6.574</v>
      </c>
      <c r="C47" s="78" t="n">
        <f aca="false">densidad_viscosidad_puros!I86</f>
        <v>4.821</v>
      </c>
      <c r="D47" s="78" t="n">
        <f aca="false">densidad_viscosidad_puros!I87</f>
        <v>3.691</v>
      </c>
      <c r="E47" s="78" t="n">
        <f aca="false">densidad_viscosidad_puros!I88</f>
        <v>2.914</v>
      </c>
      <c r="F47" s="78" t="n">
        <f aca="false">densidad_viscosidad_puros!I89</f>
        <v>2.362</v>
      </c>
      <c r="G47" s="78"/>
      <c r="H47" s="78"/>
      <c r="I47" s="78"/>
      <c r="J47" s="78"/>
      <c r="K47" s="78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G9" activeCellId="1" sqref="B39:F39 G9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9"/>
  </cols>
  <sheetData>
    <row r="1" customFormat="false" ht="14.25" hidden="false" customHeight="true" outlineLevel="0" collapsed="false">
      <c r="C1" s="1" t="s">
        <v>273</v>
      </c>
    </row>
    <row r="2" customFormat="false" ht="14.25" hidden="false" customHeight="true" outlineLevel="0" collapsed="false">
      <c r="A2" s="1" t="s">
        <v>40</v>
      </c>
      <c r="B2" s="1" t="n">
        <v>1</v>
      </c>
      <c r="C2" s="1" t="n">
        <v>170.25</v>
      </c>
    </row>
    <row r="3" customFormat="false" ht="14.25" hidden="false" customHeight="true" outlineLevel="0" collapsed="false">
      <c r="A3" s="1" t="s">
        <v>29</v>
      </c>
      <c r="B3" s="1" t="n">
        <v>2</v>
      </c>
      <c r="C3" s="1" t="n">
        <v>128.21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>
      <c r="E6" s="1" t="s">
        <v>276</v>
      </c>
    </row>
    <row r="7" customFormat="false" ht="14.25" hidden="false" customHeight="true" outlineLevel="0" collapsed="false">
      <c r="A7" s="1" t="s">
        <v>277</v>
      </c>
      <c r="B7" s="1" t="s">
        <v>396</v>
      </c>
      <c r="C7" s="1" t="s">
        <v>324</v>
      </c>
      <c r="D7" s="1" t="s">
        <v>397</v>
      </c>
      <c r="E7" s="1" t="s">
        <v>398</v>
      </c>
      <c r="F7" s="1" t="s">
        <v>395</v>
      </c>
      <c r="G7" s="1" t="s">
        <v>399</v>
      </c>
    </row>
    <row r="8" customFormat="false" ht="14.25" hidden="false" customHeight="true" outlineLevel="0" collapsed="false">
      <c r="A8" s="78" t="n">
        <v>5</v>
      </c>
      <c r="B8" s="1" t="n">
        <f aca="false">IF(D8=0, 0, IF(D8=1, A8, (D8*A8*$C$2)/($C$3*(1-D8)+$C$2*D8)))</f>
        <v>0</v>
      </c>
      <c r="C8" s="1" t="n">
        <f aca="false">A8-B8</f>
        <v>5</v>
      </c>
      <c r="D8" s="1" t="n">
        <v>0</v>
      </c>
      <c r="E8" s="78" t="n">
        <v>0</v>
      </c>
      <c r="F8" s="78" t="n">
        <v>1</v>
      </c>
      <c r="G8" s="78" t="n">
        <f aca="false">IF(AND(E8=0,F8&gt;0),0,"")</f>
        <v>0</v>
      </c>
    </row>
    <row r="9" customFormat="false" ht="14.25" hidden="false" customHeight="true" outlineLevel="0" collapsed="false">
      <c r="A9" s="78" t="n">
        <v>5</v>
      </c>
      <c r="B9" s="1" t="n">
        <f aca="false">IF(D9=0, 0, IF(D9=1, A9, (D9*A9*$C$2)/($C$3*(1-D9)+$C$2*D9)))</f>
        <v>0.642870089265486</v>
      </c>
      <c r="C9" s="1" t="n">
        <f aca="false">A9-B9</f>
        <v>4.35712991073451</v>
      </c>
      <c r="D9" s="1" t="n">
        <v>0.1</v>
      </c>
      <c r="E9" s="78" t="n">
        <v>0.633</v>
      </c>
      <c r="F9" s="78" t="n">
        <v>4.3566</v>
      </c>
      <c r="G9" s="78" t="n">
        <f aca="false">IFERROR((E9*purity_gamma/MW_gamma)/((E9*purity_gamma/MW_gamma)+(F9*purity_2octanone/MW_2octanone)),"")</f>
        <v>0.0985369142533046</v>
      </c>
    </row>
    <row r="10" customFormat="false" ht="14.25" hidden="false" customHeight="true" outlineLevel="0" collapsed="false">
      <c r="A10" s="78" t="n">
        <v>5</v>
      </c>
      <c r="B10" s="1" t="n">
        <f aca="false">IF(D10=0, 0, IF(D10=1, A10, (D10*A10*$C$2)/($C$3*(1-D10)+$C$2*D10)))</f>
        <v>1.24617546736155</v>
      </c>
      <c r="C10" s="1" t="n">
        <f aca="false">A10-B10</f>
        <v>3.75382453263845</v>
      </c>
      <c r="D10" s="1" t="n">
        <v>0.2</v>
      </c>
      <c r="E10" s="78" t="n">
        <v>1.2412</v>
      </c>
      <c r="F10" s="78" t="n">
        <v>3.7506</v>
      </c>
      <c r="G10" s="78" t="n">
        <f aca="false">IFERROR((E10*purity_gamma/MW_gamma)/((E10*purity_gamma/MW_gamma)+(F10*purity_2octanone/MW_2octanone)),"")</f>
        <v>0.199336208745303</v>
      </c>
    </row>
    <row r="11" customFormat="false" ht="14.25" hidden="false" customHeight="true" outlineLevel="0" collapsed="false">
      <c r="A11" s="78" t="n">
        <v>5</v>
      </c>
      <c r="B11" s="1" t="n">
        <f aca="false">IF(D11=0, 0, IF(D11=1, A11, (D11*A11*$C$2)/($C$3*(1-D11)+$C$2*D11)))</f>
        <v>1.81345954467342</v>
      </c>
      <c r="C11" s="1" t="n">
        <f aca="false">A11-B11</f>
        <v>3.18654045532658</v>
      </c>
      <c r="D11" s="1" t="n">
        <v>0.3</v>
      </c>
      <c r="E11" s="78" t="n">
        <v>1.8</v>
      </c>
      <c r="F11" s="78" t="n">
        <v>3.1926</v>
      </c>
      <c r="G11" s="78" t="n">
        <f aca="false">IFERROR((E11*purity_gamma/MW_gamma)/((E11*purity_gamma/MW_gamma)+(F11*purity_2octanone/MW_2octanone)),"")</f>
        <v>0.297828465070332</v>
      </c>
    </row>
    <row r="12" customFormat="false" ht="14.25" hidden="false" customHeight="true" outlineLevel="0" collapsed="false">
      <c r="A12" s="78" t="n">
        <v>5</v>
      </c>
      <c r="B12" s="1" t="n">
        <f aca="false">IF(D12=0, 0, IF(D12=1, A12, (D12*A12*$C$2)/($C$3*(1-D12)+$C$2*D12)))</f>
        <v>2.34785486740309</v>
      </c>
      <c r="C12" s="1" t="n">
        <f aca="false">A12-B12</f>
        <v>2.65214513259691</v>
      </c>
      <c r="D12" s="1" t="n">
        <v>0.4</v>
      </c>
      <c r="E12" s="78" t="n">
        <v>2.2831</v>
      </c>
      <c r="F12" s="78" t="n">
        <v>2.6533</v>
      </c>
      <c r="G12" s="78" t="n">
        <f aca="false">IFERROR((E12*purity_gamma/MW_gamma)/((E12*purity_gamma/MW_gamma)+(F12*purity_2octanone/MW_2octanone)),"")</f>
        <v>0.392961388975423</v>
      </c>
    </row>
    <row r="13" customFormat="false" ht="14.25" hidden="false" customHeight="true" outlineLevel="0" collapsed="false">
      <c r="A13" s="78" t="n">
        <v>5</v>
      </c>
      <c r="B13" s="1" t="n">
        <f aca="false">IF(D13=0, 0, IF(D13=1, A13, (D13*A13*$C$2)/($C$3*(1-D13)+$C$2*D13)))</f>
        <v>2.85214099041748</v>
      </c>
      <c r="C13" s="1" t="n">
        <f aca="false">A13-B13</f>
        <v>2.14785900958252</v>
      </c>
      <c r="D13" s="1" t="n">
        <v>0.5</v>
      </c>
      <c r="E13" s="78" t="n">
        <v>2.8003</v>
      </c>
      <c r="F13" s="78" t="n">
        <v>2.1359</v>
      </c>
      <c r="G13" s="78" t="n">
        <f aca="false">IFERROR((E13*purity_gamma/MW_gamma)/((E13*purity_gamma/MW_gamma)+(F13*purity_2octanone/MW_2octanone)),"")</f>
        <v>0.496556902424305</v>
      </c>
    </row>
    <row r="14" customFormat="false" ht="14.25" hidden="false" customHeight="true" outlineLevel="0" collapsed="false">
      <c r="A14" s="78" t="n">
        <v>4</v>
      </c>
      <c r="B14" s="1" t="n">
        <f aca="false">IF(D14=0, 0, IF(D14=1, A14, (D14*A14*$C$2)/($C$3*(1-D14)+$C$2*D14)))</f>
        <v>2.66303426880613</v>
      </c>
      <c r="C14" s="1" t="n">
        <f aca="false">A14-B14</f>
        <v>1.33696573119387</v>
      </c>
      <c r="D14" s="1" t="n">
        <v>0.6</v>
      </c>
      <c r="E14" s="78" t="n">
        <v>2.6127</v>
      </c>
      <c r="F14" s="78" t="n">
        <v>1.3273</v>
      </c>
      <c r="G14" s="78" t="n">
        <f aca="false">IFERROR((E14*purity_gamma/MW_gamma)/((E14*purity_gamma/MW_gamma)+(F14*purity_2octanone/MW_2octanone)),"")</f>
        <v>0.596914769035954</v>
      </c>
    </row>
    <row r="15" customFormat="false" ht="14.25" hidden="false" customHeight="true" outlineLevel="0" collapsed="false">
      <c r="A15" s="78" t="n">
        <v>4</v>
      </c>
      <c r="B15" s="1" t="n">
        <f aca="false">IF(D15=0, 0, IF(D15=1, A15, (D15*A15*$C$2)/($C$3*(1-D15)+$C$2*D15)))</f>
        <v>3.02401705172611</v>
      </c>
      <c r="C15" s="1" t="n">
        <f aca="false">A15-B15</f>
        <v>0.975982948273893</v>
      </c>
      <c r="D15" s="1" t="n">
        <v>0.7</v>
      </c>
      <c r="E15" s="78" t="n">
        <v>2.988</v>
      </c>
      <c r="F15" s="78" t="n">
        <v>0.9928</v>
      </c>
      <c r="G15" s="78" t="n">
        <f aca="false">IFERROR((E15*purity_gamma/MW_gamma)/((E15*purity_gamma/MW_gamma)+(F15*purity_2octanone/MW_2octanone)),"")</f>
        <v>0.693645746213383</v>
      </c>
    </row>
    <row r="16" customFormat="false" ht="14.25" hidden="false" customHeight="true" outlineLevel="0" collapsed="false">
      <c r="A16" s="78" t="n">
        <v>3.7</v>
      </c>
      <c r="B16" s="1" t="n">
        <f aca="false">IF(D16=0, 0, IF(D16=1, A16, (D16*A16*$C$2)/($C$3*(1-D16)+$C$2*D16)))</f>
        <v>3.11377763497732</v>
      </c>
      <c r="C16" s="1" t="n">
        <f aca="false">A16-B16</f>
        <v>0.586222365022676</v>
      </c>
      <c r="D16" s="1" t="n">
        <v>0.8</v>
      </c>
      <c r="E16" s="78" t="n">
        <v>3.0333</v>
      </c>
      <c r="F16" s="78" t="n">
        <v>0.6008</v>
      </c>
      <c r="G16" s="78" t="n">
        <f aca="false">IFERROR((E16*purity_gamma/MW_gamma)/((E16*purity_gamma/MW_gamma)+(F16*purity_2octanone/MW_2octanone)),"")</f>
        <v>0.791589499778559</v>
      </c>
    </row>
    <row r="17" customFormat="false" ht="14.25" hidden="false" customHeight="true" outlineLevel="0" collapsed="false">
      <c r="A17" s="78" t="n">
        <v>3.7</v>
      </c>
      <c r="B17" s="1" t="n">
        <f aca="false">IF(D17=0, 0, IF(D17=1, A17, (D17*A17*$C$2)/($C$3*(1-D17)+$C$2*D17)))</f>
        <v>3.41430989003047</v>
      </c>
      <c r="C17" s="1" t="n">
        <f aca="false">A17-B17</f>
        <v>0.285690109969527</v>
      </c>
      <c r="D17" s="1" t="n">
        <v>0.9</v>
      </c>
      <c r="E17" s="78" t="n">
        <v>3.3791</v>
      </c>
      <c r="F17" s="78" t="n">
        <v>0.2889</v>
      </c>
      <c r="G17" s="78" t="n">
        <f aca="false">IFERROR((E17*purity_gamma/MW_gamma)/((E17*purity_gamma/MW_gamma)+(F17*purity_2octanone/MW_2octanone)),"")</f>
        <v>0.897951971652888</v>
      </c>
    </row>
    <row r="18" customFormat="false" ht="14.25" hidden="false" customHeight="true" outlineLevel="0" collapsed="false">
      <c r="A18" s="78" t="n">
        <v>5</v>
      </c>
      <c r="B18" s="1" t="n">
        <f aca="false">IF(D18=0, 0, IF(D18=1, A18, (D18*A18*$C$2)/($C$3*(1-D18)+$C$2*D18)))</f>
        <v>5</v>
      </c>
      <c r="C18" s="1" t="n">
        <f aca="false">A18-B18</f>
        <v>0</v>
      </c>
      <c r="D18" s="1" t="n">
        <v>1</v>
      </c>
      <c r="E18" s="78" t="n">
        <v>1</v>
      </c>
      <c r="F18" s="78" t="n">
        <v>0</v>
      </c>
      <c r="G18" s="78" t="n">
        <f aca="false">IF(AND(E18&gt;0,F18=0),1,IFERROR((E18/MW_gamma)/((E18/MW_gamma)+(F18/MW_2octanone)),""))</f>
        <v>1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78" t="s">
        <v>303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</row>
    <row r="21" customFormat="false" ht="14.25" hidden="false" customHeight="true" outlineLevel="0" collapsed="false">
      <c r="A21" s="78"/>
      <c r="B21" s="78" t="s">
        <v>212</v>
      </c>
      <c r="G21" s="78" t="s">
        <v>284</v>
      </c>
    </row>
    <row r="22" customFormat="false" ht="14.25" hidden="false" customHeight="true" outlineLevel="0" collapsed="false">
      <c r="A22" s="78" t="s">
        <v>285</v>
      </c>
      <c r="B22" s="78" t="n">
        <v>20</v>
      </c>
      <c r="C22" s="92" t="n">
        <v>30</v>
      </c>
      <c r="D22" s="78" t="n">
        <v>40</v>
      </c>
      <c r="E22" s="92" t="n">
        <v>50</v>
      </c>
      <c r="F22" s="78" t="n">
        <v>60</v>
      </c>
      <c r="G22" s="78" t="n">
        <v>20</v>
      </c>
      <c r="H22" s="92" t="n">
        <v>30</v>
      </c>
      <c r="I22" s="78" t="n">
        <v>40</v>
      </c>
      <c r="J22" s="92" t="n">
        <v>50</v>
      </c>
      <c r="K22" s="78" t="n">
        <v>60</v>
      </c>
    </row>
    <row r="23" customFormat="false" ht="14.25" hidden="false" customHeight="true" outlineLevel="0" collapsed="false">
      <c r="A23" s="78" t="n">
        <f aca="false">G8</f>
        <v>0</v>
      </c>
      <c r="B23" s="78" t="n">
        <f aca="false">densidad_viscosidad_puros!G55</f>
        <v>0.81906</v>
      </c>
      <c r="C23" s="78" t="n">
        <f aca="false">densidad_viscosidad_puros!G56</f>
        <v>0.81089</v>
      </c>
      <c r="D23" s="78" t="n">
        <f aca="false">densidad_viscosidad_puros!G57</f>
        <v>0.80264</v>
      </c>
      <c r="E23" s="78" t="n">
        <f aca="false">densidad_viscosidad_puros!G58</f>
        <v>0.79435</v>
      </c>
      <c r="F23" s="78" t="n">
        <f aca="false">densidad_viscosidad_puros!G59</f>
        <v>0.78598</v>
      </c>
      <c r="G23" s="78" t="n">
        <f aca="false">IFERROR((($A23*MW_gamma)+((1-$A23)*MW_2octanone))/B23-(($A23*MW_gamma/B$33)+((1-$A23)*MW_2octanone/B$23)),"")</f>
        <v>0</v>
      </c>
      <c r="H23" s="78" t="n">
        <f aca="false">IFERROR((($A23*MW_gamma)+((1-$A23)*MW_2octanone))/C23-(($A23*MW_gamma/C$33)+((1-$A23)*MW_2octanone/C$23)),"")</f>
        <v>0</v>
      </c>
      <c r="I23" s="78" t="n">
        <f aca="false">IFERROR((($A23*MW_gamma)+((1-$A23)*MW_2octanone))/D23-(($A23*MW_gamma/D$33)+((1-$A23)*MW_2octanone/D$23)),"")</f>
        <v>0</v>
      </c>
      <c r="J23" s="78" t="n">
        <f aca="false">IFERROR((($A23*MW_gamma)+((1-$A23)*MW_2octanone))/E23-(($A23*MW_gamma/E$33)+((1-$A23)*MW_2octanone/E$23)),"")</f>
        <v>0</v>
      </c>
      <c r="K23" s="78" t="n">
        <f aca="false">IFERROR((($A23*MW_gamma)+((1-$A23)*MW_2octanone))/F23-(($A23*MW_gamma/F$33)+((1-$A23)*MW_2octanone/F$23)),"")</f>
        <v>0</v>
      </c>
    </row>
    <row r="24" customFormat="false" ht="14.25" hidden="false" customHeight="true" outlineLevel="0" collapsed="false">
      <c r="A24" s="78" t="n">
        <f aca="false">G9</f>
        <v>0.0985369142533046</v>
      </c>
      <c r="B24" s="78" t="n">
        <v>0.83426</v>
      </c>
      <c r="C24" s="78" t="n">
        <v>0.82612</v>
      </c>
      <c r="D24" s="78" t="n">
        <v>0.81796</v>
      </c>
      <c r="E24" s="78" t="n">
        <v>0.80974</v>
      </c>
      <c r="F24" s="78" t="n">
        <v>0.80148</v>
      </c>
      <c r="G24" s="78" t="n">
        <f aca="false">IFERROR((($A24*MW_gamma)+((1-$A24)*MW_2octanone))/B24-(($A24*MW_gamma/B$33)+((1-$A24)*MW_2octanone/B$23)),"")</f>
        <v>-0.066975964679898</v>
      </c>
      <c r="H24" s="78" t="n">
        <f aca="false">IFERROR((($A24*MW_gamma)+((1-$A24)*MW_2octanone))/C24-(($A24*MW_gamma/C$33)+((1-$A24)*MW_2octanone/C$23)),"")</f>
        <v>-0.0662900881988549</v>
      </c>
      <c r="I24" s="78" t="n">
        <f aca="false">IFERROR((($A24*MW_gamma)+((1-$A24)*MW_2octanone))/D24-(($A24*MW_gamma/D$33)+((1-$A24)*MW_2octanone/D$23)),"")</f>
        <v>-0.0772416586306122</v>
      </c>
      <c r="J24" s="78" t="n">
        <f aca="false">IFERROR((($A24*MW_gamma)+((1-$A24)*MW_2octanone))/E24-(($A24*MW_gamma/E$33)+((1-$A24)*MW_2octanone/E$23)),"")</f>
        <v>-0.0837972020999587</v>
      </c>
      <c r="K24" s="78" t="n">
        <f aca="false">IFERROR((($A24*MW_gamma)+((1-$A24)*MW_2octanone))/F24-(($A24*MW_gamma/F$33)+((1-$A24)*MW_2octanone/F$23)),"")</f>
        <v>-0.0978924462474424</v>
      </c>
    </row>
    <row r="25" customFormat="false" ht="14.25" hidden="false" customHeight="true" outlineLevel="0" collapsed="false">
      <c r="A25" s="78" t="n">
        <f aca="false">G10</f>
        <v>0.199336208745303</v>
      </c>
      <c r="B25" s="78" t="n">
        <v>0.8493</v>
      </c>
      <c r="C25" s="78" t="n">
        <v>0.84129</v>
      </c>
      <c r="D25" s="78" t="n">
        <v>0.83321</v>
      </c>
      <c r="E25" s="78" t="n">
        <v>0.82508</v>
      </c>
      <c r="F25" s="78" t="n">
        <v>0.81691</v>
      </c>
      <c r="G25" s="78" t="n">
        <f aca="false">IFERROR((($A25*MW_gamma)+((1-$A25)*MW_2octanone))/B25-(($A25*MW_gamma/B$33)+((1-$A25)*MW_2octanone/B$23)),"")</f>
        <v>-0.117392123530124</v>
      </c>
      <c r="H25" s="78" t="n">
        <f aca="false">IFERROR((($A25*MW_gamma)+((1-$A25)*MW_2octanone))/C25-(($A25*MW_gamma/C$33)+((1-$A25)*MW_2octanone/C$23)),"")</f>
        <v>-0.133694826538374</v>
      </c>
      <c r="I25" s="78" t="n">
        <f aca="false">IFERROR((($A25*MW_gamma)+((1-$A25)*MW_2octanone))/D25-(($A25*MW_gamma/D$33)+((1-$A25)*MW_2octanone/D$23)),"")</f>
        <v>-0.15214532741993</v>
      </c>
      <c r="J25" s="78" t="n">
        <f aca="false">IFERROR((($A25*MW_gamma)+((1-$A25)*MW_2octanone))/E25-(($A25*MW_gamma/E$33)+((1-$A25)*MW_2octanone/E$23)),"")</f>
        <v>-0.167650002908658</v>
      </c>
      <c r="K25" s="78" t="n">
        <f aca="false">IFERROR((($A25*MW_gamma)+((1-$A25)*MW_2octanone))/F25-(($A25*MW_gamma/F$33)+((1-$A25)*MW_2octanone/F$23)),"")</f>
        <v>-0.189945361427277</v>
      </c>
    </row>
    <row r="26" customFormat="false" ht="14.25" hidden="false" customHeight="true" outlineLevel="0" collapsed="false">
      <c r="A26" s="78" t="n">
        <f aca="false">G11</f>
        <v>0.297828465070332</v>
      </c>
      <c r="B26" s="78" t="n">
        <v>0.86363</v>
      </c>
      <c r="C26" s="78" t="n">
        <v>0.85559</v>
      </c>
      <c r="D26" s="78" t="n">
        <v>0.84758</v>
      </c>
      <c r="E26" s="78" t="n">
        <v>0.83953</v>
      </c>
      <c r="F26" s="78" t="n">
        <v>0.83143</v>
      </c>
      <c r="G26" s="78" t="n">
        <f aca="false">IFERROR((($A26*MW_gamma)+((1-$A26)*MW_2octanone))/B26-(($A26*MW_gamma/B$33)+((1-$A26)*MW_2octanone/B$23)),"")</f>
        <v>-0.170982624804765</v>
      </c>
      <c r="H26" s="78" t="n">
        <f aca="false">IFERROR((($A26*MW_gamma)+((1-$A26)*MW_2octanone))/C26-(($A26*MW_gamma/C$33)+((1-$A26)*MW_2octanone/C$23)),"")</f>
        <v>-0.172647765254396</v>
      </c>
      <c r="I26" s="78" t="n">
        <f aca="false">IFERROR((($A26*MW_gamma)+((1-$A26)*MW_2octanone))/D26-(($A26*MW_gamma/D$33)+((1-$A26)*MW_2octanone/D$23)),"")</f>
        <v>-0.19517879686984</v>
      </c>
      <c r="J26" s="78" t="n">
        <f aca="false">IFERROR((($A26*MW_gamma)+((1-$A26)*MW_2octanone))/E26-(($A26*MW_gamma/E$33)+((1-$A26)*MW_2octanone/E$23)),"")</f>
        <v>-0.21602656377911</v>
      </c>
      <c r="K26" s="78" t="n">
        <f aca="false">IFERROR((($A26*MW_gamma)+((1-$A26)*MW_2octanone))/F26-(($A26*MW_gamma/F$33)+((1-$A26)*MW_2octanone/F$23)),"")</f>
        <v>-0.240705277038217</v>
      </c>
    </row>
    <row r="27" customFormat="false" ht="14.25" hidden="false" customHeight="true" outlineLevel="0" collapsed="false">
      <c r="A27" s="78" t="n">
        <f aca="false">G12</f>
        <v>0.392961388975423</v>
      </c>
      <c r="B27" s="78" t="n">
        <v>0.87686</v>
      </c>
      <c r="C27" s="78" t="n">
        <v>0.86898</v>
      </c>
      <c r="D27" s="78" t="n">
        <v>0.86103</v>
      </c>
      <c r="E27" s="78" t="n">
        <v>0.85306</v>
      </c>
      <c r="F27" s="78" t="n">
        <v>0.84504</v>
      </c>
      <c r="G27" s="78" t="n">
        <f aca="false">IFERROR((($A27*MW_gamma)+((1-$A27)*MW_2octanone))/B27-(($A27*MW_gamma/B$33)+((1-$A27)*MW_2octanone/B$23)),"")</f>
        <v>-0.173692860079228</v>
      </c>
      <c r="H27" s="78" t="n">
        <f aca="false">IFERROR((($A27*MW_gamma)+((1-$A27)*MW_2octanone))/C27-(($A27*MW_gamma/C$33)+((1-$A27)*MW_2octanone/C$23)),"")</f>
        <v>-0.195775928493305</v>
      </c>
      <c r="I27" s="78" t="n">
        <f aca="false">IFERROR((($A27*MW_gamma)+((1-$A27)*MW_2octanone))/D27-(($A27*MW_gamma/D$33)+((1-$A27)*MW_2octanone/D$23)),"")</f>
        <v>-0.219569678763492</v>
      </c>
      <c r="J27" s="78" t="n">
        <f aca="false">IFERROR((($A27*MW_gamma)+((1-$A27)*MW_2octanone))/E27-(($A27*MW_gamma/E$33)+((1-$A27)*MW_2octanone/E$23)),"")</f>
        <v>-0.244797244553979</v>
      </c>
      <c r="K27" s="78" t="n">
        <f aca="false">IFERROR((($A27*MW_gamma)+((1-$A27)*MW_2octanone))/F27-(($A27*MW_gamma/F$33)+((1-$A27)*MW_2octanone/F$23)),"")</f>
        <v>-0.27289500031381</v>
      </c>
    </row>
    <row r="28" customFormat="false" ht="14.25" hidden="false" customHeight="true" outlineLevel="0" collapsed="false">
      <c r="A28" s="78" t="n">
        <f aca="false">G13</f>
        <v>0.496556902424305</v>
      </c>
      <c r="B28" s="78" t="n">
        <v>0.89087</v>
      </c>
      <c r="C28" s="78" t="n">
        <v>0.88305</v>
      </c>
      <c r="D28" s="78" t="n">
        <v>0.87517</v>
      </c>
      <c r="E28" s="78" t="n">
        <v>0.86727</v>
      </c>
      <c r="F28" s="78" t="n">
        <v>0.85933</v>
      </c>
      <c r="G28" s="78" t="n">
        <f aca="false">IFERROR((($A28*MW_gamma)+((1-$A28)*MW_2octanone))/B28-(($A28*MW_gamma/B$33)+((1-$A28)*MW_2octanone/B$23)),"")</f>
        <v>-0.173116469647653</v>
      </c>
      <c r="H28" s="78" t="n">
        <f aca="false">IFERROR((($A28*MW_gamma)+((1-$A28)*MW_2octanone))/C28-(($A28*MW_gamma/C$33)+((1-$A28)*MW_2octanone/C$23)),"")</f>
        <v>-0.194585370142136</v>
      </c>
      <c r="I28" s="78" t="n">
        <f aca="false">IFERROR((($A28*MW_gamma)+((1-$A28)*MW_2octanone))/D28-(($A28*MW_gamma/D$33)+((1-$A28)*MW_2octanone/D$23)),"")</f>
        <v>-0.21927700193288</v>
      </c>
      <c r="J28" s="78" t="n">
        <f aca="false">IFERROR((($A28*MW_gamma)+((1-$A28)*MW_2octanone))/E28-(($A28*MW_gamma/E$33)+((1-$A28)*MW_2octanone/E$23)),"")</f>
        <v>-0.244395854111872</v>
      </c>
      <c r="K28" s="78" t="n">
        <f aca="false">IFERROR((($A28*MW_gamma)+((1-$A28)*MW_2octanone))/F28-(($A28*MW_gamma/F$33)+((1-$A28)*MW_2octanone/F$23)),"")</f>
        <v>-0.273125731506298</v>
      </c>
    </row>
    <row r="29" customFormat="false" ht="14.25" hidden="false" customHeight="true" outlineLevel="0" collapsed="false">
      <c r="A29" s="78" t="n">
        <f aca="false">G14</f>
        <v>0.596914769035954</v>
      </c>
      <c r="B29" s="78" t="n">
        <v>0.90402</v>
      </c>
      <c r="C29" s="78" t="n">
        <v>0.89621</v>
      </c>
      <c r="D29" s="78" t="n">
        <v>0.88839</v>
      </c>
      <c r="E29" s="78" t="n">
        <v>0.88055</v>
      </c>
      <c r="F29" s="78" t="n">
        <v>0.87268</v>
      </c>
      <c r="G29" s="78" t="n">
        <f aca="false">IFERROR((($A29*MW_gamma)+((1-$A29)*MW_2octanone))/B29-(($A29*MW_gamma/B$33)+((1-$A29)*MW_2octanone/B$23)),"")</f>
        <v>-0.161147882032736</v>
      </c>
      <c r="H29" s="78" t="n">
        <f aca="false">IFERROR((($A29*MW_gamma)+((1-$A29)*MW_2octanone))/C29-(($A29*MW_gamma/C$33)+((1-$A29)*MW_2octanone/C$23)),"")</f>
        <v>-0.171897586569173</v>
      </c>
      <c r="I29" s="78" t="n">
        <f aca="false">IFERROR((($A29*MW_gamma)+((1-$A29)*MW_2octanone))/D29-(($A29*MW_gamma/D$33)+((1-$A29)*MW_2octanone/D$23)),"")</f>
        <v>-0.194763006543212</v>
      </c>
      <c r="J29" s="78" t="n">
        <f aca="false">IFERROR((($A29*MW_gamma)+((1-$A29)*MW_2octanone))/E29-(($A29*MW_gamma/E$33)+((1-$A29)*MW_2octanone/E$23)),"")</f>
        <v>-0.216950739495076</v>
      </c>
      <c r="K29" s="78" t="n">
        <f aca="false">IFERROR((($A29*MW_gamma)+((1-$A29)*MW_2octanone))/F29-(($A29*MW_gamma/F$33)+((1-$A29)*MW_2octanone/F$23)),"")</f>
        <v>-0.243376326953495</v>
      </c>
    </row>
    <row r="30" customFormat="false" ht="14.25" hidden="false" customHeight="true" outlineLevel="0" collapsed="false">
      <c r="A30" s="78" t="n">
        <f aca="false">G15</f>
        <v>0.693645746213383</v>
      </c>
      <c r="B30" s="78" t="n">
        <v>0.91634</v>
      </c>
      <c r="C30" s="78" t="n">
        <v>0.90857</v>
      </c>
      <c r="D30" s="78" t="n">
        <v>0.9008</v>
      </c>
      <c r="E30" s="78" t="n">
        <v>0.893</v>
      </c>
      <c r="F30" s="78" t="n">
        <v>0.8852</v>
      </c>
      <c r="G30" s="78" t="n">
        <f aca="false">IFERROR((($A30*MW_gamma)+((1-$A30)*MW_2octanone))/B30-(($A30*MW_gamma/B$33)+((1-$A30)*MW_2octanone/B$23)),"")</f>
        <v>-0.143774337496808</v>
      </c>
      <c r="H30" s="78" t="n">
        <f aca="false">IFERROR((($A30*MW_gamma)+((1-$A30)*MW_2octanone))/C30-(($A30*MW_gamma/C$33)+((1-$A30)*MW_2octanone/C$23)),"")</f>
        <v>-0.149286972224189</v>
      </c>
      <c r="I30" s="78" t="n">
        <f aca="false">IFERROR((($A30*MW_gamma)+((1-$A30)*MW_2octanone))/D30-(($A30*MW_gamma/D$33)+((1-$A30)*MW_2octanone/D$23)),"")</f>
        <v>-0.168210435918581</v>
      </c>
      <c r="J30" s="78" t="n">
        <f aca="false">IFERROR((($A30*MW_gamma)+((1-$A30)*MW_2octanone))/E30-(($A30*MW_gamma/E$33)+((1-$A30)*MW_2octanone/E$23)),"")</f>
        <v>-0.183313516123633</v>
      </c>
      <c r="K30" s="78" t="n">
        <f aca="false">IFERROR((($A30*MW_gamma)+((1-$A30)*MW_2octanone))/F30-(($A30*MW_gamma/F$33)+((1-$A30)*MW_2octanone/F$23)),"")</f>
        <v>-0.207156833168739</v>
      </c>
    </row>
    <row r="31" customFormat="false" ht="14.25" hidden="false" customHeight="true" outlineLevel="0" collapsed="false">
      <c r="A31" s="78" t="n">
        <f aca="false">G16</f>
        <v>0.791589499778559</v>
      </c>
      <c r="B31" s="78" t="n">
        <v>0.92833</v>
      </c>
      <c r="C31" s="78" t="n">
        <v>0.92069</v>
      </c>
      <c r="D31" s="78" t="n">
        <v>0.91298</v>
      </c>
      <c r="E31" s="78" t="n">
        <v>0.90525</v>
      </c>
      <c r="F31" s="78" t="n">
        <v>0.89751</v>
      </c>
      <c r="G31" s="78" t="n">
        <f aca="false">IFERROR((($A31*MW_gamma)+((1-$A31)*MW_2octanone))/B31-(($A31*MW_gamma/B$33)+((1-$A31)*MW_2octanone/B$23)),"")</f>
        <v>-0.0937745785738002</v>
      </c>
      <c r="H31" s="78" t="n">
        <f aca="false">IFERROR((($A31*MW_gamma)+((1-$A31)*MW_2octanone))/C31-(($A31*MW_gamma/C$33)+((1-$A31)*MW_2octanone/C$23)),"")</f>
        <v>-0.109937888744383</v>
      </c>
      <c r="I31" s="78" t="n">
        <f aca="false">IFERROR((($A31*MW_gamma)+((1-$A31)*MW_2octanone))/D31-(($A31*MW_gamma/D$33)+((1-$A31)*MW_2octanone/D$23)),"")</f>
        <v>-0.125821194659778</v>
      </c>
      <c r="J31" s="78" t="n">
        <f aca="false">IFERROR((($A31*MW_gamma)+((1-$A31)*MW_2octanone))/E31-(($A31*MW_gamma/E$33)+((1-$A31)*MW_2octanone/E$23)),"")</f>
        <v>-0.138684265036972</v>
      </c>
      <c r="K31" s="78" t="n">
        <f aca="false">IFERROR((($A31*MW_gamma)+((1-$A31)*MW_2octanone))/F31-(($A31*MW_gamma/F$33)+((1-$A31)*MW_2octanone/F$23)),"")</f>
        <v>-0.156880090865286</v>
      </c>
    </row>
    <row r="32" customFormat="false" ht="14.25" hidden="false" customHeight="true" outlineLevel="0" collapsed="false">
      <c r="A32" s="78" t="n">
        <f aca="false">G17</f>
        <v>0.897951971652888</v>
      </c>
      <c r="B32" s="78" t="n">
        <v>0.94095</v>
      </c>
      <c r="C32" s="78" t="n">
        <v>0.93332</v>
      </c>
      <c r="D32" s="78" t="n">
        <v>0.92567</v>
      </c>
      <c r="E32" s="78" t="n">
        <v>0.91801</v>
      </c>
      <c r="F32" s="78" t="n">
        <v>0.91032</v>
      </c>
      <c r="G32" s="78" t="n">
        <f aca="false">IFERROR((($A32*MW_gamma)+((1-$A32)*MW_2octanone))/B32-(($A32*MW_gamma/B$33)+((1-$A32)*MW_2octanone/B$23)),"")</f>
        <v>-0.0283955554602926</v>
      </c>
      <c r="H32" s="78" t="n">
        <f aca="false">IFERROR((($A32*MW_gamma)+((1-$A32)*MW_2octanone))/C32-(($A32*MW_gamma/C$33)+((1-$A32)*MW_2octanone/C$23)),"")</f>
        <v>-0.0303991942210189</v>
      </c>
      <c r="I32" s="78" t="n">
        <f aca="false">IFERROR((($A32*MW_gamma)+((1-$A32)*MW_2octanone))/D32-(($A32*MW_gamma/D$33)+((1-$A32)*MW_2octanone/D$23)),"")</f>
        <v>-0.0407755293801984</v>
      </c>
      <c r="J32" s="78" t="n">
        <f aca="false">IFERROR((($A32*MW_gamma)+((1-$A32)*MW_2octanone))/E32-(($A32*MW_gamma/E$33)+((1-$A32)*MW_2octanone/E$23)),"")</f>
        <v>-0.0487288130642583</v>
      </c>
      <c r="K32" s="78" t="n">
        <f aca="false">IFERROR((($A32*MW_gamma)+((1-$A32)*MW_2octanone))/F32-(($A32*MW_gamma/F$33)+((1-$A32)*MW_2octanone/F$23)),"")</f>
        <v>-0.0563796006775306</v>
      </c>
    </row>
    <row r="33" customFormat="false" ht="14.25" hidden="false" customHeight="true" outlineLevel="0" collapsed="false">
      <c r="A33" s="78" t="n">
        <f aca="false">G18</f>
        <v>1</v>
      </c>
      <c r="B33" s="78" t="n">
        <f aca="false">densidad_viscosidad_puros!G85</f>
        <v>0.95292</v>
      </c>
      <c r="C33" s="78" t="n">
        <f aca="false">densidad_viscosidad_puros!G86</f>
        <v>0.94536</v>
      </c>
      <c r="D33" s="78" t="n">
        <f aca="false">densidad_viscosidad_puros!G87</f>
        <v>0.93774</v>
      </c>
      <c r="E33" s="78" t="n">
        <f aca="false">densidad_viscosidad_puros!G88</f>
        <v>0.93013</v>
      </c>
      <c r="F33" s="78" t="n">
        <f aca="false">densidad_viscosidad_puros!G89</f>
        <v>0.9225</v>
      </c>
      <c r="G33" s="78" t="n">
        <f aca="false">IFERROR((($A33*MW_gamma)+((1-$A33)*MW_2octanone))/B33-(($A33*MW_gamma/B$33)+((1-$A33)*MW_2octanone/B$23)),"")</f>
        <v>0</v>
      </c>
      <c r="H33" s="78" t="n">
        <f aca="false">IFERROR((($A33*MW_gamma)+((1-$A33)*MW_2octanone))/C33-(($A33*MW_gamma/C$33)+((1-$A33)*MW_2octanone/C$23)),"")</f>
        <v>0</v>
      </c>
      <c r="I33" s="78" t="n">
        <f aca="false">IFERROR((($A33*MW_gamma)+((1-$A33)*MW_2octanone))/D33-(($A33*MW_gamma/D$33)+((1-$A33)*MW_2octanone/D$23)),"")</f>
        <v>0</v>
      </c>
      <c r="J33" s="78" t="n">
        <f aca="false">IFERROR((($A33*MW_gamma)+((1-$A33)*MW_2octanone))/E33-(($A33*MW_gamma/E$33)+((1-$A33)*MW_2octanone/E$23)),"")</f>
        <v>0</v>
      </c>
      <c r="K33" s="78" t="n">
        <f aca="false">IFERROR((($A33*MW_gamma)+((1-$A33)*MW_2octanone))/F33-(($A33*MW_gamma/F$33)+((1-$A33)*MW_2octanone/F$23)),"")</f>
        <v>0</v>
      </c>
    </row>
    <row r="34" customFormat="false" ht="14.25" hidden="false" customHeight="true" outlineLevel="0" collapsed="false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</row>
    <row r="35" customFormat="false" ht="14.25" hidden="false" customHeight="true" outlineLevel="0" collapsed="false">
      <c r="A35" s="78"/>
      <c r="B35" s="78" t="s">
        <v>214</v>
      </c>
      <c r="G35" s="78"/>
      <c r="H35" s="78"/>
      <c r="I35" s="78"/>
      <c r="J35" s="78"/>
      <c r="K35" s="78"/>
    </row>
    <row r="36" customFormat="false" ht="14.25" hidden="false" customHeight="true" outlineLevel="0" collapsed="false">
      <c r="A36" s="78" t="s">
        <v>285</v>
      </c>
      <c r="B36" s="78" t="n">
        <v>20</v>
      </c>
      <c r="C36" s="92" t="n">
        <v>30</v>
      </c>
      <c r="D36" s="78" t="n">
        <v>40</v>
      </c>
      <c r="E36" s="92" t="n">
        <v>50</v>
      </c>
      <c r="F36" s="78" t="n">
        <v>60</v>
      </c>
      <c r="G36" s="78"/>
      <c r="H36" s="92"/>
      <c r="I36" s="78"/>
      <c r="J36" s="92"/>
      <c r="K36" s="78"/>
    </row>
    <row r="37" customFormat="false" ht="14.25" hidden="false" customHeight="true" outlineLevel="0" collapsed="false">
      <c r="A37" s="78" t="n">
        <f aca="false">G8</f>
        <v>0</v>
      </c>
      <c r="B37" s="78" t="n">
        <f aca="false">densidad_viscosidad_puros!I55</f>
        <v>1.01</v>
      </c>
      <c r="C37" s="78" t="n">
        <f aca="false">densidad_viscosidad_puros!I56</f>
        <v>0.869</v>
      </c>
      <c r="D37" s="78" t="n">
        <f aca="false">densidad_viscosidad_puros!I57</f>
        <v>0.758</v>
      </c>
      <c r="E37" s="78" t="n">
        <f aca="false">densidad_viscosidad_puros!I58</f>
        <v>0.668</v>
      </c>
      <c r="F37" s="78" t="n">
        <f aca="false">densidad_viscosidad_puros!I59</f>
        <v>0.595</v>
      </c>
      <c r="G37" s="78"/>
      <c r="H37" s="78"/>
      <c r="I37" s="78"/>
      <c r="J37" s="78"/>
      <c r="K37" s="78"/>
    </row>
    <row r="38" customFormat="false" ht="14.25" hidden="false" customHeight="true" outlineLevel="0" collapsed="false">
      <c r="A38" s="78" t="n">
        <f aca="false">G9</f>
        <v>0.0985369142533046</v>
      </c>
      <c r="B38" s="78" t="n">
        <v>1.23</v>
      </c>
      <c r="C38" s="78" t="n">
        <v>1.045</v>
      </c>
      <c r="D38" s="78" t="n">
        <v>0.902</v>
      </c>
      <c r="E38" s="78" t="n">
        <v>0.787</v>
      </c>
      <c r="F38" s="78" t="n">
        <v>0.695</v>
      </c>
      <c r="G38" s="78"/>
      <c r="H38" s="78"/>
      <c r="I38" s="78"/>
      <c r="J38" s="78"/>
      <c r="K38" s="78"/>
    </row>
    <row r="39" customFormat="false" ht="14.25" hidden="false" customHeight="true" outlineLevel="0" collapsed="false">
      <c r="A39" s="78" t="n">
        <f aca="false">G10</f>
        <v>0.199336208745303</v>
      </c>
      <c r="B39" s="78" t="n">
        <v>1.479</v>
      </c>
      <c r="C39" s="78" t="n">
        <v>1.22</v>
      </c>
      <c r="D39" s="78" t="n">
        <v>1.042</v>
      </c>
      <c r="E39" s="78" t="n">
        <v>0.903</v>
      </c>
      <c r="F39" s="78" t="n">
        <v>0.792</v>
      </c>
      <c r="G39" s="78"/>
      <c r="H39" s="78"/>
      <c r="I39" s="78"/>
      <c r="J39" s="78"/>
      <c r="K39" s="78"/>
    </row>
    <row r="40" customFormat="false" ht="14.25" hidden="false" customHeight="true" outlineLevel="0" collapsed="false">
      <c r="A40" s="78" t="n">
        <f aca="false">G11</f>
        <v>0.297828465070332</v>
      </c>
      <c r="B40" s="78" t="n">
        <v>1.716</v>
      </c>
      <c r="C40" s="78" t="n">
        <v>1.421</v>
      </c>
      <c r="D40" s="78" t="n">
        <v>1.201</v>
      </c>
      <c r="E40" s="78" t="n">
        <v>1.032</v>
      </c>
      <c r="F40" s="78" t="n">
        <v>0.899</v>
      </c>
      <c r="G40" s="78"/>
      <c r="H40" s="78"/>
      <c r="I40" s="78"/>
      <c r="J40" s="78"/>
      <c r="K40" s="78"/>
    </row>
    <row r="41" customFormat="false" ht="14.25" hidden="false" customHeight="true" outlineLevel="0" collapsed="false">
      <c r="A41" s="78" t="n">
        <f aca="false">G12</f>
        <v>0.392961388975423</v>
      </c>
      <c r="B41" s="78" t="n">
        <v>2.032</v>
      </c>
      <c r="C41" s="78" t="n">
        <v>1.661</v>
      </c>
      <c r="D41" s="78" t="n">
        <v>1.389</v>
      </c>
      <c r="E41" s="78" t="n">
        <v>1.182</v>
      </c>
      <c r="F41" s="78" t="n">
        <v>1.022</v>
      </c>
      <c r="G41" s="78"/>
      <c r="H41" s="78"/>
      <c r="I41" s="78"/>
      <c r="J41" s="78"/>
      <c r="K41" s="78"/>
    </row>
    <row r="42" customFormat="false" ht="14.25" hidden="false" customHeight="true" outlineLevel="0" collapsed="false">
      <c r="A42" s="78" t="n">
        <f aca="false">G13</f>
        <v>0.496556902424305</v>
      </c>
      <c r="B42" s="78" t="n">
        <v>2.44</v>
      </c>
      <c r="C42" s="78" t="n">
        <v>1.968</v>
      </c>
      <c r="D42" s="78" t="n">
        <v>1.625</v>
      </c>
      <c r="E42" s="78" t="n">
        <v>1.369</v>
      </c>
      <c r="F42" s="78" t="n">
        <v>1.173</v>
      </c>
      <c r="G42" s="78"/>
      <c r="H42" s="78"/>
      <c r="I42" s="78"/>
      <c r="J42" s="78"/>
      <c r="K42" s="78"/>
    </row>
    <row r="43" customFormat="false" ht="14.25" hidden="false" customHeight="true" outlineLevel="0" collapsed="false">
      <c r="A43" s="78" t="n">
        <f aca="false">G14</f>
        <v>0.596914769035954</v>
      </c>
      <c r="B43" s="78" t="n">
        <v>2.945</v>
      </c>
      <c r="C43" s="78" t="n">
        <v>2.336</v>
      </c>
      <c r="D43" s="78" t="n">
        <v>1.902</v>
      </c>
      <c r="E43" s="78" t="n">
        <v>1.584</v>
      </c>
      <c r="F43" s="78" t="n">
        <v>1.344</v>
      </c>
      <c r="G43" s="78"/>
      <c r="H43" s="78"/>
      <c r="I43" s="78"/>
      <c r="J43" s="78"/>
      <c r="K43" s="78"/>
    </row>
    <row r="44" customFormat="false" ht="14.25" hidden="false" customHeight="true" outlineLevel="0" collapsed="false">
      <c r="A44" s="78" t="n">
        <f aca="false">G15</f>
        <v>0.693645746213383</v>
      </c>
      <c r="B44" s="78" t="n">
        <v>3.543</v>
      </c>
      <c r="C44" s="78" t="n">
        <v>2.764</v>
      </c>
      <c r="D44" s="78" t="n">
        <v>2.221</v>
      </c>
      <c r="E44" s="78" t="n">
        <v>1.829</v>
      </c>
      <c r="F44" s="78" t="n">
        <v>1.536</v>
      </c>
      <c r="G44" s="78"/>
      <c r="H44" s="78"/>
      <c r="I44" s="78"/>
      <c r="J44" s="78"/>
      <c r="K44" s="78"/>
    </row>
    <row r="45" customFormat="false" ht="14.25" hidden="false" customHeight="true" outlineLevel="0" collapsed="false">
      <c r="A45" s="78" t="n">
        <f aca="false">G16</f>
        <v>0.791589499778559</v>
      </c>
      <c r="B45" s="78" t="n">
        <v>4.302</v>
      </c>
      <c r="C45" s="78" t="n">
        <v>3.294</v>
      </c>
      <c r="D45" s="78" t="n">
        <v>2.608</v>
      </c>
      <c r="E45" s="78" t="n">
        <v>2.121</v>
      </c>
      <c r="F45" s="78" t="n">
        <v>1.763</v>
      </c>
      <c r="G45" s="78"/>
      <c r="H45" s="78"/>
      <c r="I45" s="78"/>
      <c r="J45" s="78"/>
      <c r="K45" s="78"/>
    </row>
    <row r="46" customFormat="false" ht="14.25" hidden="false" customHeight="true" outlineLevel="0" collapsed="false">
      <c r="A46" s="78" t="n">
        <f aca="false">G17</f>
        <v>0.897951971652888</v>
      </c>
      <c r="B46" s="78" t="n">
        <v>5.343</v>
      </c>
      <c r="C46" s="78" t="n">
        <v>4.004</v>
      </c>
      <c r="D46" s="78" t="n">
        <v>3.114</v>
      </c>
      <c r="E46" s="78" t="n">
        <v>2.497</v>
      </c>
      <c r="F46" s="78" t="n">
        <v>2.051</v>
      </c>
      <c r="G46" s="78"/>
      <c r="H46" s="78"/>
      <c r="I46" s="78"/>
      <c r="J46" s="78"/>
      <c r="K46" s="78"/>
    </row>
    <row r="47" customFormat="false" ht="14.25" hidden="false" customHeight="true" outlineLevel="0" collapsed="false">
      <c r="A47" s="78" t="n">
        <f aca="false">G18</f>
        <v>1</v>
      </c>
      <c r="B47" s="78" t="n">
        <f aca="false">densidad_viscosidad_puros!I85</f>
        <v>6.574</v>
      </c>
      <c r="C47" s="78" t="n">
        <f aca="false">densidad_viscosidad_puros!I86</f>
        <v>4.821</v>
      </c>
      <c r="D47" s="78" t="n">
        <f aca="false">densidad_viscosidad_puros!I87</f>
        <v>3.691</v>
      </c>
      <c r="E47" s="78" t="n">
        <f aca="false">densidad_viscosidad_puros!I88</f>
        <v>2.914</v>
      </c>
      <c r="F47" s="78" t="n">
        <f aca="false">densidad_viscosidad_puros!I89</f>
        <v>2.362</v>
      </c>
      <c r="G47" s="78"/>
      <c r="H47" s="78"/>
      <c r="I47" s="78"/>
      <c r="J47" s="78"/>
      <c r="K47" s="78"/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2025-11-17T19:03:08Z</dcterms:created>
  <dc:creator>Roberto Canales</dc:creator>
  <dc:description/>
  <dc:language>en-US</dc:language>
  <cp:lastModifiedBy/>
  <dcterms:modified xsi:type="dcterms:W3CDTF">2026-04-16T09:30:27Z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0x010100994AF09D86BE3C498753070DF359B656</vt:lpwstr>
  </property>
</Properties>
</file>